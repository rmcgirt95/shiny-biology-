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Lab assignments/"/>
    </mc:Choice>
  </mc:AlternateContent>
  <xr:revisionPtr revIDLastSave="384" documentId="13_ncr:1_{C88D6FF8-C10E-4763-9CE1-2DAF76113975}" xr6:coauthVersionLast="47" xr6:coauthVersionMax="47" xr10:uidLastSave="{B457B560-C16A-45A8-8C03-02D68DA84998}"/>
  <bookViews>
    <workbookView xWindow="-120" yWindow="-120" windowWidth="29040" windowHeight="15840" activeTab="2" xr2:uid="{D3E835B5-A72D-4BC4-BE93-4F2F797A7792}"/>
  </bookViews>
  <sheets>
    <sheet name="Assignment" sheetId="1" r:id="rId1"/>
    <sheet name="Amidite stock solution" sheetId="2" r:id="rId2"/>
    <sheet name="Amidite recipe" sheetId="5" r:id="rId3"/>
    <sheet name="Reagent recipe" sheetId="3" r:id="rId4"/>
    <sheet name="Labe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5" l="1"/>
  <c r="E69" i="5"/>
  <c r="F69" i="5"/>
  <c r="G69" i="5"/>
  <c r="D68" i="5"/>
  <c r="E68" i="5"/>
  <c r="F68" i="5"/>
  <c r="G68" i="5"/>
  <c r="D67" i="5"/>
  <c r="E67" i="5"/>
  <c r="F67" i="5"/>
  <c r="G67" i="5"/>
  <c r="D63" i="5"/>
  <c r="E63" i="5"/>
  <c r="F63" i="5"/>
  <c r="G63" i="5"/>
  <c r="D25" i="5"/>
  <c r="E25" i="5"/>
  <c r="F25" i="5"/>
  <c r="G25" i="5"/>
  <c r="G66" i="5"/>
  <c r="F66" i="5"/>
  <c r="E66" i="5"/>
  <c r="D66" i="5"/>
  <c r="G65" i="5"/>
  <c r="F65" i="5"/>
  <c r="E65" i="5"/>
  <c r="D65" i="5"/>
  <c r="G64" i="5"/>
  <c r="F64" i="5"/>
  <c r="E64" i="5"/>
  <c r="D64" i="5"/>
  <c r="G62" i="5"/>
  <c r="F62" i="5"/>
  <c r="E62" i="5"/>
  <c r="D62" i="5"/>
  <c r="G61" i="5"/>
  <c r="F61" i="5"/>
  <c r="E61" i="5"/>
  <c r="D61" i="5"/>
  <c r="G60" i="5"/>
  <c r="F60" i="5"/>
  <c r="E60" i="5"/>
  <c r="D60" i="5"/>
  <c r="G59" i="5"/>
  <c r="F59" i="5"/>
  <c r="E59" i="5"/>
  <c r="D59" i="5"/>
  <c r="G58" i="5"/>
  <c r="F58" i="5"/>
  <c r="E58" i="5"/>
  <c r="D58" i="5"/>
  <c r="G57" i="5"/>
  <c r="F57" i="5"/>
  <c r="E57" i="5"/>
  <c r="D57" i="5"/>
  <c r="G56" i="5"/>
  <c r="F56" i="5"/>
  <c r="E56" i="5"/>
  <c r="D56" i="5"/>
  <c r="G55" i="5"/>
  <c r="F55" i="5"/>
  <c r="E55" i="5"/>
  <c r="D55" i="5"/>
  <c r="G54" i="5"/>
  <c r="F54" i="5"/>
  <c r="E54" i="5"/>
  <c r="D54" i="5"/>
  <c r="G53" i="5"/>
  <c r="F53" i="5"/>
  <c r="E53" i="5"/>
  <c r="D53" i="5"/>
  <c r="G52" i="5"/>
  <c r="F52" i="5"/>
  <c r="E52" i="5"/>
  <c r="D52" i="5"/>
  <c r="G51" i="5"/>
  <c r="F51" i="5"/>
  <c r="E51" i="5"/>
  <c r="D51" i="5"/>
  <c r="G50" i="5"/>
  <c r="F50" i="5"/>
  <c r="E50" i="5"/>
  <c r="D50" i="5"/>
  <c r="G48" i="5"/>
  <c r="F48" i="5"/>
  <c r="E48" i="5"/>
  <c r="D48" i="5"/>
  <c r="G47" i="5"/>
  <c r="F47" i="5"/>
  <c r="E47" i="5"/>
  <c r="D47" i="5"/>
  <c r="G46" i="5"/>
  <c r="F46" i="5"/>
  <c r="E46" i="5"/>
  <c r="D46" i="5"/>
  <c r="G45" i="5"/>
  <c r="F45" i="5"/>
  <c r="E45" i="5"/>
  <c r="D45" i="5"/>
  <c r="G44" i="5"/>
  <c r="F44" i="5"/>
  <c r="E44" i="5"/>
  <c r="D44" i="5"/>
  <c r="G43" i="5"/>
  <c r="F43" i="5"/>
  <c r="E43" i="5"/>
  <c r="D43" i="5"/>
  <c r="G42" i="5"/>
  <c r="F42" i="5"/>
  <c r="E42" i="5"/>
  <c r="D42" i="5"/>
  <c r="G41" i="5"/>
  <c r="F41" i="5"/>
  <c r="E41" i="5"/>
  <c r="D41" i="5"/>
  <c r="G40" i="5"/>
  <c r="F40" i="5"/>
  <c r="E40" i="5"/>
  <c r="D40" i="5"/>
  <c r="G39" i="5"/>
  <c r="F39" i="5"/>
  <c r="E39" i="5"/>
  <c r="D39" i="5"/>
  <c r="G38" i="5"/>
  <c r="F38" i="5"/>
  <c r="E38" i="5"/>
  <c r="D38" i="5"/>
  <c r="G37" i="5"/>
  <c r="F37" i="5"/>
  <c r="E37" i="5"/>
  <c r="D37" i="5"/>
  <c r="G36" i="5"/>
  <c r="F36" i="5"/>
  <c r="E36" i="5"/>
  <c r="D36" i="5"/>
  <c r="G35" i="5"/>
  <c r="F35" i="5"/>
  <c r="E35" i="5"/>
  <c r="D35" i="5"/>
  <c r="G34" i="5"/>
  <c r="F34" i="5"/>
  <c r="E34" i="5"/>
  <c r="D34" i="5"/>
  <c r="G33" i="5"/>
  <c r="F33" i="5"/>
  <c r="E33" i="5"/>
  <c r="D33" i="5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G26" i="5"/>
  <c r="F26" i="5"/>
  <c r="E26" i="5"/>
  <c r="D26" i="5"/>
  <c r="G24" i="5"/>
  <c r="F24" i="5"/>
  <c r="E24" i="5"/>
  <c r="D24" i="5"/>
  <c r="G23" i="5"/>
  <c r="F23" i="5"/>
  <c r="E23" i="5"/>
  <c r="D23" i="5"/>
  <c r="G22" i="5"/>
  <c r="F22" i="5"/>
  <c r="E22" i="5"/>
  <c r="D22" i="5"/>
  <c r="G21" i="5"/>
  <c r="F21" i="5"/>
  <c r="E21" i="5"/>
  <c r="D21" i="5"/>
  <c r="G20" i="5"/>
  <c r="F20" i="5"/>
  <c r="E20" i="5"/>
  <c r="D20" i="5"/>
  <c r="G19" i="5"/>
  <c r="F19" i="5"/>
  <c r="E19" i="5"/>
  <c r="D19" i="5"/>
  <c r="G18" i="5"/>
  <c r="F18" i="5"/>
  <c r="E18" i="5"/>
  <c r="D18" i="5"/>
  <c r="G17" i="5"/>
  <c r="F17" i="5"/>
  <c r="E17" i="5"/>
  <c r="D17" i="5"/>
  <c r="G16" i="5"/>
  <c r="F16" i="5"/>
  <c r="E16" i="5"/>
  <c r="D16" i="5"/>
  <c r="G15" i="5"/>
  <c r="F15" i="5"/>
  <c r="E15" i="5"/>
  <c r="D15" i="5"/>
  <c r="G13" i="5"/>
  <c r="F13" i="5"/>
  <c r="E13" i="5"/>
  <c r="D13" i="5"/>
  <c r="G12" i="5"/>
  <c r="F12" i="5"/>
  <c r="E12" i="5"/>
  <c r="D12" i="5"/>
  <c r="G11" i="5"/>
  <c r="F11" i="5"/>
  <c r="E11" i="5"/>
  <c r="D11" i="5"/>
  <c r="G10" i="5"/>
  <c r="F10" i="5"/>
  <c r="E10" i="5"/>
  <c r="D10" i="5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G5" i="5"/>
  <c r="F5" i="5"/>
  <c r="E5" i="5"/>
  <c r="D5" i="5"/>
</calcChain>
</file>

<file path=xl/sharedStrings.xml><?xml version="1.0" encoding="utf-8"?>
<sst xmlns="http://schemas.openxmlformats.org/spreadsheetml/2006/main" count="639" uniqueCount="305">
  <si>
    <t>Amidite and reagent preparation assignment</t>
  </si>
  <si>
    <t>Amidite</t>
  </si>
  <si>
    <t>Person</t>
  </si>
  <si>
    <t>2'OMe</t>
  </si>
  <si>
    <t>2'F</t>
  </si>
  <si>
    <t>MOE</t>
  </si>
  <si>
    <t>LNA</t>
  </si>
  <si>
    <t>RNA</t>
  </si>
  <si>
    <t>DNA</t>
  </si>
  <si>
    <t>Torin</t>
  </si>
  <si>
    <t>Kathy</t>
  </si>
  <si>
    <t>Josiah</t>
  </si>
  <si>
    <t>Reagent</t>
  </si>
  <si>
    <t>Shijun</t>
  </si>
  <si>
    <t>Noah</t>
  </si>
  <si>
    <t>Ryan</t>
  </si>
  <si>
    <t>Harley</t>
  </si>
  <si>
    <t>Bocheng</t>
  </si>
  <si>
    <t>Activator-1 x8</t>
  </si>
  <si>
    <t>Oxidation-1 x4</t>
  </si>
  <si>
    <t>Thiolation-1 x4</t>
  </si>
  <si>
    <t>Cap-A1 x4</t>
  </si>
  <si>
    <t>Cap-B1 x4</t>
  </si>
  <si>
    <t>Oxidation-2 x4</t>
  </si>
  <si>
    <t>Thiolation-2 x4</t>
  </si>
  <si>
    <t>Cap-A3 x4</t>
  </si>
  <si>
    <t>Cap-B3 x4</t>
  </si>
  <si>
    <t>200 mL x1</t>
  </si>
  <si>
    <t>0.12 M solution</t>
  </si>
  <si>
    <t>400 mL x1</t>
  </si>
  <si>
    <t>0.07 M solution</t>
  </si>
  <si>
    <t>LNA-T</t>
  </si>
  <si>
    <t>LNA-G(Dmf)
LNA-G(iBu)</t>
  </si>
  <si>
    <t xml:space="preserve">
</t>
  </si>
  <si>
    <r>
      <t xml:space="preserve">200 mL x1
</t>
    </r>
    <r>
      <rPr>
        <sz val="20"/>
        <color rgb="FF000000"/>
        <rFont val="Calibri"/>
        <family val="2"/>
      </rPr>
      <t>40/60 toluene/ACN, v/v</t>
    </r>
  </si>
  <si>
    <r>
      <t xml:space="preserve">400 mL x1
</t>
    </r>
    <r>
      <rPr>
        <sz val="20"/>
        <color rgb="FF000000"/>
        <rFont val="Calibri"/>
        <family val="2"/>
      </rPr>
      <t>20/80 toluene/ACN, v/v</t>
    </r>
  </si>
  <si>
    <t>5Me-LNA-C(Ac)
5Me-LNA-C(Bz)</t>
  </si>
  <si>
    <t>LNA-A(Bz)</t>
  </si>
  <si>
    <t>moeT</t>
  </si>
  <si>
    <t>moeG(iBu)</t>
  </si>
  <si>
    <t>5Me-moeC(Bz)</t>
  </si>
  <si>
    <t>moeA(Bz)</t>
  </si>
  <si>
    <t>fU</t>
  </si>
  <si>
    <t>fG(iBu)</t>
  </si>
  <si>
    <t>fC(Ac)</t>
  </si>
  <si>
    <t>fA(Bz)</t>
  </si>
  <si>
    <r>
      <t xml:space="preserve">400 mL x1
</t>
    </r>
    <r>
      <rPr>
        <sz val="20"/>
        <color rgb="FF000000"/>
        <rFont val="Calibri"/>
        <family val="2"/>
      </rPr>
      <t>18/82 DMF/ACN, v/v</t>
    </r>
  </si>
  <si>
    <r>
      <t xml:space="preserve">400 mL x2
</t>
    </r>
    <r>
      <rPr>
        <sz val="20"/>
        <color rgb="FF000000"/>
        <rFont val="Calibri"/>
        <family val="2"/>
      </rPr>
      <t>10/90 DMF/ACN, v/v</t>
    </r>
  </si>
  <si>
    <t>mU</t>
  </si>
  <si>
    <t>mG(iBu)</t>
  </si>
  <si>
    <t>400 mL x2</t>
  </si>
  <si>
    <t>mC(Ac)</t>
  </si>
  <si>
    <t>mA(Bz)</t>
  </si>
  <si>
    <t>rU</t>
  </si>
  <si>
    <t>rG(iBu)</t>
  </si>
  <si>
    <t>rG(Ac)</t>
  </si>
  <si>
    <t>rC(Ac)</t>
  </si>
  <si>
    <t>rA(Bz)</t>
  </si>
  <si>
    <t>dT</t>
  </si>
  <si>
    <t>5Me-dC(Ac)</t>
  </si>
  <si>
    <t>dA(Bz)</t>
  </si>
  <si>
    <t>Stock</t>
  </si>
  <si>
    <t>Dry with molecular sieves 3Å for &gt;4 hrs</t>
  </si>
  <si>
    <t>Amidite-2</t>
  </si>
  <si>
    <t>Oligo Synt
OP100
MM12</t>
  </si>
  <si>
    <t>Amidite-1</t>
  </si>
  <si>
    <t>Dr. Oligo 48
Dr. Oligo 192
MM48
H8
Shasta 192</t>
  </si>
  <si>
    <t>Note</t>
  </si>
  <si>
    <t>Synthesis Reagent</t>
  </si>
  <si>
    <t>Oligo Synthesizer</t>
  </si>
  <si>
    <t>NaClO4/Acetone, 30/100 w/v</t>
  </si>
  <si>
    <t>30% NaClO4 in acetone</t>
  </si>
  <si>
    <t>Miscellaneous</t>
  </si>
  <si>
    <t>Storage at 4°C</t>
  </si>
  <si>
    <t>-</t>
  </si>
  <si>
    <r>
      <rPr>
        <sz val="20"/>
        <color rgb="FF000000"/>
        <rFont val="Calibri"/>
        <family val="2"/>
        <charset val="1"/>
      </rPr>
      <t>Triethylamine Trihydrofluoride, 98% (</t>
    </r>
    <r>
      <rPr>
        <b/>
        <sz val="20"/>
        <color rgb="FFFF0000"/>
        <rFont val="Calibri"/>
        <family val="2"/>
        <charset val="1"/>
      </rPr>
      <t>Matrix Scientific, 004509</t>
    </r>
    <r>
      <rPr>
        <sz val="20"/>
        <color rgb="FF000000"/>
        <rFont val="Calibri"/>
        <family val="2"/>
        <charset val="1"/>
      </rPr>
      <t>)</t>
    </r>
  </si>
  <si>
    <t>TEA.3HF</t>
  </si>
  <si>
    <r>
      <t>100 mL</t>
    </r>
    <r>
      <rPr>
        <sz val="20"/>
        <color rgb="FF000000"/>
        <rFont val="Calibri"/>
        <family val="2"/>
        <charset val="1"/>
      </rPr>
      <t xml:space="preserve"> 30% NH3.H2O (</t>
    </r>
    <r>
      <rPr>
        <b/>
        <sz val="20"/>
        <color rgb="FFFF0000"/>
        <rFont val="Calibri"/>
        <family val="2"/>
        <charset val="1"/>
      </rPr>
      <t>Oakwood Chem, 099376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100 mL</t>
    </r>
    <r>
      <rPr>
        <sz val="20"/>
        <color rgb="FF0070C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40% Methylamine (</t>
    </r>
    <r>
      <rPr>
        <b/>
        <sz val="20"/>
        <color rgb="FFFF0000"/>
        <rFont val="Calibri"/>
        <family val="2"/>
        <charset val="1"/>
      </rPr>
      <t xml:space="preserve">TCI, M0137 </t>
    </r>
    <r>
      <rPr>
        <sz val="20"/>
        <color rgb="FF000000"/>
        <rFont val="Calibri"/>
        <family val="2"/>
        <charset val="1"/>
      </rPr>
      <t>or</t>
    </r>
    <r>
      <rPr>
        <b/>
        <sz val="20"/>
        <color rgb="FFFF0000"/>
        <rFont val="Calibri"/>
        <family val="2"/>
        <charset val="1"/>
      </rPr>
      <t xml:space="preserve"> Sigma, 8.22091.xxxx</t>
    </r>
    <r>
      <rPr>
        <sz val="20"/>
        <color rgb="FF000000"/>
        <rFont val="Calibri"/>
        <family val="2"/>
        <charset val="1"/>
      </rPr>
      <t>)</t>
    </r>
  </si>
  <si>
    <t>30% NH3.H2O/40% Methylamine,
50/50 v/v</t>
  </si>
  <si>
    <t>AMA</t>
  </si>
  <si>
    <r>
      <t>150 mL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30% NH3.H2O (</t>
    </r>
    <r>
      <rPr>
        <b/>
        <sz val="20"/>
        <color rgb="FFFF0000"/>
        <rFont val="Calibri"/>
        <family val="2"/>
        <charset val="1"/>
      </rPr>
      <t>Oakwood Chem, 099376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</rPr>
      <t>50 mL</t>
    </r>
    <r>
      <rPr>
        <sz val="20"/>
        <color rgb="FF000000"/>
        <rFont val="Calibri"/>
        <family val="2"/>
        <charset val="1"/>
      </rPr>
      <t xml:space="preserve"> Ethanol (</t>
    </r>
    <r>
      <rPr>
        <b/>
        <sz val="20"/>
        <color rgb="FFFF0000"/>
        <rFont val="Calibri"/>
        <family val="2"/>
      </rPr>
      <t>Fisher Chemical, A962P</t>
    </r>
    <r>
      <rPr>
        <sz val="20"/>
        <color rgb="FF000000"/>
        <rFont val="Calibri"/>
        <family val="2"/>
        <charset val="1"/>
      </rPr>
      <t>)</t>
    </r>
  </si>
  <si>
    <t>30% NH3.H2O/EtOH, 3/1 v/v</t>
  </si>
  <si>
    <t>30% NH3.H2O
/EtOH</t>
  </si>
  <si>
    <r>
      <t>190 mL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30% NH3.H2O (</t>
    </r>
    <r>
      <rPr>
        <b/>
        <sz val="20"/>
        <color rgb="FFFF0000"/>
        <rFont val="Calibri"/>
        <family val="2"/>
        <charset val="1"/>
      </rPr>
      <t>Oakwood Chem, 099376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</rPr>
      <t>10 mL</t>
    </r>
    <r>
      <rPr>
        <sz val="20"/>
        <color rgb="FF000000"/>
        <rFont val="Calibri"/>
        <family val="2"/>
        <charset val="1"/>
      </rPr>
      <t xml:space="preserve"> Diethylamine (</t>
    </r>
    <r>
      <rPr>
        <b/>
        <sz val="20"/>
        <color rgb="FFFF0000"/>
        <rFont val="Calibri"/>
        <family val="2"/>
      </rPr>
      <t>Oakwood Chem, 043314</t>
    </r>
    <r>
      <rPr>
        <sz val="20"/>
        <color rgb="FF000000"/>
        <rFont val="Calibri"/>
        <family val="2"/>
        <charset val="1"/>
      </rPr>
      <t>)</t>
    </r>
  </si>
  <si>
    <t>DEA/30% NH3.H2O, 5/95 v/v</t>
  </si>
  <si>
    <t>5% DEA in 
30% NH3.H2O</t>
  </si>
  <si>
    <r>
      <rPr>
        <sz val="20"/>
        <color rgb="FF000000"/>
        <rFont val="Calibri"/>
        <family val="2"/>
        <charset val="1"/>
      </rPr>
      <t>Ammonium Hydroxide, 28-30% solution (</t>
    </r>
    <r>
      <rPr>
        <b/>
        <sz val="20"/>
        <color rgb="FFFF0000"/>
        <rFont val="Calibri"/>
        <family val="2"/>
        <charset val="1"/>
      </rPr>
      <t>Oakwood Chem, 099376</t>
    </r>
    <r>
      <rPr>
        <sz val="20"/>
        <color rgb="FF000000"/>
        <rFont val="Calibri"/>
        <family val="2"/>
        <charset val="1"/>
      </rPr>
      <t>)</t>
    </r>
  </si>
  <si>
    <t>30% NH3.H2O</t>
  </si>
  <si>
    <t>C&amp;D</t>
  </si>
  <si>
    <t>Recipe (400 mL)</t>
  </si>
  <si>
    <t>C&amp;D Reagent</t>
  </si>
  <si>
    <t>Anhydrous grade 2,6-Lutidine</t>
  </si>
  <si>
    <t>4 L x2</t>
  </si>
  <si>
    <r>
      <t>0.8 L</t>
    </r>
    <r>
      <rPr>
        <sz val="20"/>
        <color rgb="FF000000"/>
        <rFont val="Calibri"/>
        <family val="2"/>
        <charset val="1"/>
      </rPr>
      <t xml:space="preserve"> Acetic Anhydride (</t>
    </r>
    <r>
      <rPr>
        <b/>
        <sz val="20"/>
        <color rgb="FFFF0000"/>
        <rFont val="Calibri"/>
        <family val="2"/>
      </rPr>
      <t>Chem-Impex, 30148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1.2 L</t>
    </r>
    <r>
      <rPr>
        <sz val="20"/>
        <color rgb="FF000000"/>
        <rFont val="Calibri"/>
        <family val="2"/>
        <charset val="1"/>
      </rPr>
      <t xml:space="preserve"> 2,6-Lutidine (</t>
    </r>
    <r>
      <rPr>
        <b/>
        <sz val="20"/>
        <color rgb="FFFF0000"/>
        <rFont val="Calibri"/>
        <family val="2"/>
      </rPr>
      <t>Thermo Scientific, 125190025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2.0 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</si>
  <si>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Ac2O/2,6-Lutidine/ACN, 20/30/50 v/v</t>
  </si>
  <si>
    <t>Cap B-3</t>
  </si>
  <si>
    <r>
      <t>0.8 L</t>
    </r>
    <r>
      <rPr>
        <sz val="20"/>
        <color rgb="FF0070C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N-Methylimidazole (</t>
    </r>
    <r>
      <rPr>
        <b/>
        <sz val="20"/>
        <color rgb="FFFF0000"/>
        <rFont val="Calibri"/>
        <family val="2"/>
      </rPr>
      <t>Oakwood Chem, 005002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3.2 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</si>
  <si>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NMI/ACN, 20/80 v/v</t>
  </si>
  <si>
    <t>Cap A-3</t>
  </si>
  <si>
    <t>Anhydrous grade pyridine</t>
  </si>
  <si>
    <r>
      <t>0.8 L</t>
    </r>
    <r>
      <rPr>
        <sz val="20"/>
        <color theme="0" tint="-0.249977111117893"/>
        <rFont val="Calibri"/>
        <family val="2"/>
        <charset val="1"/>
      </rPr>
      <t xml:space="preserve"> N-Methylimidazole (</t>
    </r>
    <r>
      <rPr>
        <b/>
        <sz val="20"/>
        <color theme="0" tint="-0.249977111117893"/>
        <rFont val="Calibri"/>
        <family val="2"/>
        <charset val="1"/>
      </rPr>
      <t>Oakwood Chem, 005002</t>
    </r>
    <r>
      <rPr>
        <sz val="20"/>
        <color theme="0" tint="-0.249977111117893"/>
        <rFont val="Calibri"/>
        <family val="2"/>
        <charset val="1"/>
      </rPr>
      <t xml:space="preserve">)
</t>
    </r>
    <r>
      <rPr>
        <b/>
        <sz val="20"/>
        <color theme="0" tint="-0.249977111117893"/>
        <rFont val="Calibri"/>
        <family val="2"/>
        <charset val="1"/>
      </rPr>
      <t>1.2 L</t>
    </r>
    <r>
      <rPr>
        <sz val="20"/>
        <color theme="0" tint="-0.249977111117893"/>
        <rFont val="Calibri"/>
        <family val="2"/>
        <charset val="1"/>
      </rPr>
      <t xml:space="preserve"> Pyridine (</t>
    </r>
    <r>
      <rPr>
        <b/>
        <sz val="20"/>
        <color theme="0" tint="-0.249977111117893"/>
        <rFont val="Calibri"/>
        <family val="2"/>
        <charset val="1"/>
      </rPr>
      <t>TEDIA, PB2050-001</t>
    </r>
    <r>
      <rPr>
        <sz val="20"/>
        <color theme="0" tint="-0.249977111117893"/>
        <rFont val="Calibri"/>
        <family val="2"/>
        <charset val="1"/>
      </rPr>
      <t xml:space="preserve">)
</t>
    </r>
    <r>
      <rPr>
        <b/>
        <sz val="20"/>
        <color theme="0" tint="-0.249977111117893"/>
        <rFont val="Calibri"/>
        <family val="2"/>
        <charset val="1"/>
      </rPr>
      <t>2.0 L</t>
    </r>
    <r>
      <rPr>
        <sz val="20"/>
        <color theme="0" tint="-0.249977111117893"/>
        <rFont val="Calibri"/>
        <family val="2"/>
        <charset val="1"/>
      </rPr>
      <t xml:space="preserve"> Acetonitrile (</t>
    </r>
    <r>
      <rPr>
        <b/>
        <sz val="20"/>
        <color theme="0" tint="-0.249977111117893"/>
        <rFont val="Calibri"/>
        <family val="2"/>
        <charset val="1"/>
      </rPr>
      <t>TEDIA, AH3801-001</t>
    </r>
    <r>
      <rPr>
        <sz val="20"/>
        <color theme="0" tint="-0.249977111117893"/>
        <rFont val="Calibri"/>
        <family val="2"/>
        <charset val="1"/>
      </rPr>
      <t>)</t>
    </r>
  </si>
  <si>
    <t>NMI/Py/ACN, 20/30/50 v/v</t>
  </si>
  <si>
    <t>Cap B-2</t>
  </si>
  <si>
    <r>
      <t>0.8 L</t>
    </r>
    <r>
      <rPr>
        <sz val="20"/>
        <color theme="0" tint="-0.249977111117893"/>
        <rFont val="Calibri"/>
        <family val="2"/>
        <charset val="1"/>
      </rPr>
      <t xml:space="preserve"> Acetic Anhydride (</t>
    </r>
    <r>
      <rPr>
        <b/>
        <sz val="20"/>
        <color theme="0" tint="-0.249977111117893"/>
        <rFont val="Calibri"/>
        <family val="2"/>
        <charset val="1"/>
      </rPr>
      <t>Chem-Impex, 30148</t>
    </r>
    <r>
      <rPr>
        <sz val="20"/>
        <color theme="0" tint="-0.249977111117893"/>
        <rFont val="Calibri"/>
        <family val="2"/>
        <charset val="1"/>
      </rPr>
      <t xml:space="preserve">)
</t>
    </r>
    <r>
      <rPr>
        <b/>
        <sz val="20"/>
        <color theme="0" tint="-0.249977111117893"/>
        <rFont val="Calibri"/>
        <family val="2"/>
        <charset val="1"/>
      </rPr>
      <t>3.2 L</t>
    </r>
    <r>
      <rPr>
        <sz val="20"/>
        <color theme="0" tint="-0.249977111117893"/>
        <rFont val="Calibri"/>
        <family val="2"/>
        <charset val="1"/>
      </rPr>
      <t xml:space="preserve"> Acetonitrile (</t>
    </r>
    <r>
      <rPr>
        <b/>
        <sz val="20"/>
        <color theme="0" tint="-0.249977111117893"/>
        <rFont val="Calibri"/>
        <family val="2"/>
        <charset val="1"/>
      </rPr>
      <t>TEDIA, AH3801-001</t>
    </r>
    <r>
      <rPr>
        <sz val="20"/>
        <color theme="0" tint="-0.249977111117893"/>
        <rFont val="Calibri"/>
        <family val="2"/>
        <charset val="1"/>
      </rPr>
      <t>)</t>
    </r>
  </si>
  <si>
    <t>Ac2O/ACN, 20/80 v/v</t>
  </si>
  <si>
    <t>Cap A-2</t>
  </si>
  <si>
    <t>4 L x4</t>
  </si>
  <si>
    <r>
      <rPr>
        <b/>
        <sz val="20"/>
        <color rgb="FF0070C0"/>
        <rFont val="Calibri"/>
        <family val="2"/>
        <charset val="1"/>
      </rPr>
      <t>120.2 g</t>
    </r>
    <r>
      <rPr>
        <sz val="20"/>
        <color rgb="FF000000"/>
        <rFont val="Calibri"/>
        <family val="2"/>
        <charset val="1"/>
      </rPr>
      <t xml:space="preserve"> Xanthane Hydride (</t>
    </r>
    <r>
      <rPr>
        <b/>
        <sz val="20"/>
        <color rgb="FFFF0000"/>
        <rFont val="Calibri"/>
        <family val="2"/>
        <charset val="1"/>
      </rPr>
      <t>Hongene, ON-057-2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4.0 L</t>
    </r>
    <r>
      <rPr>
        <sz val="20"/>
        <color rgb="FF0070C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Pyridine (</t>
    </r>
    <r>
      <rPr>
        <b/>
        <sz val="20"/>
        <color rgb="FFFF0000"/>
        <rFont val="Calibri"/>
        <family val="2"/>
        <charset val="1"/>
      </rPr>
      <t>TEDIA, PB2050-001</t>
    </r>
    <r>
      <rPr>
        <sz val="20"/>
        <color rgb="FF000000"/>
        <rFont val="Calibri"/>
        <family val="2"/>
        <charset val="1"/>
      </rPr>
      <t>)</t>
    </r>
  </si>
  <si>
    <t>0.2 M XH in Py</t>
  </si>
  <si>
    <t>Thiolation-2</t>
  </si>
  <si>
    <t>Completely dissolve I2 in pyridine before adding water</t>
  </si>
  <si>
    <r>
      <rPr>
        <b/>
        <sz val="20"/>
        <color rgb="FF0070C0"/>
        <rFont val="Calibri"/>
        <family val="2"/>
        <charset val="1"/>
      </rPr>
      <t>50.8 g</t>
    </r>
    <r>
      <rPr>
        <sz val="20"/>
        <color rgb="FF000000"/>
        <rFont val="Calibri"/>
        <family val="2"/>
        <charset val="1"/>
      </rPr>
      <t xml:space="preserve"> Iodine (</t>
    </r>
    <r>
      <rPr>
        <b/>
        <sz val="20"/>
        <color rgb="FFFF0000"/>
        <rFont val="Calibri"/>
        <family val="2"/>
        <charset val="1"/>
      </rPr>
      <t>TCI, I0604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3.6 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Pyridine (</t>
    </r>
    <r>
      <rPr>
        <b/>
        <sz val="20"/>
        <color rgb="FFFF0000"/>
        <rFont val="Calibri"/>
        <family val="2"/>
        <charset val="1"/>
      </rPr>
      <t>Oakwood Chem, 005154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0.4 L</t>
    </r>
    <r>
      <rPr>
        <sz val="20"/>
        <color rgb="FF000000"/>
        <rFont val="Calibri"/>
        <family val="2"/>
        <charset val="1"/>
      </rPr>
      <t xml:space="preserve"> H2O</t>
    </r>
  </si>
  <si>
    <t>0.05 M I2 in Py/H2O, 90/10 v/v</t>
  </si>
  <si>
    <t>Oxidation-2</t>
  </si>
  <si>
    <t>Oligo Synt
OP100</t>
  </si>
  <si>
    <r>
      <rPr>
        <b/>
        <sz val="20"/>
        <color rgb="FF0070C0"/>
        <rFont val="Calibri"/>
        <family val="2"/>
        <charset val="1"/>
      </rPr>
      <t>0.4 L</t>
    </r>
    <r>
      <rPr>
        <sz val="20"/>
        <color rgb="FF0070C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N-Methylimidazole (</t>
    </r>
    <r>
      <rPr>
        <b/>
        <sz val="20"/>
        <color rgb="FFFF0000"/>
        <rFont val="Calibri"/>
        <family val="2"/>
        <charset val="1"/>
      </rPr>
      <t>Oakwood Chem, 005002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3.6 L</t>
    </r>
    <r>
      <rPr>
        <sz val="20"/>
        <color rgb="FF000000"/>
        <rFont val="Calibri"/>
        <family val="2"/>
        <charset val="1"/>
      </rPr>
      <t xml:space="preserve"> Tetrahydrofuran (</t>
    </r>
    <r>
      <rPr>
        <b/>
        <sz val="20"/>
        <color rgb="FFFF0000"/>
        <rFont val="Calibri"/>
        <family val="2"/>
        <charset val="1"/>
      </rPr>
      <t>TEDIA, TH3927-001</t>
    </r>
    <r>
      <rPr>
        <sz val="20"/>
        <color rgb="FF000000"/>
        <rFont val="Calibri"/>
        <family val="2"/>
        <charset val="1"/>
      </rPr>
      <t>)</t>
    </r>
  </si>
  <si>
    <t>NMI/THF, 10/90  v/v</t>
  </si>
  <si>
    <t>Cap B-1</t>
  </si>
  <si>
    <r>
      <rPr>
        <b/>
        <sz val="20"/>
        <color rgb="FF0070C0"/>
        <rFont val="Calibri"/>
        <family val="2"/>
        <charset val="1"/>
      </rPr>
      <t>0.4 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Acetic Anhydride (</t>
    </r>
    <r>
      <rPr>
        <b/>
        <sz val="20"/>
        <color rgb="FFFF0000"/>
        <rFont val="Calibri"/>
        <family val="2"/>
        <charset val="1"/>
      </rPr>
      <t>Chem-Impex, 30148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0.4 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Pyridine (</t>
    </r>
    <r>
      <rPr>
        <b/>
        <sz val="20"/>
        <color rgb="FFFF0000"/>
        <rFont val="Calibri"/>
        <family val="2"/>
        <charset val="1"/>
      </rPr>
      <t>TEDIA, PB2050-001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3.2 L</t>
    </r>
    <r>
      <rPr>
        <sz val="20"/>
        <color rgb="FF000000"/>
        <rFont val="Calibri"/>
        <family val="2"/>
        <charset val="1"/>
      </rPr>
      <t xml:space="preserve"> Tetrahydrofuran (</t>
    </r>
    <r>
      <rPr>
        <b/>
        <sz val="20"/>
        <color rgb="FFFF0000"/>
        <rFont val="Calibri"/>
        <family val="2"/>
        <charset val="1"/>
      </rPr>
      <t>TEDIA, TH3927-001</t>
    </r>
    <r>
      <rPr>
        <sz val="20"/>
        <color rgb="FF000000"/>
        <rFont val="Calibri"/>
        <family val="2"/>
        <charset val="1"/>
      </rPr>
      <t>)</t>
    </r>
  </si>
  <si>
    <t>Ac2O/Py/THF, 10/10/80  v/v</t>
  </si>
  <si>
    <t>Cap A-1</t>
  </si>
  <si>
    <r>
      <rPr>
        <b/>
        <sz val="20"/>
        <color rgb="FF0070C0"/>
        <rFont val="Calibri"/>
        <family val="2"/>
        <charset val="1"/>
      </rPr>
      <t>60.1 g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Xanthane Hydride (</t>
    </r>
    <r>
      <rPr>
        <b/>
        <sz val="20"/>
        <color rgb="FFFF0000"/>
        <rFont val="Calibri"/>
        <family val="2"/>
        <charset val="1"/>
      </rPr>
      <t>Hongene, ON-057-2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2.0 L</t>
    </r>
    <r>
      <rPr>
        <sz val="20"/>
        <color rgb="FF000000"/>
        <rFont val="Calibri"/>
        <family val="2"/>
        <charset val="1"/>
      </rPr>
      <t xml:space="preserve"> Pyridine (</t>
    </r>
    <r>
      <rPr>
        <b/>
        <sz val="20"/>
        <color rgb="FFFF0000"/>
        <rFont val="Calibri"/>
        <family val="2"/>
        <charset val="1"/>
      </rPr>
      <t>TEDIA, PB2050-001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2.0 L</t>
    </r>
    <r>
      <rPr>
        <sz val="20"/>
        <color rgb="FF000000"/>
        <rFont val="Calibri"/>
        <family val="2"/>
        <charset val="1"/>
      </rPr>
      <t xml:space="preserve"> Tetrahydrofuran (</t>
    </r>
    <r>
      <rPr>
        <b/>
        <sz val="20"/>
        <color rgb="FFFF0000"/>
        <rFont val="Calibri"/>
        <family val="2"/>
        <charset val="1"/>
      </rPr>
      <t>TEDIA, TH3927-001</t>
    </r>
    <r>
      <rPr>
        <sz val="20"/>
        <color rgb="FF000000"/>
        <rFont val="Calibri"/>
        <family val="2"/>
        <charset val="1"/>
      </rPr>
      <t>)</t>
    </r>
  </si>
  <si>
    <t>0.1 M XH in Py/THF, 50/50 v/v</t>
  </si>
  <si>
    <t>Thiolation-1</t>
  </si>
  <si>
    <t>Completely dissolve I2 in THF/Py before adding water</t>
  </si>
  <si>
    <r>
      <rPr>
        <b/>
        <sz val="20"/>
        <color rgb="FF0070C0"/>
        <rFont val="Calibri"/>
        <family val="2"/>
        <charset val="1"/>
      </rPr>
      <t>20.3 g</t>
    </r>
    <r>
      <rPr>
        <b/>
        <sz val="20"/>
        <rFont val="Calibri"/>
        <family val="2"/>
        <charset val="1"/>
      </rPr>
      <t xml:space="preserve"> </t>
    </r>
    <r>
      <rPr>
        <sz val="20"/>
        <rFont val="Calibri"/>
        <family val="2"/>
        <charset val="1"/>
      </rPr>
      <t>Iodine (</t>
    </r>
    <r>
      <rPr>
        <b/>
        <sz val="20"/>
        <color rgb="FFFF0000"/>
        <rFont val="Calibri"/>
        <family val="2"/>
        <charset val="1"/>
      </rPr>
      <t>TCI, I0604</t>
    </r>
    <r>
      <rPr>
        <sz val="2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3.2 L</t>
    </r>
    <r>
      <rPr>
        <sz val="20"/>
        <rFont val="Calibri"/>
        <family val="2"/>
        <charset val="1"/>
      </rPr>
      <t xml:space="preserve"> Tetrahydrofuran (</t>
    </r>
    <r>
      <rPr>
        <b/>
        <sz val="20"/>
        <color rgb="FFFF0000"/>
        <rFont val="Calibri"/>
        <family val="2"/>
        <charset val="1"/>
      </rPr>
      <t>TEDIA, TH3927-001</t>
    </r>
    <r>
      <rPr>
        <sz val="2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0.4 L</t>
    </r>
    <r>
      <rPr>
        <sz val="20"/>
        <rFont val="Calibri"/>
        <family val="2"/>
        <charset val="1"/>
      </rPr>
      <t xml:space="preserve"> Pyridine (</t>
    </r>
    <r>
      <rPr>
        <b/>
        <sz val="20"/>
        <color rgb="FFFF0000"/>
        <rFont val="Calibri"/>
        <family val="2"/>
        <charset val="1"/>
      </rPr>
      <t>Oakwood Chem, 005154</t>
    </r>
    <r>
      <rPr>
        <sz val="2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0.4 L</t>
    </r>
    <r>
      <rPr>
        <sz val="20"/>
        <rFont val="Calibri"/>
        <family val="2"/>
        <charset val="1"/>
      </rPr>
      <t xml:space="preserve"> H2O</t>
    </r>
  </si>
  <si>
    <t>0.02 M I2 in THF/Py/H2O, 
80/10/10  v/v</t>
  </si>
  <si>
    <t>Oxidation-1</t>
  </si>
  <si>
    <t>Dr. Oligo 48
Dr. Oligo 192
MM12
MM48
H8
Shasta 192</t>
  </si>
  <si>
    <t>Freshly made</t>
  </si>
  <si>
    <r>
      <t xml:space="preserve">5.98 mL </t>
    </r>
    <r>
      <rPr>
        <sz val="20"/>
        <color rgb="FF000000"/>
        <rFont val="Calibri"/>
        <family val="2"/>
        <charset val="1"/>
      </rPr>
      <t>1,8-Diazabicyclo[5.4.0]undec-7-ene (</t>
    </r>
    <r>
      <rPr>
        <b/>
        <sz val="20"/>
        <color rgb="FFFF0000"/>
        <rFont val="Calibri"/>
        <family val="2"/>
      </rPr>
      <t>Sigma, 139009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2.54 mL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Trimethylsilyl Chloride (</t>
    </r>
    <r>
      <rPr>
        <b/>
        <sz val="20"/>
        <color rgb="FFFF0000"/>
        <rFont val="Calibri"/>
        <family val="2"/>
      </rPr>
      <t>Sigma, 92361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</rPr>
      <t>191.5 mL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</si>
  <si>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Amine-2</t>
  </si>
  <si>
    <r>
      <t xml:space="preserve">0.4 L </t>
    </r>
    <r>
      <rPr>
        <sz val="20"/>
        <color rgb="FF000000"/>
        <rFont val="Calibri"/>
        <family val="2"/>
        <charset val="1"/>
      </rPr>
      <t>Diethylamine (</t>
    </r>
    <r>
      <rPr>
        <b/>
        <sz val="20"/>
        <color rgb="FFFF0000"/>
        <rFont val="Calibri"/>
        <family val="2"/>
        <charset val="1"/>
      </rPr>
      <t>Oakwood Chem, 043314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3.6 L</t>
    </r>
    <r>
      <rPr>
        <b/>
        <sz val="20"/>
        <color rgb="FF000000"/>
        <rFont val="Calibri"/>
        <family val="2"/>
        <charset val="1"/>
      </rPr>
      <t xml:space="preserve"> </t>
    </r>
    <r>
      <rPr>
        <sz val="20"/>
        <color rgb="FF000000"/>
        <rFont val="Calibri"/>
        <family val="2"/>
        <charset val="1"/>
      </rPr>
      <t>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</si>
  <si>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10% DEA in ACN, v/v</t>
  </si>
  <si>
    <t>Amine-1</t>
  </si>
  <si>
    <t>0.7 M DCI + 0.1 M NMI in ACN
1.0 M DCI + 0.1 M NMI in ACN</t>
  </si>
  <si>
    <r>
      <t>0.124 L</t>
    </r>
    <r>
      <rPr>
        <sz val="20"/>
        <color rgb="FF000000"/>
        <rFont val="Calibri"/>
        <family val="2"/>
        <charset val="1"/>
      </rPr>
      <t xml:space="preserve"> Dichloroacetic Acid (</t>
    </r>
    <r>
      <rPr>
        <b/>
        <sz val="20"/>
        <color rgb="FFFF0000"/>
        <rFont val="Calibri"/>
        <family val="2"/>
        <charset val="1"/>
      </rPr>
      <t>Hongene, ON-190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4.0 L</t>
    </r>
    <r>
      <rPr>
        <sz val="20"/>
        <color rgb="FF000000"/>
        <rFont val="Calibri"/>
        <family val="2"/>
        <charset val="1"/>
      </rPr>
      <t xml:space="preserve"> Toluene (</t>
    </r>
    <r>
      <rPr>
        <b/>
        <sz val="20"/>
        <color rgb="FFFF0000"/>
        <rFont val="Calibri"/>
        <family val="2"/>
      </rPr>
      <t>TEDIA TR1850-001</t>
    </r>
    <r>
      <rPr>
        <sz val="20"/>
        <color rgb="FF000000"/>
        <rFont val="Calibri"/>
        <family val="2"/>
        <charset val="1"/>
      </rPr>
      <t>)</t>
    </r>
  </si>
  <si>
    <t>3%DCA in Toluene, v/v</t>
  </si>
  <si>
    <t>Deblock-2</t>
  </si>
  <si>
    <t>Anhydrous grade</t>
  </si>
  <si>
    <r>
      <t>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</si>
  <si>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ACN</t>
  </si>
  <si>
    <t>Recipe (4 L)</t>
  </si>
  <si>
    <t>Date:</t>
  </si>
  <si>
    <t>Prepared by:</t>
  </si>
  <si>
    <t>(Fisher, BP1170-4)</t>
  </si>
  <si>
    <t>2.0 L</t>
  </si>
  <si>
    <t>2,6-Lutidine</t>
  </si>
  <si>
    <t>1.2 L</t>
  </si>
  <si>
    <t>(Chem-Impex, 30148)</t>
  </si>
  <si>
    <t>Ac2O</t>
  </si>
  <si>
    <t>0.8 L</t>
  </si>
  <si>
    <t>3.2 L</t>
  </si>
  <si>
    <t>(Oakwood Chem, 005002)</t>
  </si>
  <si>
    <t>NMI</t>
  </si>
  <si>
    <t>(TEDIA, PB2050-001)</t>
  </si>
  <si>
    <t>Pyridine</t>
  </si>
  <si>
    <t>Dry pack</t>
  </si>
  <si>
    <t>20g</t>
  </si>
  <si>
    <t>4.0 L</t>
  </si>
  <si>
    <t>(Hongene, ON-057-2)</t>
  </si>
  <si>
    <t>XH</t>
  </si>
  <si>
    <t>120.2 g</t>
  </si>
  <si>
    <t>H2O</t>
  </si>
  <si>
    <t>0.4 L</t>
  </si>
  <si>
    <t>(Oakwood Chem, 005154)</t>
  </si>
  <si>
    <t>3.6 L</t>
  </si>
  <si>
    <t>(TCI, I0604)</t>
  </si>
  <si>
    <t>Iodine</t>
  </si>
  <si>
    <t>50.8 g</t>
  </si>
  <si>
    <t>(TEDIA, TH3927-001)</t>
  </si>
  <si>
    <t>THF</t>
  </si>
  <si>
    <t>60.1 g</t>
  </si>
  <si>
    <t>20.3 g</t>
  </si>
  <si>
    <t>(Oakwood Chem, 043314)</t>
  </si>
  <si>
    <t>DEA</t>
  </si>
  <si>
    <t>(ChemGenes, RN-6397)</t>
  </si>
  <si>
    <t>ETT</t>
  </si>
  <si>
    <t>208.3 g</t>
  </si>
  <si>
    <t>DCM</t>
  </si>
  <si>
    <t>(Hongene, ON-190)</t>
  </si>
  <si>
    <t>DCA</t>
  </si>
  <si>
    <t xml:space="preserve">0.400 L </t>
  </si>
  <si>
    <t xml:space="preserve">0.124 L </t>
  </si>
  <si>
    <t>dC(Ac)
dC(Bz)</t>
  </si>
  <si>
    <t>N/A</t>
  </si>
  <si>
    <t>dG(Dmf)
dG(iBu)</t>
  </si>
  <si>
    <t>Made as needed</t>
  </si>
  <si>
    <r>
      <t>Deblock-1 x</t>
    </r>
    <r>
      <rPr>
        <sz val="16"/>
        <color rgb="FFFF0000"/>
        <rFont val="Aptos Display"/>
        <family val="2"/>
        <scheme val="major"/>
      </rPr>
      <t>20</t>
    </r>
  </si>
  <si>
    <r>
      <t>5Me-moeC(</t>
    </r>
    <r>
      <rPr>
        <b/>
        <sz val="20"/>
        <color rgb="FFFF0000"/>
        <rFont val="Calibri"/>
        <family val="2"/>
      </rPr>
      <t>Ac</t>
    </r>
    <r>
      <rPr>
        <sz val="20"/>
        <color rgb="FFFF0000"/>
        <rFont val="Calibri"/>
        <family val="2"/>
      </rPr>
      <t>) is expensive and only used for special synthesis.</t>
    </r>
  </si>
  <si>
    <t>OP100/150 only use rG(iBu).</t>
  </si>
  <si>
    <t>1 L x2</t>
  </si>
  <si>
    <r>
      <rPr>
        <b/>
        <sz val="20"/>
        <color rgb="FF0070C0"/>
        <rFont val="Calibri"/>
        <family val="2"/>
      </rPr>
      <t>300 g</t>
    </r>
    <r>
      <rPr>
        <sz val="20"/>
        <color rgb="FF000000"/>
        <rFont val="Calibri"/>
        <family val="2"/>
        <charset val="1"/>
      </rPr>
      <t xml:space="preserve"> NaClO4 (</t>
    </r>
    <r>
      <rPr>
        <b/>
        <sz val="20"/>
        <color rgb="FFFF0000"/>
        <rFont val="Calibri"/>
        <family val="2"/>
      </rPr>
      <t>Sigma, xxxx</t>
    </r>
    <r>
      <rPr>
        <sz val="20"/>
        <color rgb="FF000000"/>
        <rFont val="Calibri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20"/>
        <color rgb="FF0070C0"/>
        <rFont val="Calibri"/>
        <family val="2"/>
      </rPr>
      <t>1 L</t>
    </r>
    <r>
      <rPr>
        <sz val="20"/>
        <color rgb="FF000000"/>
        <rFont val="Calibri"/>
        <family val="2"/>
        <charset val="1"/>
      </rPr>
      <t xml:space="preserve"> Acetone</t>
    </r>
    <r>
      <rPr>
        <sz val="20"/>
        <color rgb="FF000000"/>
        <rFont val="Calibri"/>
        <family val="2"/>
      </rPr>
      <t xml:space="preserve"> (</t>
    </r>
    <r>
      <rPr>
        <b/>
        <sz val="20"/>
        <color rgb="FFFF0000"/>
        <rFont val="Calibri"/>
        <family val="2"/>
      </rPr>
      <t>Fisher Chemical, xxx</t>
    </r>
    <r>
      <rPr>
        <sz val="20"/>
        <color rgb="FF000000"/>
        <rFont val="Calibri"/>
        <family val="2"/>
      </rPr>
      <t>)</t>
    </r>
  </si>
  <si>
    <t>Recipe (1 L)</t>
  </si>
  <si>
    <t>Sonicate at RT for &gt;1 hour to fully dissolve</t>
  </si>
  <si>
    <t>30% w/v NaClO4 x2</t>
  </si>
  <si>
    <t>Fully dissolve in DMF first before adding ACN.</t>
  </si>
  <si>
    <t>Albert/Josh</t>
  </si>
  <si>
    <t>Amine-1 x2</t>
  </si>
  <si>
    <t>DEA/30%NH3.H2O, 5/95 %v/v</t>
  </si>
  <si>
    <t>Activator-1 (0.4 M)
Activator-1 (0.6 M)</t>
  </si>
  <si>
    <t>Activator-2 (0.7 M)
Activator-2 (1.0 M)</t>
  </si>
  <si>
    <t>0.4 M ETT in ACN
0.6 M ETT in ACN</t>
  </si>
  <si>
    <t>4 L x8 
(0.4 M)</t>
  </si>
  <si>
    <t>Nancy</t>
  </si>
  <si>
    <t>3%DCA in DCM, v/v
10%DCA in DCM, v/v</t>
  </si>
  <si>
    <t>Deblock-1 (3%)
Deblock-1 (10%)</t>
  </si>
  <si>
    <t>4 L x20
(3%)</t>
  </si>
  <si>
    <t>Deblock-1 (3%)</t>
  </si>
  <si>
    <t>Deblock-1 (10%)</t>
  </si>
  <si>
    <t>(TEDIA TR1850-001)</t>
  </si>
  <si>
    <t>Toluene</t>
  </si>
  <si>
    <r>
      <rPr>
        <b/>
        <sz val="24"/>
        <color rgb="FF0070C0"/>
        <rFont val="Calibri"/>
        <family val="2"/>
      </rPr>
      <t>3%DCA</t>
    </r>
    <r>
      <rPr>
        <b/>
        <sz val="20"/>
        <color rgb="FF0070C0"/>
        <rFont val="Calibri"/>
        <family val="2"/>
        <charset val="1"/>
      </rPr>
      <t xml:space="preserve">
0.124 L</t>
    </r>
    <r>
      <rPr>
        <sz val="20"/>
        <color rgb="FF000000"/>
        <rFont val="Calibri"/>
        <family val="2"/>
        <charset val="1"/>
      </rPr>
      <t xml:space="preserve"> Dichloroacetic Acid (</t>
    </r>
    <r>
      <rPr>
        <b/>
        <sz val="20"/>
        <color rgb="FFFF0000"/>
        <rFont val="Calibri"/>
        <family val="2"/>
        <charset val="1"/>
      </rPr>
      <t>Hongene, ON-190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4.0 L</t>
    </r>
    <r>
      <rPr>
        <sz val="20"/>
        <color rgb="FF000000"/>
        <rFont val="Calibri"/>
        <family val="2"/>
        <charset val="1"/>
      </rPr>
      <t xml:space="preserve"> Dichloromethane (</t>
    </r>
    <r>
      <rPr>
        <b/>
        <sz val="20"/>
        <color rgb="FFFF0000"/>
        <rFont val="Calibri"/>
        <family val="2"/>
        <charset val="1"/>
      </rPr>
      <t>Fisher, D37-4</t>
    </r>
    <r>
      <rPr>
        <sz val="20"/>
        <color rgb="FF000000"/>
        <rFont val="Calibri"/>
        <family val="2"/>
        <charset val="1"/>
      </rPr>
      <t xml:space="preserve">)
----------------------------------------------------------------
</t>
    </r>
    <r>
      <rPr>
        <b/>
        <sz val="24"/>
        <color rgb="FF0070C0"/>
        <rFont val="Calibri"/>
        <family val="2"/>
      </rPr>
      <t>10%DCA</t>
    </r>
    <r>
      <rPr>
        <b/>
        <sz val="20"/>
        <color rgb="FF0070C0"/>
        <rFont val="Calibri"/>
        <family val="2"/>
        <charset val="1"/>
      </rPr>
      <t xml:space="preserve">
0.444 L </t>
    </r>
    <r>
      <rPr>
        <sz val="20"/>
        <color theme="1"/>
        <rFont val="Calibri"/>
        <family val="2"/>
      </rPr>
      <t>Dichloroacetic Acid (</t>
    </r>
    <r>
      <rPr>
        <b/>
        <sz val="20"/>
        <color rgb="FFFF0000"/>
        <rFont val="Calibri"/>
        <family val="2"/>
      </rPr>
      <t>Hongene, ON-190</t>
    </r>
    <r>
      <rPr>
        <sz val="20"/>
        <color theme="1"/>
        <rFont val="Calibri"/>
        <family val="2"/>
      </rPr>
      <t>)</t>
    </r>
    <r>
      <rPr>
        <b/>
        <sz val="20"/>
        <color rgb="FF0070C0"/>
        <rFont val="Calibri"/>
        <family val="2"/>
        <charset val="1"/>
      </rPr>
      <t xml:space="preserve">
4.0 L </t>
    </r>
    <r>
      <rPr>
        <sz val="20"/>
        <color theme="1"/>
        <rFont val="Calibri"/>
        <family val="2"/>
      </rPr>
      <t xml:space="preserve">Dichloromethane </t>
    </r>
    <r>
      <rPr>
        <b/>
        <sz val="20"/>
        <color rgb="FFFF0000"/>
        <rFont val="Calibri"/>
        <family val="2"/>
      </rPr>
      <t>(Fisher, D37-4</t>
    </r>
    <r>
      <rPr>
        <sz val="20"/>
        <color theme="1"/>
        <rFont val="Calibri"/>
        <family val="2"/>
      </rPr>
      <t>)</t>
    </r>
  </si>
  <si>
    <r>
      <rPr>
        <b/>
        <sz val="24"/>
        <color rgb="FF0070C0"/>
        <rFont val="Calibri"/>
        <family val="2"/>
      </rPr>
      <t>0.4 M</t>
    </r>
    <r>
      <rPr>
        <b/>
        <sz val="20"/>
        <color rgb="FF0070C0"/>
        <rFont val="Calibri"/>
        <family val="2"/>
        <charset val="1"/>
      </rPr>
      <t xml:space="preserve">
208.3 g </t>
    </r>
    <r>
      <rPr>
        <sz val="20"/>
        <color rgb="FF000000"/>
        <rFont val="Calibri"/>
        <family val="2"/>
        <charset val="1"/>
      </rPr>
      <t>5-(Ethylthio)-1H-tetrazole (</t>
    </r>
    <r>
      <rPr>
        <b/>
        <sz val="20"/>
        <color rgb="FFFF0000"/>
        <rFont val="Calibri"/>
        <family val="2"/>
        <charset val="1"/>
      </rPr>
      <t>ChemGenes, RN-6397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4.0 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 xml:space="preserve">)
----------------------------------------------------------------
</t>
    </r>
    <r>
      <rPr>
        <b/>
        <sz val="24"/>
        <color rgb="FF0070C0"/>
        <rFont val="Calibri"/>
        <family val="2"/>
      </rPr>
      <t>0.6 M</t>
    </r>
    <r>
      <rPr>
        <sz val="20"/>
        <color rgb="FF000000"/>
        <rFont val="Calibri"/>
        <family val="2"/>
        <charset val="1"/>
      </rPr>
      <t xml:space="preserve">
</t>
    </r>
    <r>
      <rPr>
        <b/>
        <sz val="20"/>
        <color rgb="FF0070C0"/>
        <rFont val="Calibri"/>
        <family val="2"/>
      </rPr>
      <t xml:space="preserve">312.5 g </t>
    </r>
    <r>
      <rPr>
        <sz val="20"/>
        <color rgb="FF000000"/>
        <rFont val="Calibri"/>
        <family val="2"/>
        <charset val="1"/>
      </rPr>
      <t>5-(Ethylthio)-1H-tetrazole (</t>
    </r>
    <r>
      <rPr>
        <b/>
        <sz val="20"/>
        <color rgb="FFFF0000"/>
        <rFont val="Calibri"/>
        <family val="2"/>
      </rPr>
      <t>ChemGenes, RN-6397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</rPr>
      <t xml:space="preserve">4.0 L </t>
    </r>
    <r>
      <rPr>
        <sz val="20"/>
        <color rgb="FF000000"/>
        <rFont val="Calibri"/>
        <family val="2"/>
        <charset val="1"/>
      </rPr>
      <t>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</si>
  <si>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ACT-1 (0.6 M)</t>
  </si>
  <si>
    <t>ACT-1 (0.4 M)</t>
  </si>
  <si>
    <t>312.5 g</t>
  </si>
  <si>
    <t>ACT-2 (0.7 M)</t>
  </si>
  <si>
    <r>
      <rPr>
        <b/>
        <sz val="24"/>
        <color rgb="FF0070C0"/>
        <rFont val="Calibri"/>
        <family val="2"/>
      </rPr>
      <t>0.7 M</t>
    </r>
    <r>
      <rPr>
        <b/>
        <sz val="20"/>
        <color rgb="FF0070C0"/>
        <rFont val="Calibri"/>
        <family val="2"/>
        <charset val="1"/>
      </rPr>
      <t xml:space="preserve">
330.68 g</t>
    </r>
    <r>
      <rPr>
        <b/>
        <sz val="20"/>
        <color rgb="FF0070C0"/>
        <rFont val="Calibri"/>
        <family val="2"/>
      </rPr>
      <t xml:space="preserve"> </t>
    </r>
    <r>
      <rPr>
        <sz val="20"/>
        <color rgb="FF000000"/>
        <rFont val="Calibri"/>
        <family val="2"/>
        <charset val="1"/>
      </rPr>
      <t>4,5-Dicyanoimidazole (</t>
    </r>
    <r>
      <rPr>
        <b/>
        <sz val="20"/>
        <color rgb="FFFF0000"/>
        <rFont val="Calibri"/>
        <family val="2"/>
        <charset val="1"/>
      </rPr>
      <t>TEDIA, DCIFCC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31.9 mL</t>
    </r>
    <r>
      <rPr>
        <sz val="20"/>
        <color rgb="FF000000"/>
        <rFont val="Calibri"/>
        <family val="2"/>
        <charset val="1"/>
      </rPr>
      <t xml:space="preserve"> N-Methylimidazole (</t>
    </r>
    <r>
      <rPr>
        <b/>
        <sz val="20"/>
        <color rgb="FFFF0000"/>
        <rFont val="Calibri"/>
        <family val="2"/>
      </rPr>
      <t>Oakwood Chem, 005002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  <charset val="1"/>
      </rPr>
      <t>4.0 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 xml:space="preserve">)
-----------------------------------------------------------------------
</t>
    </r>
    <r>
      <rPr>
        <b/>
        <sz val="24"/>
        <color rgb="FF0070C0"/>
        <rFont val="Calibri"/>
        <family val="2"/>
      </rPr>
      <t>1.0 M</t>
    </r>
    <r>
      <rPr>
        <sz val="20"/>
        <color rgb="FF000000"/>
        <rFont val="Calibri"/>
        <family val="2"/>
        <charset val="1"/>
      </rPr>
      <t xml:space="preserve">
</t>
    </r>
    <r>
      <rPr>
        <b/>
        <sz val="20"/>
        <color rgb="FF0070C0"/>
        <rFont val="Calibri"/>
        <family val="2"/>
      </rPr>
      <t xml:space="preserve">472.4 g </t>
    </r>
    <r>
      <rPr>
        <sz val="20"/>
        <color rgb="FF000000"/>
        <rFont val="Calibri"/>
        <family val="2"/>
        <charset val="1"/>
      </rPr>
      <t>4,5-Dicyanoimidazole (</t>
    </r>
    <r>
      <rPr>
        <b/>
        <sz val="20"/>
        <color rgb="FFFF0000"/>
        <rFont val="Calibri"/>
        <family val="2"/>
      </rPr>
      <t>TEDIA, DCIFCC</t>
    </r>
    <r>
      <rPr>
        <sz val="20"/>
        <color rgb="FF000000"/>
        <rFont val="Calibri"/>
        <family val="2"/>
        <charset val="1"/>
      </rPr>
      <t xml:space="preserve">)
</t>
    </r>
    <r>
      <rPr>
        <b/>
        <sz val="20"/>
        <color rgb="FF0070C0"/>
        <rFont val="Calibri"/>
        <family val="2"/>
      </rPr>
      <t>31.9 mL</t>
    </r>
    <r>
      <rPr>
        <sz val="20"/>
        <color rgb="FF000000"/>
        <rFont val="Calibri"/>
        <family val="2"/>
        <charset val="1"/>
      </rPr>
      <t xml:space="preserve"> N-Methylimidazole (</t>
    </r>
    <r>
      <rPr>
        <b/>
        <sz val="20"/>
        <color rgb="FFFF0000"/>
        <rFont val="Calibri"/>
        <family val="2"/>
      </rPr>
      <t>Oakwood Chem, 00500</t>
    </r>
    <r>
      <rPr>
        <sz val="20"/>
        <color rgb="FF000000"/>
        <rFont val="Calibri"/>
        <family val="2"/>
        <charset val="1"/>
      </rPr>
      <t xml:space="preserve">2)
</t>
    </r>
    <r>
      <rPr>
        <b/>
        <sz val="20"/>
        <color rgb="FF0070C0"/>
        <rFont val="Calibri"/>
        <family val="2"/>
      </rPr>
      <t>4.0 L</t>
    </r>
    <r>
      <rPr>
        <sz val="20"/>
        <color rgb="FF000000"/>
        <rFont val="Calibri"/>
        <family val="2"/>
        <charset val="1"/>
      </rPr>
      <t xml:space="preserve"> Acetonitrile (</t>
    </r>
    <r>
      <rPr>
        <b/>
        <sz val="20"/>
        <color rgb="FFFF0000"/>
        <rFont val="Calibri"/>
        <family val="2"/>
      </rPr>
      <t>Fisher, BP1170-4</t>
    </r>
    <r>
      <rPr>
        <sz val="20"/>
        <color rgb="FF000000"/>
        <rFont val="Calibri"/>
        <family val="2"/>
        <charset val="1"/>
      </rPr>
      <t>)</t>
    </r>
  </si>
  <si>
    <t>330.7 g</t>
  </si>
  <si>
    <t>DCI</t>
  </si>
  <si>
    <t>(TEDIA, DCIFCC)</t>
  </si>
  <si>
    <t>31.9 mL</t>
  </si>
  <si>
    <t>ACT-2 (1.0 M)</t>
  </si>
  <si>
    <t>472.4 g</t>
  </si>
  <si>
    <t>0.2 M DBU +  0.1 M TMSCl in ACN</t>
  </si>
  <si>
    <t>5.98 mL</t>
  </si>
  <si>
    <t>DBU</t>
  </si>
  <si>
    <t>(Sigma, 139009)</t>
  </si>
  <si>
    <t>2.54 mL</t>
  </si>
  <si>
    <t>TMSCl</t>
  </si>
  <si>
    <t>(Sigma, 923611)</t>
  </si>
  <si>
    <t>191.5mL</t>
  </si>
  <si>
    <t>(Thermo, 125190025)</t>
  </si>
  <si>
    <t>(Fisher, D37-4)</t>
  </si>
  <si>
    <r>
      <rPr>
        <sz val="20"/>
        <color rgb="FFFF0000"/>
        <rFont val="Calibri"/>
        <family val="2"/>
      </rPr>
      <t>Anhydrous grade pyridine</t>
    </r>
    <r>
      <rPr>
        <sz val="20"/>
        <color rgb="FF000000"/>
        <rFont val="Calibri"/>
        <family val="2"/>
        <charset val="1"/>
      </rPr>
      <t xml:space="preserve">
</t>
    </r>
    <r>
      <rPr>
        <sz val="20"/>
        <color rgb="FFFF0000"/>
        <rFont val="Calibri"/>
        <family val="2"/>
      </rPr>
      <t>MM12 uses Thiolation-2</t>
    </r>
  </si>
  <si>
    <t>Amidite solution preparation</t>
  </si>
  <si>
    <t>MW</t>
  </si>
  <si>
    <t>Total volume 10g</t>
  </si>
  <si>
    <t>Total Volume 20g</t>
  </si>
  <si>
    <t>Solvent</t>
  </si>
  <si>
    <t>0.07M</t>
  </si>
  <si>
    <t>0.12M</t>
  </si>
  <si>
    <t>fA (Bz)</t>
  </si>
  <si>
    <t>fC (Ac)</t>
  </si>
  <si>
    <t>fG (iBu)</t>
  </si>
  <si>
    <t>mA (Bz)</t>
  </si>
  <si>
    <t>5Me-mC(Ac)</t>
  </si>
  <si>
    <t>mC (Ac)</t>
  </si>
  <si>
    <t>mG (iBu)</t>
  </si>
  <si>
    <t>10/90 DMF/ACN</t>
  </si>
  <si>
    <t>20/80 DMF/ACN</t>
  </si>
  <si>
    <t>mT</t>
  </si>
  <si>
    <t>dA (Bz)</t>
  </si>
  <si>
    <t>dC (Ac)</t>
  </si>
  <si>
    <t>5Me-dC (Ac)</t>
  </si>
  <si>
    <t>dG (dmf)</t>
  </si>
  <si>
    <t>dG (iBu)</t>
  </si>
  <si>
    <t>moeA (Bz)</t>
  </si>
  <si>
    <t>5Me-moeC (Ac)</t>
  </si>
  <si>
    <t>5Me-moeC (Bz)</t>
  </si>
  <si>
    <t>moeG (iBu)</t>
  </si>
  <si>
    <t>rA (Bz)</t>
  </si>
  <si>
    <t>rC (Ac)</t>
  </si>
  <si>
    <t>rG (Ac)</t>
  </si>
  <si>
    <t>rG (iBu)</t>
  </si>
  <si>
    <t>LNA-A (Bz)</t>
  </si>
  <si>
    <t>5Me-LNA-C (Ac)</t>
  </si>
  <si>
    <t>40/60 Toluene/ACN</t>
  </si>
  <si>
    <t>5Me-LNA-C (Bz)</t>
  </si>
  <si>
    <t>LNA-G (dmf)</t>
  </si>
  <si>
    <t>cEt-A (Bz)</t>
  </si>
  <si>
    <t>5Me-cEt-C (Bz)</t>
  </si>
  <si>
    <t>50/50 Toluene/ACN</t>
  </si>
  <si>
    <t>cEt-G (iBu)</t>
  </si>
  <si>
    <t>cEt-T</t>
  </si>
  <si>
    <t>UNA-A (Bz)</t>
  </si>
  <si>
    <t>UNA-C (Ac)</t>
  </si>
  <si>
    <t>UNA-G (iBu)</t>
  </si>
  <si>
    <t>UNA-U</t>
  </si>
  <si>
    <t>GNA-A (Bz)</t>
  </si>
  <si>
    <t>GNA-C (Ac)</t>
  </si>
  <si>
    <t>GNA-G (iBu)</t>
  </si>
  <si>
    <t>GNA-T</t>
  </si>
  <si>
    <t>TNA-A</t>
  </si>
  <si>
    <t>TNA-C</t>
  </si>
  <si>
    <t>TNA-G (Ac)</t>
  </si>
  <si>
    <t>TNA-G (bi-Prot)</t>
  </si>
  <si>
    <t>TNA-T</t>
  </si>
  <si>
    <t>Amino C6 (TFA)</t>
  </si>
  <si>
    <t>VPmA (Bz)</t>
  </si>
  <si>
    <t>VPmC (Ac)</t>
  </si>
  <si>
    <t>VPmG (iBu)</t>
  </si>
  <si>
    <t>VPmU</t>
  </si>
  <si>
    <t>Spacer 9</t>
  </si>
  <si>
    <t>Spacer 18</t>
  </si>
  <si>
    <t>SpC12</t>
  </si>
  <si>
    <t>5Palm</t>
  </si>
  <si>
    <t>25/75 ACN/DCM</t>
  </si>
  <si>
    <t>InvAb</t>
  </si>
  <si>
    <t>moeG (Ac)</t>
  </si>
  <si>
    <t>SpC3</t>
  </si>
  <si>
    <t>DBCO-TEG</t>
  </si>
  <si>
    <t>BiotinTEG</t>
  </si>
  <si>
    <t>5Biotin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</si>
</sst>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  <font>
      <sz val="11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26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26"/>
      <color rgb="FFFF0000"/>
      <name val="Calibri"/>
      <family val="2"/>
      <charset val="1"/>
    </font>
    <font>
      <sz val="20"/>
      <color rgb="FF000000"/>
      <name val="Calibri"/>
      <family val="2"/>
    </font>
    <font>
      <b/>
      <sz val="26"/>
      <color rgb="FF000000"/>
      <name val="Calibri"/>
      <family val="2"/>
      <charset val="1"/>
    </font>
    <font>
      <b/>
      <sz val="20"/>
      <color rgb="FF0070C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20"/>
      <color rgb="FF0070C0"/>
      <name val="Calibri"/>
      <family val="2"/>
    </font>
    <font>
      <b/>
      <sz val="20"/>
      <color rgb="FFFF0000"/>
      <name val="Calibri"/>
      <family val="2"/>
    </font>
    <font>
      <b/>
      <sz val="20"/>
      <color rgb="FFFF0000"/>
      <name val="Calibri"/>
      <family val="2"/>
      <charset val="1"/>
    </font>
    <font>
      <sz val="20"/>
      <color rgb="FF0070C0"/>
      <name val="Calibri"/>
      <family val="2"/>
      <charset val="1"/>
    </font>
    <font>
      <sz val="20"/>
      <color theme="0" tint="-0.249977111117893"/>
      <name val="Calibri"/>
      <family val="2"/>
      <charset val="1"/>
    </font>
    <font>
      <sz val="26"/>
      <color theme="0" tint="-0.249977111117893"/>
      <name val="Calibri"/>
      <family val="2"/>
      <charset val="1"/>
    </font>
    <font>
      <b/>
      <sz val="20"/>
      <color theme="0" tint="-0.249977111117893"/>
      <name val="Calibri"/>
      <family val="2"/>
      <charset val="1"/>
    </font>
    <font>
      <sz val="20"/>
      <color rgb="FFFF0000"/>
      <name val="Calibri"/>
      <family val="2"/>
    </font>
    <font>
      <b/>
      <sz val="20"/>
      <name val="Calibri"/>
      <family val="2"/>
      <charset val="1"/>
    </font>
    <font>
      <sz val="20"/>
      <name val="Calibri"/>
      <family val="2"/>
      <charset val="1"/>
    </font>
    <font>
      <sz val="36"/>
      <color rgb="FF000000"/>
      <name val="Calibri"/>
      <family val="2"/>
      <charset val="1"/>
    </font>
    <font>
      <sz val="48"/>
      <color rgb="FF000000"/>
      <name val="Calibri"/>
      <family val="2"/>
      <charset val="1"/>
    </font>
    <font>
      <sz val="72"/>
      <color rgb="FF000000"/>
      <name val="Calibri"/>
      <family val="2"/>
      <charset val="1"/>
    </font>
    <font>
      <b/>
      <sz val="200"/>
      <color rgb="FF000000"/>
      <name val="Calibri"/>
      <family val="2"/>
      <charset val="1"/>
    </font>
    <font>
      <b/>
      <sz val="36"/>
      <color rgb="FF000000"/>
      <name val="Calibri"/>
      <family val="2"/>
      <charset val="1"/>
    </font>
    <font>
      <b/>
      <sz val="26"/>
      <color rgb="FF000000"/>
      <name val="Calibri"/>
      <family val="2"/>
    </font>
    <font>
      <sz val="16"/>
      <color rgb="FFFF0000"/>
      <name val="Aptos Display"/>
      <family val="2"/>
      <scheme val="major"/>
    </font>
    <font>
      <sz val="20"/>
      <color rgb="FFFF0000"/>
      <name val="Calibri"/>
      <family val="2"/>
      <charset val="1"/>
    </font>
    <font>
      <sz val="22"/>
      <color rgb="FFFF0000"/>
      <name val="Calibri"/>
      <family val="2"/>
      <charset val="1"/>
    </font>
    <font>
      <sz val="20"/>
      <color theme="1"/>
      <name val="Calibri"/>
      <family val="2"/>
    </font>
    <font>
      <b/>
      <sz val="24"/>
      <color rgb="FF0070C0"/>
      <name val="Calibri"/>
      <family val="2"/>
    </font>
    <font>
      <b/>
      <sz val="24"/>
      <color rgb="FF000000"/>
      <name val="Calibri"/>
      <family val="2"/>
      <charset val="1"/>
    </font>
    <font>
      <b/>
      <sz val="15"/>
      <color theme="1"/>
      <name val="Aptos Display"/>
      <family val="2"/>
      <scheme val="major"/>
    </font>
    <font>
      <sz val="15"/>
      <color theme="1"/>
      <name val="Aptos Narrow"/>
      <family val="2"/>
      <scheme val="minor"/>
    </font>
    <font>
      <b/>
      <sz val="15"/>
      <color rgb="FF000000"/>
      <name val="Aptos"/>
      <family val="2"/>
    </font>
    <font>
      <b/>
      <sz val="15"/>
      <color rgb="FF950000"/>
      <name val="Aptos"/>
      <family val="2"/>
    </font>
    <font>
      <b/>
      <sz val="15"/>
      <color rgb="FF0072AE"/>
      <name val="Aptos"/>
      <family val="2"/>
    </font>
    <font>
      <sz val="15"/>
      <color rgb="FF000000"/>
      <name val="Aptos"/>
      <family val="2"/>
    </font>
    <font>
      <sz val="15"/>
      <color rgb="FF950000"/>
      <name val="Aptos"/>
      <family val="2"/>
    </font>
    <font>
      <sz val="15"/>
      <color rgb="FF0070C0"/>
      <name val="Aptos"/>
      <family val="2"/>
    </font>
    <font>
      <sz val="15"/>
      <color rgb="FFA20000"/>
      <name val="Aptos"/>
      <family val="2"/>
    </font>
    <font>
      <sz val="15"/>
      <color rgb="FF007BB8"/>
      <name val="Aptos"/>
      <family val="2"/>
    </font>
    <font>
      <sz val="15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E2F0D9"/>
      </patternFill>
    </fill>
    <fill>
      <patternFill patternType="solid">
        <fgColor rgb="FFDEEBF7"/>
        <bgColor rgb="FFE2F0D9"/>
      </patternFill>
    </fill>
    <fill>
      <patternFill patternType="solid">
        <fgColor rgb="FFD9D9D9"/>
        <bgColor rgb="FFDEEBF7"/>
      </patternFill>
    </fill>
    <fill>
      <patternFill patternType="solid">
        <fgColor theme="9" tint="0.79998168889431442"/>
        <bgColor rgb="FFDEEBF7"/>
      </patternFill>
    </fill>
    <fill>
      <patternFill patternType="solid">
        <fgColor rgb="FFE2F0D9"/>
        <bgColor rgb="FFDEEBF7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BE2D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3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5" borderId="7" xfId="1" applyFont="1" applyFill="1" applyBorder="1" applyAlignment="1">
      <alignment horizontal="left" vertical="center" wrapText="1"/>
    </xf>
    <xf numFmtId="0" fontId="6" fillId="6" borderId="7" xfId="1" applyFont="1" applyFill="1" applyBorder="1" applyAlignment="1">
      <alignment horizontal="left" vertical="center" wrapText="1"/>
    </xf>
    <xf numFmtId="0" fontId="6" fillId="0" borderId="7" xfId="1" applyFont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5" borderId="8" xfId="1" applyFont="1" applyFill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6" fillId="6" borderId="8" xfId="1" applyFont="1" applyFill="1" applyBorder="1" applyAlignment="1">
      <alignment horizontal="left" vertical="center" wrapText="1"/>
    </xf>
    <xf numFmtId="0" fontId="6" fillId="0" borderId="8" xfId="1" applyFont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5" borderId="9" xfId="1" applyFont="1" applyFill="1" applyBorder="1" applyAlignment="1">
      <alignment horizontal="left" vertical="center" wrapText="1"/>
    </xf>
    <xf numFmtId="0" fontId="6" fillId="6" borderId="9" xfId="1" applyFont="1" applyFill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left" vertical="center" wrapText="1"/>
    </xf>
    <xf numFmtId="0" fontId="6" fillId="8" borderId="8" xfId="1" applyFont="1" applyFill="1" applyBorder="1" applyAlignment="1">
      <alignment horizontal="left" vertical="center"/>
    </xf>
    <xf numFmtId="0" fontId="6" fillId="8" borderId="8" xfId="1" applyFont="1" applyFill="1" applyBorder="1" applyAlignment="1">
      <alignment horizontal="center" vertical="center"/>
    </xf>
    <xf numFmtId="0" fontId="6" fillId="6" borderId="8" xfId="1" applyFont="1" applyFill="1" applyBorder="1" applyAlignment="1">
      <alignment horizontal="center" vertical="center"/>
    </xf>
    <xf numFmtId="0" fontId="10" fillId="7" borderId="8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/>
    </xf>
    <xf numFmtId="0" fontId="12" fillId="7" borderId="8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 wrapText="1"/>
    </xf>
    <xf numFmtId="0" fontId="6" fillId="0" borderId="8" xfId="1" applyFont="1" applyBorder="1" applyAlignment="1">
      <alignment vertical="center"/>
    </xf>
    <xf numFmtId="0" fontId="7" fillId="7" borderId="8" xfId="1" applyFont="1" applyFill="1" applyBorder="1" applyAlignment="1">
      <alignment vertical="center"/>
    </xf>
    <xf numFmtId="0" fontId="6" fillId="9" borderId="8" xfId="1" applyFont="1" applyFill="1" applyBorder="1" applyAlignment="1">
      <alignment horizontal="left" vertical="center"/>
    </xf>
    <xf numFmtId="0" fontId="6" fillId="9" borderId="8" xfId="1" applyFont="1" applyFill="1" applyBorder="1" applyAlignment="1">
      <alignment horizontal="center" vertical="center"/>
    </xf>
    <xf numFmtId="0" fontId="17" fillId="0" borderId="8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18" fillId="9" borderId="8" xfId="1" applyFont="1" applyFill="1" applyBorder="1" applyAlignment="1">
      <alignment horizontal="left" vertical="center"/>
    </xf>
    <xf numFmtId="0" fontId="18" fillId="9" borderId="8" xfId="1" applyFont="1" applyFill="1" applyBorder="1" applyAlignment="1">
      <alignment horizontal="center" vertical="center"/>
    </xf>
    <xf numFmtId="0" fontId="6" fillId="6" borderId="8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right" vertical="center"/>
    </xf>
    <xf numFmtId="0" fontId="23" fillId="0" borderId="13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23" fillId="0" borderId="13" xfId="1" applyFont="1" applyBorder="1" applyAlignment="1">
      <alignment horizontal="right" vertical="center"/>
    </xf>
    <xf numFmtId="0" fontId="24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right" vertical="center" wrapText="1"/>
    </xf>
    <xf numFmtId="0" fontId="25" fillId="0" borderId="0" xfId="1" applyFont="1" applyAlignment="1">
      <alignment horizontal="right" vertical="center"/>
    </xf>
    <xf numFmtId="0" fontId="23" fillId="0" borderId="8" xfId="1" applyFont="1" applyBorder="1" applyAlignment="1">
      <alignment horizontal="center" vertical="center"/>
    </xf>
    <xf numFmtId="0" fontId="25" fillId="0" borderId="0" xfId="1" applyFont="1" applyAlignment="1">
      <alignment horizontal="center" vertical="center" wrapText="1"/>
    </xf>
    <xf numFmtId="0" fontId="25" fillId="0" borderId="8" xfId="1" applyFont="1" applyBorder="1" applyAlignment="1">
      <alignment horizontal="center" vertical="center"/>
    </xf>
    <xf numFmtId="0" fontId="26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27" fillId="0" borderId="0" xfId="1" applyFont="1" applyAlignment="1">
      <alignment vertical="center"/>
    </xf>
    <xf numFmtId="0" fontId="8" fillId="0" borderId="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20" fillId="0" borderId="8" xfId="1" applyFont="1" applyBorder="1" applyAlignment="1">
      <alignment horizontal="left" vertical="center" wrapText="1"/>
    </xf>
    <xf numFmtId="0" fontId="30" fillId="0" borderId="8" xfId="1" applyFont="1" applyBorder="1" applyAlignment="1">
      <alignment horizontal="left" vertical="center" wrapText="1"/>
    </xf>
    <xf numFmtId="0" fontId="31" fillId="0" borderId="7" xfId="1" applyFont="1" applyBorder="1" applyAlignment="1">
      <alignment horizontal="left" vertical="center" wrapText="1"/>
    </xf>
    <xf numFmtId="0" fontId="29" fillId="0" borderId="5" xfId="0" applyFont="1" applyBorder="1"/>
    <xf numFmtId="0" fontId="29" fillId="0" borderId="6" xfId="0" applyFont="1" applyBorder="1" applyAlignment="1">
      <alignment horizontal="center"/>
    </xf>
    <xf numFmtId="0" fontId="29" fillId="3" borderId="14" xfId="0" applyFont="1" applyFill="1" applyBorder="1"/>
    <xf numFmtId="0" fontId="29" fillId="3" borderId="15" xfId="0" applyFont="1" applyFill="1" applyBorder="1" applyAlignment="1">
      <alignment horizontal="center"/>
    </xf>
    <xf numFmtId="0" fontId="13" fillId="0" borderId="8" xfId="1" applyFont="1" applyBorder="1" applyAlignment="1">
      <alignment horizontal="left" vertical="center" wrapText="1"/>
    </xf>
    <xf numFmtId="0" fontId="28" fillId="7" borderId="8" xfId="1" applyFont="1" applyFill="1" applyBorder="1" applyAlignment="1">
      <alignment horizontal="center" vertical="center" wrapText="1"/>
    </xf>
    <xf numFmtId="0" fontId="36" fillId="0" borderId="0" xfId="0" applyFont="1"/>
    <xf numFmtId="0" fontId="38" fillId="10" borderId="8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0" fontId="37" fillId="11" borderId="3" xfId="0" applyFont="1" applyFill="1" applyBorder="1" applyAlignment="1">
      <alignment horizontal="left" vertical="center" indent="1"/>
    </xf>
    <xf numFmtId="0" fontId="40" fillId="12" borderId="8" xfId="0" applyFont="1" applyFill="1" applyBorder="1" applyAlignment="1">
      <alignment horizontal="center" vertical="center"/>
    </xf>
    <xf numFmtId="1" fontId="41" fillId="0" borderId="8" xfId="0" applyNumberFormat="1" applyFont="1" applyBorder="1" applyAlignment="1">
      <alignment horizontal="center" vertical="center"/>
    </xf>
    <xf numFmtId="1" fontId="42" fillId="0" borderId="8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37" fillId="11" borderId="17" xfId="0" applyFont="1" applyFill="1" applyBorder="1" applyAlignment="1">
      <alignment horizontal="left" vertical="center" indent="1"/>
    </xf>
    <xf numFmtId="2" fontId="40" fillId="12" borderId="8" xfId="0" applyNumberFormat="1" applyFont="1" applyFill="1" applyBorder="1" applyAlignment="1">
      <alignment horizontal="center" vertical="center"/>
    </xf>
    <xf numFmtId="1" fontId="41" fillId="0" borderId="18" xfId="0" applyNumberFormat="1" applyFont="1" applyBorder="1" applyAlignment="1">
      <alignment horizontal="center" vertical="center"/>
    </xf>
    <xf numFmtId="1" fontId="42" fillId="0" borderId="18" xfId="0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/>
    </xf>
    <xf numFmtId="0" fontId="40" fillId="12" borderId="18" xfId="0" applyFont="1" applyFill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37" fillId="11" borderId="5" xfId="0" applyFont="1" applyFill="1" applyBorder="1" applyAlignment="1">
      <alignment horizontal="left" vertical="center" indent="1"/>
    </xf>
    <xf numFmtId="0" fontId="40" fillId="12" borderId="7" xfId="0" applyFont="1" applyFill="1" applyBorder="1" applyAlignment="1">
      <alignment horizontal="center" vertical="center"/>
    </xf>
    <xf numFmtId="1" fontId="41" fillId="0" borderId="7" xfId="0" applyNumberFormat="1" applyFont="1" applyBorder="1" applyAlignment="1">
      <alignment horizontal="center" vertical="center"/>
    </xf>
    <xf numFmtId="1" fontId="42" fillId="0" borderId="7" xfId="0" applyNumberFormat="1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10" fillId="7" borderId="12" xfId="1" applyFont="1" applyFill="1" applyBorder="1" applyAlignment="1">
      <alignment horizontal="center" vertical="center"/>
    </xf>
    <xf numFmtId="0" fontId="10" fillId="7" borderId="11" xfId="1" applyFont="1" applyFill="1" applyBorder="1" applyAlignment="1">
      <alignment horizontal="center" vertical="center"/>
    </xf>
    <xf numFmtId="0" fontId="10" fillId="7" borderId="10" xfId="1" applyFont="1" applyFill="1" applyBorder="1" applyAlignment="1">
      <alignment horizontal="center" vertical="center"/>
    </xf>
    <xf numFmtId="0" fontId="10" fillId="7" borderId="8" xfId="1" applyFont="1" applyFill="1" applyBorder="1" applyAlignment="1">
      <alignment horizontal="center" vertical="center"/>
    </xf>
    <xf numFmtId="0" fontId="37" fillId="11" borderId="17" xfId="0" applyFont="1" applyFill="1" applyBorder="1" applyAlignment="1">
      <alignment horizontal="left" vertical="center" indent="1"/>
    </xf>
    <xf numFmtId="0" fontId="37" fillId="11" borderId="19" xfId="0" applyFont="1" applyFill="1" applyBorder="1" applyAlignment="1">
      <alignment horizontal="left" vertical="center" indent="1"/>
    </xf>
    <xf numFmtId="0" fontId="40" fillId="12" borderId="8" xfId="0" applyFont="1" applyFill="1" applyBorder="1" applyAlignment="1">
      <alignment horizontal="center" vertical="center"/>
    </xf>
    <xf numFmtId="1" fontId="41" fillId="0" borderId="18" xfId="0" applyNumberFormat="1" applyFont="1" applyBorder="1" applyAlignment="1">
      <alignment horizontal="center" vertical="center"/>
    </xf>
    <xf numFmtId="1" fontId="41" fillId="0" borderId="9" xfId="0" applyNumberFormat="1" applyFont="1" applyBorder="1" applyAlignment="1">
      <alignment horizontal="center" vertical="center"/>
    </xf>
    <xf numFmtId="1" fontId="42" fillId="0" borderId="18" xfId="0" applyNumberFormat="1" applyFont="1" applyBorder="1" applyAlignment="1">
      <alignment horizontal="center" vertical="center"/>
    </xf>
    <xf numFmtId="1" fontId="42" fillId="0" borderId="9" xfId="0" applyNumberFormat="1" applyFont="1" applyBorder="1" applyAlignment="1">
      <alignment horizontal="center" vertical="center"/>
    </xf>
    <xf numFmtId="2" fontId="40" fillId="12" borderId="8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7" fillId="10" borderId="1" xfId="0" applyFont="1" applyFill="1" applyBorder="1" applyAlignment="1">
      <alignment horizontal="center" vertical="center"/>
    </xf>
    <xf numFmtId="0" fontId="37" fillId="10" borderId="3" xfId="0" applyFont="1" applyFill="1" applyBorder="1" applyAlignment="1">
      <alignment horizontal="center" vertical="center"/>
    </xf>
    <xf numFmtId="0" fontId="37" fillId="10" borderId="16" xfId="0" applyFont="1" applyFill="1" applyBorder="1" applyAlignment="1">
      <alignment horizontal="center" vertical="center"/>
    </xf>
    <xf numFmtId="0" fontId="37" fillId="10" borderId="8" xfId="0" applyFont="1" applyFill="1" applyBorder="1" applyAlignment="1">
      <alignment horizontal="center" vertical="center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center" vertical="center"/>
    </xf>
    <xf numFmtId="0" fontId="37" fillId="10" borderId="4" xfId="0" applyFont="1" applyFill="1" applyBorder="1" applyAlignment="1">
      <alignment horizontal="center" vertical="center"/>
    </xf>
    <xf numFmtId="0" fontId="34" fillId="7" borderId="8" xfId="1" applyFont="1" applyFill="1" applyBorder="1" applyAlignment="1">
      <alignment horizontal="center" vertical="center"/>
    </xf>
    <xf numFmtId="0" fontId="34" fillId="7" borderId="8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/>
    </xf>
    <xf numFmtId="0" fontId="24" fillId="0" borderId="0" xfId="1" applyFont="1" applyAlignment="1">
      <alignment horizontal="left" vertical="center"/>
    </xf>
    <xf numFmtId="0" fontId="24" fillId="0" borderId="0" xfId="1" applyFont="1" applyAlignment="1">
      <alignment horizontal="right" vertical="center"/>
    </xf>
    <xf numFmtId="0" fontId="26" fillId="0" borderId="0" xfId="1" applyFont="1" applyAlignment="1">
      <alignment horizontal="left" vertical="center"/>
    </xf>
    <xf numFmtId="0" fontId="26" fillId="0" borderId="0" xfId="1" applyFont="1" applyAlignment="1">
      <alignment horizontal="center" vertical="center"/>
    </xf>
  </cellXfs>
  <cellStyles count="2">
    <cellStyle name="Normal" xfId="0" builtinId="0"/>
    <cellStyle name="Normal 2" xfId="1" xr:uid="{373169AB-F63F-4806-8D1E-B688330E8C2E}"/>
  </cellStyles>
  <dxfs count="1">
    <dxf>
      <font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2D0A-0AC0-44C4-99A8-E448A7EC65E5}">
  <sheetPr>
    <pageSetUpPr fitToPage="1"/>
  </sheetPr>
  <dimension ref="A1:F16"/>
  <sheetViews>
    <sheetView zoomScale="80" zoomScaleNormal="80" workbookViewId="0">
      <selection activeCell="E23" sqref="E23"/>
    </sheetView>
  </sheetViews>
  <sheetFormatPr defaultColWidth="9.140625" defaultRowHeight="21" x14ac:dyDescent="0.35"/>
  <cols>
    <col min="1" max="1" width="9.140625" style="1" customWidth="1"/>
    <col min="2" max="2" width="17.42578125" style="1" customWidth="1"/>
    <col min="3" max="3" width="17.5703125" style="1" customWidth="1"/>
    <col min="4" max="4" width="9.140625" style="1"/>
    <col min="5" max="5" width="38.42578125" style="1" bestFit="1" customWidth="1"/>
    <col min="6" max="6" width="24.7109375" style="1" customWidth="1"/>
    <col min="7" max="16384" width="9.140625" style="1"/>
  </cols>
  <sheetData>
    <row r="1" spans="1:6" ht="24" x14ac:dyDescent="0.4">
      <c r="A1" s="2" t="s">
        <v>0</v>
      </c>
    </row>
    <row r="2" spans="1:6" ht="21.75" thickBot="1" x14ac:dyDescent="0.4"/>
    <row r="3" spans="1:6" ht="29.25" customHeight="1" x14ac:dyDescent="0.35">
      <c r="B3" s="3" t="s">
        <v>1</v>
      </c>
      <c r="C3" s="4" t="s">
        <v>2</v>
      </c>
      <c r="E3" s="3" t="s">
        <v>12</v>
      </c>
      <c r="F3" s="4" t="s">
        <v>2</v>
      </c>
    </row>
    <row r="4" spans="1:6" x14ac:dyDescent="0.35">
      <c r="B4" s="5" t="s">
        <v>3</v>
      </c>
      <c r="C4" s="6" t="s">
        <v>9</v>
      </c>
      <c r="E4" s="5" t="s">
        <v>188</v>
      </c>
      <c r="F4" s="6" t="s">
        <v>197</v>
      </c>
    </row>
    <row r="5" spans="1:6" x14ac:dyDescent="0.35">
      <c r="B5" s="7" t="s">
        <v>4</v>
      </c>
      <c r="C5" s="8" t="s">
        <v>9</v>
      </c>
      <c r="E5" s="7" t="s">
        <v>18</v>
      </c>
      <c r="F5" s="8" t="s">
        <v>197</v>
      </c>
    </row>
    <row r="6" spans="1:6" x14ac:dyDescent="0.35">
      <c r="B6" s="5" t="s">
        <v>5</v>
      </c>
      <c r="C6" s="6" t="s">
        <v>10</v>
      </c>
      <c r="E6" s="5" t="s">
        <v>19</v>
      </c>
      <c r="F6" s="6" t="s">
        <v>15</v>
      </c>
    </row>
    <row r="7" spans="1:6" x14ac:dyDescent="0.35">
      <c r="B7" s="7" t="s">
        <v>6</v>
      </c>
      <c r="C7" s="8" t="s">
        <v>10</v>
      </c>
      <c r="E7" s="7" t="s">
        <v>20</v>
      </c>
      <c r="F7" s="8" t="s">
        <v>14</v>
      </c>
    </row>
    <row r="8" spans="1:6" x14ac:dyDescent="0.35">
      <c r="B8" s="5" t="s">
        <v>7</v>
      </c>
      <c r="C8" s="6" t="s">
        <v>11</v>
      </c>
      <c r="E8" s="5" t="s">
        <v>21</v>
      </c>
      <c r="F8" s="6" t="s">
        <v>16</v>
      </c>
    </row>
    <row r="9" spans="1:6" ht="21.75" thickBot="1" x14ac:dyDescent="0.4">
      <c r="B9" s="9" t="s">
        <v>8</v>
      </c>
      <c r="C9" s="10" t="s">
        <v>11</v>
      </c>
      <c r="E9" s="7" t="s">
        <v>22</v>
      </c>
      <c r="F9" s="8" t="s">
        <v>17</v>
      </c>
    </row>
    <row r="10" spans="1:6" x14ac:dyDescent="0.35">
      <c r="E10" s="5" t="s">
        <v>23</v>
      </c>
      <c r="F10" s="6" t="s">
        <v>14</v>
      </c>
    </row>
    <row r="11" spans="1:6" x14ac:dyDescent="0.35">
      <c r="E11" s="7" t="s">
        <v>24</v>
      </c>
      <c r="F11" s="8" t="s">
        <v>16</v>
      </c>
    </row>
    <row r="12" spans="1:6" x14ac:dyDescent="0.35">
      <c r="E12" s="5" t="s">
        <v>25</v>
      </c>
      <c r="F12" s="6" t="s">
        <v>13</v>
      </c>
    </row>
    <row r="13" spans="1:6" x14ac:dyDescent="0.35">
      <c r="E13" s="7" t="s">
        <v>26</v>
      </c>
      <c r="F13" s="8" t="s">
        <v>13</v>
      </c>
    </row>
    <row r="14" spans="1:6" x14ac:dyDescent="0.35">
      <c r="E14" s="5" t="s">
        <v>195</v>
      </c>
      <c r="F14" s="6" t="s">
        <v>13</v>
      </c>
    </row>
    <row r="15" spans="1:6" ht="21.75" thickBot="1" x14ac:dyDescent="0.4">
      <c r="E15" s="78" t="s">
        <v>198</v>
      </c>
      <c r="F15" s="79" t="s">
        <v>17</v>
      </c>
    </row>
    <row r="16" spans="1:6" ht="21.75" thickBot="1" x14ac:dyDescent="0.4">
      <c r="E16" s="80" t="s">
        <v>199</v>
      </c>
      <c r="F16" s="81" t="s">
        <v>204</v>
      </c>
    </row>
  </sheetData>
  <sortState xmlns:xlrd2="http://schemas.microsoft.com/office/spreadsheetml/2017/richdata2" ref="E4:F13">
    <sortCondition ref="E4:E13"/>
  </sortState>
  <pageMargins left="0.7" right="0.7" top="0.75" bottom="0.75" header="0.3" footer="0.3"/>
  <pageSetup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3A9E-5D92-4212-891E-D8495F27E9BC}">
  <sheetPr>
    <pageSetUpPr fitToPage="1"/>
  </sheetPr>
  <dimension ref="A1:G30"/>
  <sheetViews>
    <sheetView view="pageBreakPreview" zoomScale="50" zoomScaleNormal="60" zoomScaleSheetLayoutView="50" workbookViewId="0">
      <selection activeCell="G22" sqref="G22"/>
    </sheetView>
  </sheetViews>
  <sheetFormatPr defaultColWidth="8.7109375" defaultRowHeight="33.75" x14ac:dyDescent="0.25"/>
  <cols>
    <col min="1" max="1" width="28.5703125" style="16" customWidth="1"/>
    <col min="2" max="2" width="38.85546875" style="15" customWidth="1"/>
    <col min="3" max="3" width="40" style="13" customWidth="1"/>
    <col min="4" max="4" width="38.7109375" style="14" customWidth="1"/>
    <col min="5" max="5" width="40.140625" style="14" customWidth="1"/>
    <col min="6" max="6" width="41.7109375" style="13" bestFit="1" customWidth="1"/>
    <col min="7" max="7" width="51.42578125" style="12" customWidth="1"/>
    <col min="8" max="16384" width="8.7109375" style="11"/>
  </cols>
  <sheetData>
    <row r="1" spans="1:7" ht="99.75" customHeight="1" x14ac:dyDescent="0.25">
      <c r="A1" s="43" t="s">
        <v>69</v>
      </c>
      <c r="B1" s="110" t="s">
        <v>68</v>
      </c>
      <c r="C1" s="110"/>
      <c r="D1" s="42"/>
      <c r="E1" s="42"/>
      <c r="F1" s="42"/>
      <c r="G1" s="41" t="s">
        <v>67</v>
      </c>
    </row>
    <row r="2" spans="1:7" ht="131.25" x14ac:dyDescent="0.25">
      <c r="A2" s="29" t="s">
        <v>66</v>
      </c>
      <c r="B2" s="40" t="s">
        <v>65</v>
      </c>
      <c r="C2" s="27" t="s">
        <v>30</v>
      </c>
      <c r="D2" s="37"/>
      <c r="E2" s="37"/>
      <c r="F2" s="24"/>
      <c r="G2" s="23" t="s">
        <v>62</v>
      </c>
    </row>
    <row r="3" spans="1:7" ht="126" customHeight="1" x14ac:dyDescent="0.25">
      <c r="A3" s="29" t="s">
        <v>64</v>
      </c>
      <c r="B3" s="39" t="s">
        <v>63</v>
      </c>
      <c r="C3" s="38" t="s">
        <v>28</v>
      </c>
      <c r="D3" s="37"/>
      <c r="E3" s="37"/>
      <c r="F3" s="24"/>
      <c r="G3" s="23" t="s">
        <v>62</v>
      </c>
    </row>
    <row r="4" spans="1:7" ht="54" customHeight="1" x14ac:dyDescent="0.25">
      <c r="A4" s="29"/>
      <c r="B4" s="107" t="s">
        <v>61</v>
      </c>
      <c r="C4" s="108"/>
      <c r="D4" s="108"/>
      <c r="E4" s="108"/>
      <c r="F4" s="108"/>
      <c r="G4" s="109"/>
    </row>
    <row r="5" spans="1:7" ht="50.25" customHeight="1" x14ac:dyDescent="0.25">
      <c r="A5" s="29"/>
      <c r="B5" s="36" t="s">
        <v>60</v>
      </c>
      <c r="C5" s="27" t="s">
        <v>30</v>
      </c>
      <c r="D5" s="24" t="s">
        <v>29</v>
      </c>
      <c r="E5" s="25" t="s">
        <v>28</v>
      </c>
      <c r="F5" s="24" t="s">
        <v>27</v>
      </c>
      <c r="G5" s="23"/>
    </row>
    <row r="6" spans="1:7" ht="67.5" x14ac:dyDescent="0.25">
      <c r="A6" s="29"/>
      <c r="B6" s="73" t="s">
        <v>184</v>
      </c>
      <c r="C6" s="27" t="s">
        <v>30</v>
      </c>
      <c r="D6" s="24" t="s">
        <v>29</v>
      </c>
      <c r="E6" s="25" t="s">
        <v>28</v>
      </c>
      <c r="F6" s="24" t="s">
        <v>27</v>
      </c>
      <c r="G6" s="23"/>
    </row>
    <row r="7" spans="1:7" ht="50.25" customHeight="1" x14ac:dyDescent="0.25">
      <c r="A7" s="29"/>
      <c r="B7" s="36" t="s">
        <v>59</v>
      </c>
      <c r="C7" s="27" t="s">
        <v>30</v>
      </c>
      <c r="D7" s="24" t="s">
        <v>29</v>
      </c>
      <c r="E7" s="25" t="s">
        <v>28</v>
      </c>
      <c r="F7" s="24" t="s">
        <v>27</v>
      </c>
      <c r="G7" s="23"/>
    </row>
    <row r="8" spans="1:7" ht="67.5" x14ac:dyDescent="0.25">
      <c r="A8" s="29"/>
      <c r="B8" s="73" t="s">
        <v>186</v>
      </c>
      <c r="C8" s="27" t="s">
        <v>30</v>
      </c>
      <c r="D8" s="26" t="s">
        <v>27</v>
      </c>
      <c r="E8" s="25" t="s">
        <v>28</v>
      </c>
      <c r="F8" s="24" t="s">
        <v>27</v>
      </c>
      <c r="G8" s="23"/>
    </row>
    <row r="9" spans="1:7" ht="50.25" customHeight="1" thickBot="1" x14ac:dyDescent="0.3">
      <c r="A9" s="22"/>
      <c r="B9" s="21" t="s">
        <v>58</v>
      </c>
      <c r="C9" s="20" t="s">
        <v>30</v>
      </c>
      <c r="D9" s="18" t="s">
        <v>29</v>
      </c>
      <c r="E9" s="19" t="s">
        <v>28</v>
      </c>
      <c r="F9" s="18" t="s">
        <v>27</v>
      </c>
      <c r="G9" s="17"/>
    </row>
    <row r="10" spans="1:7" ht="50.25" customHeight="1" x14ac:dyDescent="0.25">
      <c r="A10" s="35"/>
      <c r="B10" s="34" t="s">
        <v>57</v>
      </c>
      <c r="C10" s="33" t="s">
        <v>30</v>
      </c>
      <c r="D10" s="24" t="s">
        <v>29</v>
      </c>
      <c r="E10" s="32" t="s">
        <v>28</v>
      </c>
      <c r="F10" s="31" t="s">
        <v>27</v>
      </c>
      <c r="G10" s="30"/>
    </row>
    <row r="11" spans="1:7" ht="50.25" customHeight="1" x14ac:dyDescent="0.25">
      <c r="A11" s="29"/>
      <c r="B11" s="36" t="s">
        <v>56</v>
      </c>
      <c r="C11" s="27" t="s">
        <v>30</v>
      </c>
      <c r="D11" s="24" t="s">
        <v>29</v>
      </c>
      <c r="E11" s="25" t="s">
        <v>28</v>
      </c>
      <c r="F11" s="24" t="s">
        <v>27</v>
      </c>
      <c r="G11" s="23"/>
    </row>
    <row r="12" spans="1:7" ht="50.25" customHeight="1" x14ac:dyDescent="0.25">
      <c r="A12" s="29"/>
      <c r="B12" s="74" t="s">
        <v>55</v>
      </c>
      <c r="C12" s="27" t="s">
        <v>30</v>
      </c>
      <c r="D12" s="26" t="s">
        <v>27</v>
      </c>
      <c r="E12" s="25" t="s">
        <v>28</v>
      </c>
      <c r="F12" s="26" t="s">
        <v>185</v>
      </c>
      <c r="G12" s="23"/>
    </row>
    <row r="13" spans="1:7" ht="50.25" customHeight="1" x14ac:dyDescent="0.25">
      <c r="A13" s="29"/>
      <c r="B13" s="74" t="s">
        <v>54</v>
      </c>
      <c r="C13" s="27" t="s">
        <v>30</v>
      </c>
      <c r="D13" s="26" t="s">
        <v>27</v>
      </c>
      <c r="E13" s="25" t="s">
        <v>28</v>
      </c>
      <c r="F13" s="24" t="s">
        <v>27</v>
      </c>
      <c r="G13" s="76" t="s">
        <v>190</v>
      </c>
    </row>
    <row r="14" spans="1:7" ht="50.25" customHeight="1" thickBot="1" x14ac:dyDescent="0.3">
      <c r="A14" s="22"/>
      <c r="B14" s="21" t="s">
        <v>53</v>
      </c>
      <c r="C14" s="20" t="s">
        <v>30</v>
      </c>
      <c r="D14" s="18" t="s">
        <v>29</v>
      </c>
      <c r="E14" s="19" t="s">
        <v>28</v>
      </c>
      <c r="F14" s="18" t="s">
        <v>27</v>
      </c>
      <c r="G14" s="17"/>
    </row>
    <row r="15" spans="1:7" ht="50.25" customHeight="1" x14ac:dyDescent="0.25">
      <c r="A15" s="35"/>
      <c r="B15" s="34" t="s">
        <v>52</v>
      </c>
      <c r="C15" s="33" t="s">
        <v>30</v>
      </c>
      <c r="D15" s="31" t="s">
        <v>50</v>
      </c>
      <c r="E15" s="32" t="s">
        <v>28</v>
      </c>
      <c r="F15" s="31" t="s">
        <v>29</v>
      </c>
      <c r="G15" s="30"/>
    </row>
    <row r="16" spans="1:7" ht="50.25" customHeight="1" x14ac:dyDescent="0.25">
      <c r="A16" s="29"/>
      <c r="B16" s="36" t="s">
        <v>51</v>
      </c>
      <c r="C16" s="27" t="s">
        <v>30</v>
      </c>
      <c r="D16" s="24" t="s">
        <v>50</v>
      </c>
      <c r="E16" s="25" t="s">
        <v>28</v>
      </c>
      <c r="F16" s="24" t="s">
        <v>29</v>
      </c>
      <c r="G16" s="23"/>
    </row>
    <row r="17" spans="1:7" ht="50.25" customHeight="1" x14ac:dyDescent="0.25">
      <c r="A17" s="29"/>
      <c r="B17" s="36" t="s">
        <v>49</v>
      </c>
      <c r="C17" s="27" t="s">
        <v>30</v>
      </c>
      <c r="D17" s="26" t="s">
        <v>27</v>
      </c>
      <c r="E17" s="25" t="s">
        <v>28</v>
      </c>
      <c r="F17" s="26" t="s">
        <v>27</v>
      </c>
      <c r="G17" s="23"/>
    </row>
    <row r="18" spans="1:7" ht="60.75" thickBot="1" x14ac:dyDescent="0.3">
      <c r="A18" s="22"/>
      <c r="B18" s="21" t="s">
        <v>48</v>
      </c>
      <c r="C18" s="20" t="s">
        <v>30</v>
      </c>
      <c r="D18" s="18" t="s">
        <v>47</v>
      </c>
      <c r="E18" s="19" t="s">
        <v>28</v>
      </c>
      <c r="F18" s="18" t="s">
        <v>46</v>
      </c>
      <c r="G18" s="77" t="s">
        <v>196</v>
      </c>
    </row>
    <row r="19" spans="1:7" ht="50.25" customHeight="1" x14ac:dyDescent="0.25">
      <c r="A19" s="35"/>
      <c r="B19" s="34" t="s">
        <v>45</v>
      </c>
      <c r="C19" s="33" t="s">
        <v>30</v>
      </c>
      <c r="D19" s="24" t="s">
        <v>29</v>
      </c>
      <c r="E19" s="32" t="s">
        <v>28</v>
      </c>
      <c r="F19" s="31" t="s">
        <v>27</v>
      </c>
      <c r="G19" s="30"/>
    </row>
    <row r="20" spans="1:7" ht="50.25" customHeight="1" x14ac:dyDescent="0.25">
      <c r="A20" s="29"/>
      <c r="B20" s="36" t="s">
        <v>44</v>
      </c>
      <c r="C20" s="27" t="s">
        <v>30</v>
      </c>
      <c r="D20" s="24" t="s">
        <v>29</v>
      </c>
      <c r="E20" s="25" t="s">
        <v>28</v>
      </c>
      <c r="F20" s="24" t="s">
        <v>27</v>
      </c>
      <c r="G20" s="23"/>
    </row>
    <row r="21" spans="1:7" ht="50.25" customHeight="1" x14ac:dyDescent="0.25">
      <c r="A21" s="29"/>
      <c r="B21" s="36" t="s">
        <v>43</v>
      </c>
      <c r="C21" s="27" t="s">
        <v>30</v>
      </c>
      <c r="D21" s="26" t="s">
        <v>27</v>
      </c>
      <c r="E21" s="25" t="s">
        <v>28</v>
      </c>
      <c r="F21" s="24" t="s">
        <v>27</v>
      </c>
      <c r="G21" s="23"/>
    </row>
    <row r="22" spans="1:7" ht="50.25" customHeight="1" thickBot="1" x14ac:dyDescent="0.3">
      <c r="A22" s="22"/>
      <c r="B22" s="21" t="s">
        <v>42</v>
      </c>
      <c r="C22" s="20" t="s">
        <v>30</v>
      </c>
      <c r="D22" s="18" t="s">
        <v>29</v>
      </c>
      <c r="E22" s="19" t="s">
        <v>28</v>
      </c>
      <c r="F22" s="18" t="s">
        <v>27</v>
      </c>
      <c r="G22" s="17"/>
    </row>
    <row r="23" spans="1:7" ht="50.25" customHeight="1" x14ac:dyDescent="0.25">
      <c r="A23" s="35"/>
      <c r="B23" s="34" t="s">
        <v>41</v>
      </c>
      <c r="C23" s="33" t="s">
        <v>30</v>
      </c>
      <c r="D23" s="24" t="s">
        <v>29</v>
      </c>
      <c r="E23" s="32" t="s">
        <v>28</v>
      </c>
      <c r="F23" s="31" t="s">
        <v>27</v>
      </c>
      <c r="G23" s="30"/>
    </row>
    <row r="24" spans="1:7" ht="50.25" customHeight="1" x14ac:dyDescent="0.25">
      <c r="A24" s="29"/>
      <c r="B24" s="36" t="s">
        <v>40</v>
      </c>
      <c r="C24" s="27" t="s">
        <v>30</v>
      </c>
      <c r="D24" s="24" t="s">
        <v>29</v>
      </c>
      <c r="E24" s="25" t="s">
        <v>28</v>
      </c>
      <c r="F24" s="24" t="s">
        <v>27</v>
      </c>
      <c r="G24" s="75" t="s">
        <v>189</v>
      </c>
    </row>
    <row r="25" spans="1:7" ht="50.25" customHeight="1" x14ac:dyDescent="0.25">
      <c r="A25" s="29"/>
      <c r="B25" s="36" t="s">
        <v>39</v>
      </c>
      <c r="C25" s="27" t="s">
        <v>30</v>
      </c>
      <c r="D25" s="26" t="s">
        <v>27</v>
      </c>
      <c r="E25" s="25" t="s">
        <v>28</v>
      </c>
      <c r="F25" s="24" t="s">
        <v>27</v>
      </c>
      <c r="G25" s="23"/>
    </row>
    <row r="26" spans="1:7" ht="50.25" customHeight="1" thickBot="1" x14ac:dyDescent="0.3">
      <c r="A26" s="22"/>
      <c r="B26" s="21" t="s">
        <v>38</v>
      </c>
      <c r="C26" s="20" t="s">
        <v>30</v>
      </c>
      <c r="D26" s="18" t="s">
        <v>29</v>
      </c>
      <c r="E26" s="19" t="s">
        <v>28</v>
      </c>
      <c r="F26" s="18" t="s">
        <v>27</v>
      </c>
      <c r="G26" s="17"/>
    </row>
    <row r="27" spans="1:7" ht="50.25" customHeight="1" x14ac:dyDescent="0.25">
      <c r="A27" s="35"/>
      <c r="B27" s="34" t="s">
        <v>37</v>
      </c>
      <c r="C27" s="33" t="s">
        <v>30</v>
      </c>
      <c r="D27" s="24" t="s">
        <v>29</v>
      </c>
      <c r="E27" s="32" t="s">
        <v>28</v>
      </c>
      <c r="F27" s="31" t="s">
        <v>27</v>
      </c>
      <c r="G27" s="30"/>
    </row>
    <row r="28" spans="1:7" ht="86.25" x14ac:dyDescent="0.25">
      <c r="A28" s="29"/>
      <c r="B28" s="73" t="s">
        <v>36</v>
      </c>
      <c r="C28" s="27" t="s">
        <v>30</v>
      </c>
      <c r="D28" s="24" t="s">
        <v>35</v>
      </c>
      <c r="E28" s="25" t="s">
        <v>28</v>
      </c>
      <c r="F28" s="24" t="s">
        <v>34</v>
      </c>
      <c r="G28" s="23" t="s">
        <v>33</v>
      </c>
    </row>
    <row r="29" spans="1:7" ht="67.5" x14ac:dyDescent="0.25">
      <c r="A29" s="29"/>
      <c r="B29" s="73" t="s">
        <v>32</v>
      </c>
      <c r="C29" s="27" t="s">
        <v>30</v>
      </c>
      <c r="D29" s="26" t="s">
        <v>27</v>
      </c>
      <c r="E29" s="25" t="s">
        <v>28</v>
      </c>
      <c r="F29" s="24" t="s">
        <v>27</v>
      </c>
      <c r="G29" s="23"/>
    </row>
    <row r="30" spans="1:7" ht="50.25" customHeight="1" thickBot="1" x14ac:dyDescent="0.3">
      <c r="A30" s="22"/>
      <c r="B30" s="21" t="s">
        <v>31</v>
      </c>
      <c r="C30" s="20" t="s">
        <v>30</v>
      </c>
      <c r="D30" s="18" t="s">
        <v>29</v>
      </c>
      <c r="E30" s="19" t="s">
        <v>28</v>
      </c>
      <c r="F30" s="18" t="s">
        <v>27</v>
      </c>
      <c r="G30" s="17"/>
    </row>
  </sheetData>
  <mergeCells count="2">
    <mergeCell ref="B4:G4"/>
    <mergeCell ref="B1:C1"/>
  </mergeCells>
  <pageMargins left="0.25" right="0.25" top="0.75" bottom="0.75" header="0.3" footer="0.3"/>
  <pageSetup scale="3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057B-1AC9-486B-882C-2FBE82B44347}">
  <sheetPr>
    <pageSetUpPr fitToPage="1"/>
  </sheetPr>
  <dimension ref="B1:H69"/>
  <sheetViews>
    <sheetView tabSelected="1" topLeftCell="A45" zoomScaleNormal="100" workbookViewId="0">
      <selection activeCell="H74" sqref="H74"/>
    </sheetView>
  </sheetViews>
  <sheetFormatPr defaultRowHeight="15" x14ac:dyDescent="0.25"/>
  <cols>
    <col min="2" max="2" width="26" customWidth="1"/>
    <col min="3" max="3" width="14.42578125" customWidth="1"/>
    <col min="4" max="7" width="11.28515625" customWidth="1"/>
    <col min="8" max="8" width="29.42578125" customWidth="1"/>
  </cols>
  <sheetData>
    <row r="1" spans="2:8" ht="19.5" x14ac:dyDescent="0.3">
      <c r="B1" s="119" t="s">
        <v>236</v>
      </c>
      <c r="C1" s="119"/>
      <c r="D1" s="119"/>
      <c r="E1" s="119"/>
      <c r="F1" s="119"/>
      <c r="G1" s="119"/>
      <c r="H1" s="119"/>
    </row>
    <row r="2" spans="2:8" ht="20.25" thickBot="1" x14ac:dyDescent="0.35">
      <c r="B2" s="84"/>
      <c r="C2" s="84"/>
      <c r="D2" s="84"/>
      <c r="E2" s="84"/>
      <c r="F2" s="84"/>
      <c r="G2" s="84"/>
      <c r="H2" s="84"/>
    </row>
    <row r="3" spans="2:8" ht="46.5" customHeight="1" x14ac:dyDescent="0.25">
      <c r="B3" s="120" t="s">
        <v>1</v>
      </c>
      <c r="C3" s="122" t="s">
        <v>237</v>
      </c>
      <c r="D3" s="124" t="s">
        <v>238</v>
      </c>
      <c r="E3" s="124"/>
      <c r="F3" s="124" t="s">
        <v>239</v>
      </c>
      <c r="G3" s="124"/>
      <c r="H3" s="125" t="s">
        <v>240</v>
      </c>
    </row>
    <row r="4" spans="2:8" ht="19.5" x14ac:dyDescent="0.25">
      <c r="B4" s="121"/>
      <c r="C4" s="123"/>
      <c r="D4" s="85" t="s">
        <v>241</v>
      </c>
      <c r="E4" s="86" t="s">
        <v>242</v>
      </c>
      <c r="F4" s="85" t="s">
        <v>241</v>
      </c>
      <c r="G4" s="86" t="s">
        <v>242</v>
      </c>
      <c r="H4" s="126"/>
    </row>
    <row r="5" spans="2:8" ht="19.5" x14ac:dyDescent="0.25">
      <c r="B5" s="87" t="s">
        <v>243</v>
      </c>
      <c r="C5" s="88">
        <v>875.93</v>
      </c>
      <c r="D5" s="89">
        <f>10/C5/0.07*1000</f>
        <v>163.0919626649879</v>
      </c>
      <c r="E5" s="90">
        <f>10/C5/0.12*1000</f>
        <v>95.136978221242956</v>
      </c>
      <c r="F5" s="89">
        <f>20/C5/0.07*1000</f>
        <v>326.18392532997581</v>
      </c>
      <c r="G5" s="90">
        <f>20/C5/0.12*1000</f>
        <v>190.27395644248591</v>
      </c>
      <c r="H5" s="91" t="s">
        <v>141</v>
      </c>
    </row>
    <row r="6" spans="2:8" ht="19.5" x14ac:dyDescent="0.25">
      <c r="B6" s="87" t="s">
        <v>244</v>
      </c>
      <c r="C6" s="88">
        <v>789.84</v>
      </c>
      <c r="D6" s="89">
        <f t="shared" ref="D6:D9" si="0">10/C6/0.07*1000</f>
        <v>180.86845798787454</v>
      </c>
      <c r="E6" s="90">
        <f t="shared" ref="E6:E9" si="1">10/C6/0.12*1000</f>
        <v>105.50660049292684</v>
      </c>
      <c r="F6" s="89">
        <f t="shared" ref="F6:F9" si="2">20/C6/0.07*1000</f>
        <v>361.73691597574907</v>
      </c>
      <c r="G6" s="90">
        <f t="shared" ref="G6:G63" si="3">20/C6/0.12*1000</f>
        <v>211.01320098585367</v>
      </c>
      <c r="H6" s="91" t="s">
        <v>141</v>
      </c>
    </row>
    <row r="7" spans="2:8" ht="19.5" x14ac:dyDescent="0.25">
      <c r="B7" s="87" t="s">
        <v>245</v>
      </c>
      <c r="C7" s="88">
        <v>857.91</v>
      </c>
      <c r="D7" s="89">
        <f t="shared" si="0"/>
        <v>166.51763338478725</v>
      </c>
      <c r="E7" s="90">
        <f t="shared" si="1"/>
        <v>97.135286141125917</v>
      </c>
      <c r="F7" s="89">
        <f t="shared" si="2"/>
        <v>333.03526676957449</v>
      </c>
      <c r="G7" s="90">
        <f t="shared" si="3"/>
        <v>194.27057228225183</v>
      </c>
      <c r="H7" s="91" t="s">
        <v>141</v>
      </c>
    </row>
    <row r="8" spans="2:8" ht="19.5" x14ac:dyDescent="0.25">
      <c r="B8" s="87" t="s">
        <v>42</v>
      </c>
      <c r="C8" s="88">
        <v>748.79</v>
      </c>
      <c r="D8" s="89">
        <f t="shared" si="0"/>
        <v>190.78398864453698</v>
      </c>
      <c r="E8" s="90">
        <f t="shared" si="1"/>
        <v>111.29066004264658</v>
      </c>
      <c r="F8" s="89">
        <f t="shared" si="2"/>
        <v>381.56797728907395</v>
      </c>
      <c r="G8" s="90">
        <f t="shared" si="3"/>
        <v>222.58132008529316</v>
      </c>
      <c r="H8" s="91" t="s">
        <v>141</v>
      </c>
    </row>
    <row r="9" spans="2:8" ht="19.5" x14ac:dyDescent="0.25">
      <c r="B9" s="87" t="s">
        <v>246</v>
      </c>
      <c r="C9" s="88">
        <v>887.97</v>
      </c>
      <c r="D9" s="89">
        <f t="shared" si="0"/>
        <v>160.88059603043217</v>
      </c>
      <c r="E9" s="90">
        <f t="shared" si="1"/>
        <v>93.847014351085448</v>
      </c>
      <c r="F9" s="89">
        <f t="shared" si="2"/>
        <v>321.76119206086435</v>
      </c>
      <c r="G9" s="90">
        <f t="shared" si="3"/>
        <v>187.6940287021709</v>
      </c>
      <c r="H9" s="91" t="s">
        <v>141</v>
      </c>
    </row>
    <row r="10" spans="2:8" ht="19.5" x14ac:dyDescent="0.25">
      <c r="B10" s="87" t="s">
        <v>247</v>
      </c>
      <c r="C10" s="88">
        <v>877.98</v>
      </c>
      <c r="D10" s="89">
        <f>10/C10/0.07*1000</f>
        <v>162.71115840582115</v>
      </c>
      <c r="E10" s="90">
        <f>10/C10/0.12*1000</f>
        <v>94.914842403395681</v>
      </c>
      <c r="F10" s="89">
        <f>20/C10/0.07*1000</f>
        <v>325.4223168116423</v>
      </c>
      <c r="G10" s="90">
        <f t="shared" si="3"/>
        <v>189.82968480679136</v>
      </c>
      <c r="H10" s="91" t="s">
        <v>141</v>
      </c>
    </row>
    <row r="11" spans="2:8" ht="19.5" x14ac:dyDescent="0.25">
      <c r="B11" s="87" t="s">
        <v>248</v>
      </c>
      <c r="C11" s="88">
        <v>801.84</v>
      </c>
      <c r="D11" s="89">
        <f>10/C11/0.07*1000</f>
        <v>178.16165676087851</v>
      </c>
      <c r="E11" s="90">
        <f>10/C11/0.12*1000</f>
        <v>103.92763311051247</v>
      </c>
      <c r="F11" s="89">
        <f>20/C11/0.07*1000</f>
        <v>356.32331352175703</v>
      </c>
      <c r="G11" s="90">
        <f t="shared" si="3"/>
        <v>207.85526622102495</v>
      </c>
      <c r="H11" s="91" t="s">
        <v>141</v>
      </c>
    </row>
    <row r="12" spans="2:8" ht="19.5" x14ac:dyDescent="0.25">
      <c r="B12" s="87" t="s">
        <v>249</v>
      </c>
      <c r="C12" s="88">
        <v>869.97</v>
      </c>
      <c r="D12" s="89">
        <f t="shared" ref="D12:D69" si="4">10/C12/0.07*1000</f>
        <v>164.20927486826309</v>
      </c>
      <c r="E12" s="90">
        <f t="shared" ref="E12" si="5">10/C12/0.12*1000</f>
        <v>95.78874367315349</v>
      </c>
      <c r="F12" s="89">
        <f t="shared" ref="F12" si="6">20/C12/0.07*1000</f>
        <v>328.41854973652619</v>
      </c>
      <c r="G12" s="90">
        <f t="shared" si="3"/>
        <v>191.57748734630698</v>
      </c>
      <c r="H12" s="91" t="s">
        <v>141</v>
      </c>
    </row>
    <row r="13" spans="2:8" ht="19.5" x14ac:dyDescent="0.25">
      <c r="B13" s="111" t="s">
        <v>48</v>
      </c>
      <c r="C13" s="118">
        <v>760.8</v>
      </c>
      <c r="D13" s="114">
        <f t="shared" si="4"/>
        <v>187.77226979119723</v>
      </c>
      <c r="E13" s="116">
        <f>10/C13/0.12*1000</f>
        <v>109.53382404486507</v>
      </c>
      <c r="F13" s="114">
        <f>20/C13/0.07*1000</f>
        <v>375.54453958239446</v>
      </c>
      <c r="G13" s="116">
        <f>20/C13/0.12*1000</f>
        <v>219.06764808973014</v>
      </c>
      <c r="H13" s="96" t="s">
        <v>250</v>
      </c>
    </row>
    <row r="14" spans="2:8" ht="19.5" x14ac:dyDescent="0.25">
      <c r="B14" s="112"/>
      <c r="C14" s="118"/>
      <c r="D14" s="115"/>
      <c r="E14" s="117"/>
      <c r="F14" s="115"/>
      <c r="G14" s="117"/>
      <c r="H14" s="97" t="s">
        <v>251</v>
      </c>
    </row>
    <row r="15" spans="2:8" ht="19.5" x14ac:dyDescent="0.25">
      <c r="B15" s="87" t="s">
        <v>252</v>
      </c>
      <c r="C15" s="88">
        <v>774.85</v>
      </c>
      <c r="D15" s="89">
        <f t="shared" si="4"/>
        <v>184.36748126365467</v>
      </c>
      <c r="E15" s="90">
        <f t="shared" ref="E15:E69" si="7">10/C15/0.12*1000</f>
        <v>107.54769740379859</v>
      </c>
      <c r="F15" s="89">
        <f>20/C15/0.07*1000</f>
        <v>368.73496252730934</v>
      </c>
      <c r="G15" s="90">
        <f t="shared" si="3"/>
        <v>215.09539480759719</v>
      </c>
      <c r="H15" s="98" t="s">
        <v>251</v>
      </c>
    </row>
    <row r="16" spans="2:8" ht="19.5" x14ac:dyDescent="0.25">
      <c r="B16" s="87" t="s">
        <v>253</v>
      </c>
      <c r="C16" s="88">
        <v>857.95</v>
      </c>
      <c r="D16" s="89">
        <f t="shared" si="4"/>
        <v>166.50986987253665</v>
      </c>
      <c r="E16" s="90">
        <f t="shared" si="7"/>
        <v>97.130757425646408</v>
      </c>
      <c r="F16" s="89">
        <f t="shared" ref="F16:F47" si="8">20/C16/0.07*1000</f>
        <v>333.01973974507331</v>
      </c>
      <c r="G16" s="90">
        <f t="shared" si="3"/>
        <v>194.26151485129282</v>
      </c>
      <c r="H16" s="91" t="s">
        <v>141</v>
      </c>
    </row>
    <row r="17" spans="2:8" ht="19.5" x14ac:dyDescent="0.25">
      <c r="B17" s="87" t="s">
        <v>254</v>
      </c>
      <c r="C17" s="88">
        <v>771.84</v>
      </c>
      <c r="D17" s="89">
        <f t="shared" si="4"/>
        <v>185.08647239990523</v>
      </c>
      <c r="E17" s="90">
        <f t="shared" si="7"/>
        <v>107.96710889994472</v>
      </c>
      <c r="F17" s="89">
        <f t="shared" si="8"/>
        <v>370.17294479981047</v>
      </c>
      <c r="G17" s="90">
        <f t="shared" si="3"/>
        <v>215.93421779988944</v>
      </c>
      <c r="H17" s="91" t="s">
        <v>141</v>
      </c>
    </row>
    <row r="18" spans="2:8" ht="19.5" x14ac:dyDescent="0.25">
      <c r="B18" s="87" t="s">
        <v>255</v>
      </c>
      <c r="C18" s="88">
        <v>785.88</v>
      </c>
      <c r="D18" s="89">
        <f t="shared" si="4"/>
        <v>181.77984279679194</v>
      </c>
      <c r="E18" s="90">
        <f t="shared" si="7"/>
        <v>106.03824163146197</v>
      </c>
      <c r="F18" s="89">
        <f t="shared" si="8"/>
        <v>363.55968559358388</v>
      </c>
      <c r="G18" s="90">
        <f t="shared" si="3"/>
        <v>212.07648326292394</v>
      </c>
      <c r="H18" s="91" t="s">
        <v>141</v>
      </c>
    </row>
    <row r="19" spans="2:8" ht="19.5" x14ac:dyDescent="0.25">
      <c r="B19" s="87" t="s">
        <v>256</v>
      </c>
      <c r="C19" s="88">
        <v>824.92</v>
      </c>
      <c r="D19" s="89">
        <f t="shared" si="4"/>
        <v>173.17696607809589</v>
      </c>
      <c r="E19" s="90">
        <f t="shared" si="7"/>
        <v>101.01989687888928</v>
      </c>
      <c r="F19" s="89">
        <f t="shared" si="8"/>
        <v>346.35393215619177</v>
      </c>
      <c r="G19" s="90">
        <f t="shared" si="3"/>
        <v>202.03979375777857</v>
      </c>
      <c r="H19" s="91" t="s">
        <v>141</v>
      </c>
    </row>
    <row r="20" spans="2:8" ht="19.5" x14ac:dyDescent="0.25">
      <c r="B20" s="87" t="s">
        <v>257</v>
      </c>
      <c r="C20" s="88">
        <v>839.94</v>
      </c>
      <c r="D20" s="89">
        <f t="shared" si="4"/>
        <v>170.08017579486966</v>
      </c>
      <c r="E20" s="90">
        <f t="shared" si="7"/>
        <v>99.213435880340654</v>
      </c>
      <c r="F20" s="89">
        <f t="shared" si="8"/>
        <v>340.16035158973932</v>
      </c>
      <c r="G20" s="90">
        <f t="shared" si="3"/>
        <v>198.42687176068131</v>
      </c>
      <c r="H20" s="91" t="s">
        <v>141</v>
      </c>
    </row>
    <row r="21" spans="2:8" ht="19.5" x14ac:dyDescent="0.25">
      <c r="B21" s="87" t="s">
        <v>58</v>
      </c>
      <c r="C21" s="88">
        <v>744.83</v>
      </c>
      <c r="D21" s="89">
        <f t="shared" si="4"/>
        <v>191.79832023031139</v>
      </c>
      <c r="E21" s="90">
        <f t="shared" si="7"/>
        <v>111.88235346768167</v>
      </c>
      <c r="F21" s="89">
        <f t="shared" si="8"/>
        <v>383.59664046062278</v>
      </c>
      <c r="G21" s="90">
        <f t="shared" si="3"/>
        <v>223.76470693536334</v>
      </c>
      <c r="H21" s="91" t="s">
        <v>141</v>
      </c>
    </row>
    <row r="22" spans="2:8" ht="19.5" x14ac:dyDescent="0.25">
      <c r="B22" s="87" t="s">
        <v>258</v>
      </c>
      <c r="C22" s="88">
        <v>932.01</v>
      </c>
      <c r="D22" s="89">
        <f t="shared" si="4"/>
        <v>153.27855157899899</v>
      </c>
      <c r="E22" s="90">
        <f t="shared" si="7"/>
        <v>89.412488421082756</v>
      </c>
      <c r="F22" s="89">
        <f t="shared" si="8"/>
        <v>306.55710315799797</v>
      </c>
      <c r="G22" s="90">
        <f t="shared" si="3"/>
        <v>178.82497684216551</v>
      </c>
      <c r="H22" s="91" t="s">
        <v>141</v>
      </c>
    </row>
    <row r="23" spans="2:8" ht="19.5" x14ac:dyDescent="0.25">
      <c r="B23" s="87" t="s">
        <v>259</v>
      </c>
      <c r="C23" s="88">
        <v>858.95</v>
      </c>
      <c r="D23" s="89">
        <f t="shared" si="4"/>
        <v>166.31601706402333</v>
      </c>
      <c r="E23" s="90">
        <f t="shared" si="7"/>
        <v>97.017676620680277</v>
      </c>
      <c r="F23" s="89">
        <f t="shared" si="8"/>
        <v>332.63203412804666</v>
      </c>
      <c r="G23" s="90">
        <f t="shared" si="3"/>
        <v>194.03535324136055</v>
      </c>
      <c r="H23" s="91" t="s">
        <v>141</v>
      </c>
    </row>
    <row r="24" spans="2:8" ht="19.5" x14ac:dyDescent="0.25">
      <c r="B24" s="87" t="s">
        <v>260</v>
      </c>
      <c r="C24" s="88">
        <v>922.01</v>
      </c>
      <c r="D24" s="89">
        <f t="shared" si="4"/>
        <v>154.94099072368286</v>
      </c>
      <c r="E24" s="90">
        <f t="shared" si="7"/>
        <v>90.382244588815027</v>
      </c>
      <c r="F24" s="89">
        <f t="shared" si="8"/>
        <v>309.88198144736572</v>
      </c>
      <c r="G24" s="90">
        <f t="shared" si="3"/>
        <v>180.76448917763005</v>
      </c>
      <c r="H24" s="91" t="s">
        <v>141</v>
      </c>
    </row>
    <row r="25" spans="2:8" ht="19.5" x14ac:dyDescent="0.25">
      <c r="B25" s="87" t="s">
        <v>300</v>
      </c>
      <c r="C25" s="88">
        <v>885.96</v>
      </c>
      <c r="D25" s="89">
        <f t="shared" si="4"/>
        <v>161.2455899331153</v>
      </c>
      <c r="E25" s="90">
        <f t="shared" si="7"/>
        <v>94.059927460983928</v>
      </c>
      <c r="F25" s="89">
        <f t="shared" si="8"/>
        <v>322.4911798662306</v>
      </c>
      <c r="G25" s="90">
        <f t="shared" si="3"/>
        <v>188.11985492196786</v>
      </c>
      <c r="H25" s="91" t="s">
        <v>141</v>
      </c>
    </row>
    <row r="26" spans="2:8" ht="19.5" x14ac:dyDescent="0.25">
      <c r="B26" s="87" t="s">
        <v>261</v>
      </c>
      <c r="C26" s="88">
        <v>913.99</v>
      </c>
      <c r="D26" s="89">
        <f t="shared" si="4"/>
        <v>156.30055346025978</v>
      </c>
      <c r="E26" s="90">
        <f t="shared" si="7"/>
        <v>91.175322851818223</v>
      </c>
      <c r="F26" s="89">
        <f t="shared" si="8"/>
        <v>312.60110692051956</v>
      </c>
      <c r="G26" s="90">
        <f t="shared" si="3"/>
        <v>182.35064570363645</v>
      </c>
      <c r="H26" s="91" t="s">
        <v>141</v>
      </c>
    </row>
    <row r="27" spans="2:8" ht="19.5" x14ac:dyDescent="0.25">
      <c r="B27" s="87" t="s">
        <v>38</v>
      </c>
      <c r="C27" s="88">
        <v>818.89</v>
      </c>
      <c r="D27" s="89">
        <f t="shared" si="4"/>
        <v>174.45217655258074</v>
      </c>
      <c r="E27" s="90">
        <f t="shared" si="7"/>
        <v>101.76376965567211</v>
      </c>
      <c r="F27" s="89">
        <f t="shared" si="8"/>
        <v>348.90435310516148</v>
      </c>
      <c r="G27" s="90">
        <f t="shared" si="3"/>
        <v>203.52753931134421</v>
      </c>
      <c r="H27" s="91" t="s">
        <v>141</v>
      </c>
    </row>
    <row r="28" spans="2:8" ht="19.5" x14ac:dyDescent="0.25">
      <c r="B28" s="87" t="s">
        <v>262</v>
      </c>
      <c r="C28" s="88">
        <v>988.18</v>
      </c>
      <c r="D28" s="89">
        <f t="shared" si="4"/>
        <v>144.56591193622907</v>
      </c>
      <c r="E28" s="90">
        <f t="shared" si="7"/>
        <v>84.330115296133627</v>
      </c>
      <c r="F28" s="89">
        <f t="shared" si="8"/>
        <v>289.13182387245814</v>
      </c>
      <c r="G28" s="90">
        <f t="shared" si="3"/>
        <v>168.66023059226725</v>
      </c>
      <c r="H28" s="91" t="s">
        <v>141</v>
      </c>
    </row>
    <row r="29" spans="2:8" ht="19.5" x14ac:dyDescent="0.25">
      <c r="B29" s="87" t="s">
        <v>263</v>
      </c>
      <c r="C29" s="93">
        <v>902.1</v>
      </c>
      <c r="D29" s="89">
        <f t="shared" si="4"/>
        <v>158.36065054555243</v>
      </c>
      <c r="E29" s="90">
        <f t="shared" si="7"/>
        <v>92.377046151572259</v>
      </c>
      <c r="F29" s="89">
        <f t="shared" si="8"/>
        <v>316.72130109110486</v>
      </c>
      <c r="G29" s="90">
        <f t="shared" si="3"/>
        <v>184.75409230314452</v>
      </c>
      <c r="H29" s="91" t="s">
        <v>141</v>
      </c>
    </row>
    <row r="30" spans="2:8" ht="19.5" x14ac:dyDescent="0.25">
      <c r="B30" s="87" t="s">
        <v>264</v>
      </c>
      <c r="C30" s="88">
        <v>942.14</v>
      </c>
      <c r="D30" s="89">
        <f t="shared" si="4"/>
        <v>151.63048257917387</v>
      </c>
      <c r="E30" s="90">
        <f t="shared" si="7"/>
        <v>88.451114837851421</v>
      </c>
      <c r="F30" s="89">
        <f t="shared" si="8"/>
        <v>303.26096515834774</v>
      </c>
      <c r="G30" s="90">
        <f t="shared" si="3"/>
        <v>176.90222967570284</v>
      </c>
      <c r="H30" s="91" t="s">
        <v>141</v>
      </c>
    </row>
    <row r="31" spans="2:8" ht="19.5" x14ac:dyDescent="0.25">
      <c r="B31" s="87" t="s">
        <v>265</v>
      </c>
      <c r="C31" s="88">
        <v>970.19</v>
      </c>
      <c r="D31" s="89">
        <f t="shared" si="4"/>
        <v>147.24656289710555</v>
      </c>
      <c r="E31" s="90">
        <f t="shared" si="7"/>
        <v>85.893828356644931</v>
      </c>
      <c r="F31" s="89">
        <f t="shared" si="8"/>
        <v>294.4931257942111</v>
      </c>
      <c r="G31" s="90">
        <f t="shared" si="3"/>
        <v>171.78765671328986</v>
      </c>
      <c r="H31" s="91" t="s">
        <v>141</v>
      </c>
    </row>
    <row r="32" spans="2:8" ht="19.5" x14ac:dyDescent="0.25">
      <c r="B32" s="87" t="s">
        <v>53</v>
      </c>
      <c r="C32" s="88">
        <v>861.03</v>
      </c>
      <c r="D32" s="89">
        <f t="shared" si="4"/>
        <v>165.91424556303826</v>
      </c>
      <c r="E32" s="90">
        <f t="shared" si="7"/>
        <v>96.783309911772349</v>
      </c>
      <c r="F32" s="89">
        <f t="shared" si="8"/>
        <v>331.82849112607653</v>
      </c>
      <c r="G32" s="90">
        <f t="shared" si="3"/>
        <v>193.5666198235447</v>
      </c>
      <c r="H32" s="91" t="s">
        <v>141</v>
      </c>
    </row>
    <row r="33" spans="2:8" ht="19.5" x14ac:dyDescent="0.25">
      <c r="B33" s="87" t="s">
        <v>266</v>
      </c>
      <c r="C33" s="88">
        <v>885.95</v>
      </c>
      <c r="D33" s="89">
        <f t="shared" si="4"/>
        <v>161.24740996347745</v>
      </c>
      <c r="E33" s="90">
        <f t="shared" si="7"/>
        <v>94.060989145361845</v>
      </c>
      <c r="F33" s="89">
        <f t="shared" si="8"/>
        <v>322.4948199269549</v>
      </c>
      <c r="G33" s="90">
        <f t="shared" si="3"/>
        <v>188.12197829072369</v>
      </c>
      <c r="H33" s="91" t="s">
        <v>141</v>
      </c>
    </row>
    <row r="34" spans="2:8" ht="19.5" x14ac:dyDescent="0.25">
      <c r="B34" s="87" t="s">
        <v>267</v>
      </c>
      <c r="C34" s="88">
        <v>813.89</v>
      </c>
      <c r="D34" s="89">
        <f t="shared" si="4"/>
        <v>175.52389494543837</v>
      </c>
      <c r="E34" s="90">
        <f t="shared" si="7"/>
        <v>102.3889387181724</v>
      </c>
      <c r="F34" s="89">
        <f t="shared" si="8"/>
        <v>351.04778989087674</v>
      </c>
      <c r="G34" s="90">
        <f t="shared" si="3"/>
        <v>204.7778774363448</v>
      </c>
      <c r="H34" s="91" t="s">
        <v>268</v>
      </c>
    </row>
    <row r="35" spans="2:8" ht="19.5" x14ac:dyDescent="0.25">
      <c r="B35" s="87" t="s">
        <v>269</v>
      </c>
      <c r="C35" s="88">
        <v>875.96</v>
      </c>
      <c r="D35" s="89">
        <f t="shared" si="4"/>
        <v>163.08637706875066</v>
      </c>
      <c r="E35" s="90">
        <f t="shared" si="7"/>
        <v>95.13371995677123</v>
      </c>
      <c r="F35" s="89">
        <f t="shared" si="8"/>
        <v>326.17275413750133</v>
      </c>
      <c r="G35" s="90">
        <f t="shared" si="3"/>
        <v>190.26743991354246</v>
      </c>
      <c r="H35" s="91" t="s">
        <v>268</v>
      </c>
    </row>
    <row r="36" spans="2:8" ht="19.5" x14ac:dyDescent="0.25">
      <c r="B36" s="87" t="s">
        <v>270</v>
      </c>
      <c r="C36" s="88">
        <v>852.91</v>
      </c>
      <c r="D36" s="89">
        <f t="shared" si="4"/>
        <v>167.49380691648923</v>
      </c>
      <c r="E36" s="90">
        <f t="shared" si="7"/>
        <v>97.70472070128541</v>
      </c>
      <c r="F36" s="89">
        <f t="shared" si="8"/>
        <v>334.98761383297847</v>
      </c>
      <c r="G36" s="90">
        <f t="shared" si="3"/>
        <v>195.40944140257082</v>
      </c>
      <c r="H36" s="91" t="s">
        <v>141</v>
      </c>
    </row>
    <row r="37" spans="2:8" ht="19.5" x14ac:dyDescent="0.25">
      <c r="B37" s="87" t="s">
        <v>31</v>
      </c>
      <c r="C37" s="88">
        <v>772.83</v>
      </c>
      <c r="D37" s="89">
        <f t="shared" si="4"/>
        <v>184.8493754863849</v>
      </c>
      <c r="E37" s="90">
        <f t="shared" si="7"/>
        <v>107.82880236705788</v>
      </c>
      <c r="F37" s="89">
        <f t="shared" si="8"/>
        <v>369.6987509727698</v>
      </c>
      <c r="G37" s="90">
        <f t="shared" si="3"/>
        <v>215.65760473411575</v>
      </c>
      <c r="H37" s="91" t="s">
        <v>141</v>
      </c>
    </row>
    <row r="38" spans="2:8" ht="19.5" x14ac:dyDescent="0.25">
      <c r="B38" s="87" t="s">
        <v>271</v>
      </c>
      <c r="C38" s="88">
        <v>899.98</v>
      </c>
      <c r="D38" s="89">
        <f t="shared" si="4"/>
        <v>158.73368614540638</v>
      </c>
      <c r="E38" s="90">
        <f t="shared" si="7"/>
        <v>92.594650251487067</v>
      </c>
      <c r="F38" s="89">
        <f t="shared" si="8"/>
        <v>317.46737229081276</v>
      </c>
      <c r="G38" s="90">
        <f t="shared" si="3"/>
        <v>185.18930050297413</v>
      </c>
      <c r="H38" s="91" t="s">
        <v>141</v>
      </c>
    </row>
    <row r="39" spans="2:8" ht="19.5" x14ac:dyDescent="0.25">
      <c r="B39" s="87" t="s">
        <v>272</v>
      </c>
      <c r="C39" s="93">
        <v>890</v>
      </c>
      <c r="D39" s="89">
        <f t="shared" si="4"/>
        <v>160.51364365971105</v>
      </c>
      <c r="E39" s="90">
        <f t="shared" si="7"/>
        <v>93.632958801498134</v>
      </c>
      <c r="F39" s="89">
        <f t="shared" si="8"/>
        <v>321.0272873194221</v>
      </c>
      <c r="G39" s="90">
        <f t="shared" si="3"/>
        <v>187.26591760299627</v>
      </c>
      <c r="H39" s="91" t="s">
        <v>273</v>
      </c>
    </row>
    <row r="40" spans="2:8" ht="19.5" x14ac:dyDescent="0.25">
      <c r="B40" s="87" t="s">
        <v>274</v>
      </c>
      <c r="C40" s="88">
        <v>881.96</v>
      </c>
      <c r="D40" s="89">
        <f t="shared" si="4"/>
        <v>161.97689561560938</v>
      </c>
      <c r="E40" s="90">
        <f t="shared" si="7"/>
        <v>94.486522442438812</v>
      </c>
      <c r="F40" s="89">
        <f t="shared" si="8"/>
        <v>323.95379123121876</v>
      </c>
      <c r="G40" s="90">
        <f t="shared" si="3"/>
        <v>188.97304488487762</v>
      </c>
      <c r="H40" s="91" t="s">
        <v>141</v>
      </c>
    </row>
    <row r="41" spans="2:8" ht="19.5" x14ac:dyDescent="0.25">
      <c r="B41" s="87" t="s">
        <v>275</v>
      </c>
      <c r="C41" s="88">
        <v>786.86</v>
      </c>
      <c r="D41" s="89">
        <f t="shared" si="4"/>
        <v>181.5534438872771</v>
      </c>
      <c r="E41" s="90">
        <f t="shared" si="7"/>
        <v>105.90617560091164</v>
      </c>
      <c r="F41" s="89">
        <f t="shared" si="8"/>
        <v>363.1068877745542</v>
      </c>
      <c r="G41" s="90">
        <f t="shared" si="3"/>
        <v>211.81235120182328</v>
      </c>
      <c r="H41" s="91" t="s">
        <v>141</v>
      </c>
    </row>
    <row r="42" spans="2:8" ht="19.5" x14ac:dyDescent="0.25">
      <c r="B42" s="87" t="s">
        <v>276</v>
      </c>
      <c r="C42" s="88">
        <v>890.05</v>
      </c>
      <c r="D42" s="89">
        <f t="shared" si="4"/>
        <v>160.50462654586016</v>
      </c>
      <c r="E42" s="90">
        <f t="shared" si="7"/>
        <v>93.627698818418438</v>
      </c>
      <c r="F42" s="89">
        <f t="shared" si="8"/>
        <v>321.00925309172032</v>
      </c>
      <c r="G42" s="90">
        <f t="shared" si="3"/>
        <v>187.25539763683688</v>
      </c>
      <c r="H42" s="91" t="s">
        <v>141</v>
      </c>
    </row>
    <row r="43" spans="2:8" ht="19.5" x14ac:dyDescent="0.25">
      <c r="B43" s="87" t="s">
        <v>277</v>
      </c>
      <c r="C43" s="88">
        <v>893.96</v>
      </c>
      <c r="D43" s="89">
        <f t="shared" si="4"/>
        <v>159.80261181388747</v>
      </c>
      <c r="E43" s="90">
        <f t="shared" si="7"/>
        <v>93.218190224767696</v>
      </c>
      <c r="F43" s="89">
        <f t="shared" si="8"/>
        <v>319.60522362777493</v>
      </c>
      <c r="G43" s="90">
        <f t="shared" si="3"/>
        <v>186.43638044953539</v>
      </c>
      <c r="H43" s="91" t="s">
        <v>141</v>
      </c>
    </row>
    <row r="44" spans="2:8" ht="19.5" x14ac:dyDescent="0.25">
      <c r="B44" s="87" t="s">
        <v>278</v>
      </c>
      <c r="C44" s="88">
        <v>962.04</v>
      </c>
      <c r="D44" s="89">
        <f t="shared" si="4"/>
        <v>148.49397411453043</v>
      </c>
      <c r="E44" s="90">
        <f t="shared" si="7"/>
        <v>86.621484900142761</v>
      </c>
      <c r="F44" s="89">
        <f t="shared" si="8"/>
        <v>296.98794822906086</v>
      </c>
      <c r="G44" s="90">
        <f t="shared" si="3"/>
        <v>173.24296980028552</v>
      </c>
      <c r="H44" s="91" t="s">
        <v>141</v>
      </c>
    </row>
    <row r="45" spans="2:8" ht="19.5" x14ac:dyDescent="0.25">
      <c r="B45" s="87" t="s">
        <v>279</v>
      </c>
      <c r="C45" s="88">
        <v>852.91</v>
      </c>
      <c r="D45" s="89">
        <f t="shared" si="4"/>
        <v>167.49380691648923</v>
      </c>
      <c r="E45" s="90">
        <f t="shared" si="7"/>
        <v>97.70472070128541</v>
      </c>
      <c r="F45" s="89">
        <f t="shared" si="8"/>
        <v>334.98761383297847</v>
      </c>
      <c r="G45" s="90">
        <f t="shared" si="3"/>
        <v>195.40944140257082</v>
      </c>
      <c r="H45" s="91" t="s">
        <v>141</v>
      </c>
    </row>
    <row r="46" spans="2:8" ht="19.5" x14ac:dyDescent="0.25">
      <c r="B46" s="87" t="s">
        <v>280</v>
      </c>
      <c r="C46" s="93">
        <v>815.9</v>
      </c>
      <c r="D46" s="89">
        <f t="shared" si="4"/>
        <v>175.09148530106981</v>
      </c>
      <c r="E46" s="90">
        <f t="shared" si="7"/>
        <v>102.13669975895739</v>
      </c>
      <c r="F46" s="89">
        <f t="shared" si="8"/>
        <v>350.18297060213962</v>
      </c>
      <c r="G46" s="90">
        <f t="shared" si="3"/>
        <v>204.27339951791478</v>
      </c>
      <c r="H46" s="91" t="s">
        <v>141</v>
      </c>
    </row>
    <row r="47" spans="2:8" ht="19.5" x14ac:dyDescent="0.25">
      <c r="B47" s="87" t="s">
        <v>281</v>
      </c>
      <c r="C47" s="93">
        <v>729.8</v>
      </c>
      <c r="D47" s="89">
        <f t="shared" si="4"/>
        <v>195.7483459264769</v>
      </c>
      <c r="E47" s="90">
        <f t="shared" si="7"/>
        <v>114.18653512377821</v>
      </c>
      <c r="F47" s="89">
        <f t="shared" si="8"/>
        <v>391.4966918529538</v>
      </c>
      <c r="G47" s="90">
        <f t="shared" si="3"/>
        <v>228.37307024755643</v>
      </c>
      <c r="H47" s="91" t="s">
        <v>141</v>
      </c>
    </row>
    <row r="48" spans="2:8" ht="19.5" x14ac:dyDescent="0.25">
      <c r="B48" s="111" t="s">
        <v>282</v>
      </c>
      <c r="C48" s="113">
        <v>797.88</v>
      </c>
      <c r="D48" s="114">
        <f t="shared" si="4"/>
        <v>179.04590020697705</v>
      </c>
      <c r="E48" s="116">
        <f t="shared" si="7"/>
        <v>104.44344178740329</v>
      </c>
      <c r="F48" s="114">
        <f>20/C48/0.07*1000</f>
        <v>358.0918004139541</v>
      </c>
      <c r="G48" s="116">
        <f>20/C48/0.12*1000</f>
        <v>208.88688357480657</v>
      </c>
      <c r="H48" s="96" t="s">
        <v>251</v>
      </c>
    </row>
    <row r="49" spans="2:8" ht="19.5" x14ac:dyDescent="0.25">
      <c r="B49" s="112"/>
      <c r="C49" s="113"/>
      <c r="D49" s="115"/>
      <c r="E49" s="117"/>
      <c r="F49" s="115"/>
      <c r="G49" s="117"/>
      <c r="H49" s="99" t="s">
        <v>141</v>
      </c>
    </row>
    <row r="50" spans="2:8" ht="19.5" x14ac:dyDescent="0.25">
      <c r="B50" s="87" t="s">
        <v>283</v>
      </c>
      <c r="C50" s="88">
        <v>702.78</v>
      </c>
      <c r="D50" s="89">
        <f t="shared" si="4"/>
        <v>203.27434311896019</v>
      </c>
      <c r="E50" s="90">
        <f t="shared" si="7"/>
        <v>118.5767001527268</v>
      </c>
      <c r="F50" s="89">
        <f>20/C50/0.07*1000</f>
        <v>406.54868623792038</v>
      </c>
      <c r="G50" s="90">
        <f>20/C50/0.12*1000</f>
        <v>237.1534003054536</v>
      </c>
      <c r="H50" s="91" t="s">
        <v>141</v>
      </c>
    </row>
    <row r="51" spans="2:8" ht="19.5" x14ac:dyDescent="0.25">
      <c r="B51" s="87" t="s">
        <v>284</v>
      </c>
      <c r="C51" s="88">
        <v>843.92</v>
      </c>
      <c r="D51" s="89">
        <f t="shared" si="4"/>
        <v>169.27806291727043</v>
      </c>
      <c r="E51" s="90">
        <f t="shared" si="7"/>
        <v>98.745536701741088</v>
      </c>
      <c r="F51" s="89">
        <f t="shared" ref="F51:F54" si="9">20/C51/0.07*1000</f>
        <v>338.55612583454086</v>
      </c>
      <c r="G51" s="90">
        <f t="shared" si="3"/>
        <v>197.49107340348218</v>
      </c>
      <c r="H51" s="91" t="s">
        <v>141</v>
      </c>
    </row>
    <row r="52" spans="2:8" ht="19.5" x14ac:dyDescent="0.25">
      <c r="B52" s="87" t="s">
        <v>285</v>
      </c>
      <c r="C52" s="88">
        <v>819.89</v>
      </c>
      <c r="D52" s="89">
        <f t="shared" si="4"/>
        <v>174.23940145280812</v>
      </c>
      <c r="E52" s="90">
        <f t="shared" si="7"/>
        <v>101.63965084747143</v>
      </c>
      <c r="F52" s="89">
        <f t="shared" si="9"/>
        <v>348.47880290561625</v>
      </c>
      <c r="G52" s="90">
        <f t="shared" si="3"/>
        <v>203.27930169494286</v>
      </c>
      <c r="H52" s="91" t="s">
        <v>141</v>
      </c>
    </row>
    <row r="53" spans="2:8" ht="19.5" x14ac:dyDescent="0.25">
      <c r="B53" s="87" t="s">
        <v>286</v>
      </c>
      <c r="C53" s="88">
        <v>797.85</v>
      </c>
      <c r="D53" s="89">
        <f t="shared" si="4"/>
        <v>179.05263252132963</v>
      </c>
      <c r="E53" s="90">
        <f t="shared" si="7"/>
        <v>104.44736897077563</v>
      </c>
      <c r="F53" s="89">
        <f t="shared" si="9"/>
        <v>358.10526504265925</v>
      </c>
      <c r="G53" s="90">
        <f t="shared" si="3"/>
        <v>208.89473794155126</v>
      </c>
      <c r="H53" s="91" t="s">
        <v>141</v>
      </c>
    </row>
    <row r="54" spans="2:8" ht="19.5" x14ac:dyDescent="0.25">
      <c r="B54" s="87" t="s">
        <v>287</v>
      </c>
      <c r="C54" s="88">
        <v>993.07</v>
      </c>
      <c r="D54" s="89">
        <f t="shared" si="4"/>
        <v>143.85405143357752</v>
      </c>
      <c r="E54" s="90">
        <f t="shared" si="7"/>
        <v>83.914863336253575</v>
      </c>
      <c r="F54" s="89">
        <f t="shared" si="9"/>
        <v>287.70810286715505</v>
      </c>
      <c r="G54" s="90">
        <f t="shared" si="3"/>
        <v>167.82972667250715</v>
      </c>
      <c r="H54" s="91" t="s">
        <v>141</v>
      </c>
    </row>
    <row r="55" spans="2:8" ht="19.5" x14ac:dyDescent="0.25">
      <c r="B55" s="87" t="s">
        <v>288</v>
      </c>
      <c r="C55" s="93">
        <v>730.8</v>
      </c>
      <c r="D55" s="89">
        <f t="shared" si="4"/>
        <v>195.48049104699351</v>
      </c>
      <c r="E55" s="90">
        <f t="shared" si="7"/>
        <v>114.03028644407956</v>
      </c>
      <c r="F55" s="89">
        <f>20/C55/0.07*1000</f>
        <v>390.96098209398701</v>
      </c>
      <c r="G55" s="90">
        <f t="shared" si="3"/>
        <v>228.06057288815913</v>
      </c>
      <c r="H55" s="91" t="s">
        <v>141</v>
      </c>
    </row>
    <row r="56" spans="2:8" ht="19.5" x14ac:dyDescent="0.25">
      <c r="B56" s="87" t="s">
        <v>289</v>
      </c>
      <c r="C56" s="88">
        <v>413.42</v>
      </c>
      <c r="D56" s="89">
        <f t="shared" si="4"/>
        <v>345.54966585347307</v>
      </c>
      <c r="E56" s="90">
        <f t="shared" si="7"/>
        <v>201.570638414526</v>
      </c>
      <c r="F56" s="89">
        <f>20/C56/0.07*1000</f>
        <v>691.09933170694615</v>
      </c>
      <c r="G56" s="90">
        <f t="shared" si="3"/>
        <v>403.141276829052</v>
      </c>
      <c r="H56" s="91" t="s">
        <v>141</v>
      </c>
    </row>
    <row r="57" spans="2:8" ht="19.5" x14ac:dyDescent="0.25">
      <c r="B57" s="87" t="s">
        <v>290</v>
      </c>
      <c r="C57" s="88">
        <v>889.88</v>
      </c>
      <c r="D57" s="89">
        <f t="shared" si="4"/>
        <v>160.53528886719874</v>
      </c>
      <c r="E57" s="90">
        <f t="shared" si="7"/>
        <v>93.645585172532634</v>
      </c>
      <c r="F57" s="89">
        <f t="shared" ref="F57" si="10">20/C57/0.07*1000</f>
        <v>321.07057773439749</v>
      </c>
      <c r="G57" s="90">
        <f t="shared" si="3"/>
        <v>187.29117034506527</v>
      </c>
      <c r="H57" s="91" t="s">
        <v>141</v>
      </c>
    </row>
    <row r="58" spans="2:8" ht="19.5" x14ac:dyDescent="0.25">
      <c r="B58" s="87" t="s">
        <v>291</v>
      </c>
      <c r="C58" s="88">
        <v>803.78</v>
      </c>
      <c r="D58" s="89">
        <f t="shared" si="4"/>
        <v>177.73164654151986</v>
      </c>
      <c r="E58" s="90">
        <f t="shared" si="7"/>
        <v>103.67679381588661</v>
      </c>
      <c r="F58" s="89">
        <f>20/C58/0.07*1000</f>
        <v>355.46329308303973</v>
      </c>
      <c r="G58" s="90">
        <f>20/C58/0.12*1000</f>
        <v>207.35358763177322</v>
      </c>
      <c r="H58" s="91" t="s">
        <v>141</v>
      </c>
    </row>
    <row r="59" spans="2:8" ht="19.5" x14ac:dyDescent="0.25">
      <c r="B59" s="87" t="s">
        <v>292</v>
      </c>
      <c r="C59" s="88">
        <v>871.86</v>
      </c>
      <c r="D59" s="89">
        <f t="shared" si="4"/>
        <v>163.85330541273007</v>
      </c>
      <c r="E59" s="90">
        <f t="shared" si="7"/>
        <v>95.58109482409256</v>
      </c>
      <c r="F59" s="89">
        <f t="shared" ref="F59" si="11">20/C59/0.07*1000</f>
        <v>327.70661082546013</v>
      </c>
      <c r="G59" s="90">
        <f t="shared" si="3"/>
        <v>191.16218964818512</v>
      </c>
      <c r="H59" s="91" t="s">
        <v>141</v>
      </c>
    </row>
    <row r="60" spans="2:8" ht="19.5" x14ac:dyDescent="0.25">
      <c r="B60" s="87" t="s">
        <v>293</v>
      </c>
      <c r="C60" s="88">
        <v>762.73</v>
      </c>
      <c r="D60" s="89">
        <f t="shared" si="4"/>
        <v>187.29713379196156</v>
      </c>
      <c r="E60" s="90">
        <f t="shared" si="7"/>
        <v>109.25666137864425</v>
      </c>
      <c r="F60" s="89">
        <f>20/C60/0.07*1000</f>
        <v>374.59426758392311</v>
      </c>
      <c r="G60" s="90">
        <f t="shared" si="3"/>
        <v>218.51332275728851</v>
      </c>
      <c r="H60" s="91" t="s">
        <v>141</v>
      </c>
    </row>
    <row r="61" spans="2:8" ht="19.5" x14ac:dyDescent="0.25">
      <c r="B61" s="87" t="s">
        <v>294</v>
      </c>
      <c r="C61" s="88">
        <v>652.77</v>
      </c>
      <c r="D61" s="89">
        <f t="shared" si="4"/>
        <v>218.84759234821277</v>
      </c>
      <c r="E61" s="90">
        <f t="shared" si="7"/>
        <v>127.66109553645747</v>
      </c>
      <c r="F61" s="89">
        <f t="shared" ref="F61:F69" si="12">20/C61/0.07*1000</f>
        <v>437.69518469642554</v>
      </c>
      <c r="G61" s="90">
        <f t="shared" si="3"/>
        <v>255.32219107291493</v>
      </c>
      <c r="H61" s="91" t="s">
        <v>141</v>
      </c>
    </row>
    <row r="62" spans="2:8" ht="19.5" x14ac:dyDescent="0.25">
      <c r="B62" s="87" t="s">
        <v>295</v>
      </c>
      <c r="C62" s="88">
        <v>784.93</v>
      </c>
      <c r="D62" s="89">
        <f t="shared" si="4"/>
        <v>181.99985076012237</v>
      </c>
      <c r="E62" s="90">
        <f t="shared" si="7"/>
        <v>106.16657961007141</v>
      </c>
      <c r="F62" s="89">
        <f t="shared" si="12"/>
        <v>363.99970152024474</v>
      </c>
      <c r="G62" s="90">
        <f t="shared" si="3"/>
        <v>212.33315922014282</v>
      </c>
      <c r="H62" s="91" t="s">
        <v>141</v>
      </c>
    </row>
    <row r="63" spans="2:8" ht="19.5" x14ac:dyDescent="0.25">
      <c r="B63" s="92" t="s">
        <v>301</v>
      </c>
      <c r="C63" s="100">
        <v>578.67999999999995</v>
      </c>
      <c r="D63" s="89">
        <f t="shared" si="4"/>
        <v>246.86725453988882</v>
      </c>
      <c r="E63" s="90">
        <f t="shared" si="7"/>
        <v>144.00589848160183</v>
      </c>
      <c r="F63" s="89">
        <f t="shared" si="12"/>
        <v>493.73450907977764</v>
      </c>
      <c r="G63" s="90">
        <f t="shared" si="3"/>
        <v>288.01179696320366</v>
      </c>
      <c r="H63" s="101" t="s">
        <v>141</v>
      </c>
    </row>
    <row r="64" spans="2:8" ht="19.5" x14ac:dyDescent="0.25">
      <c r="B64" s="92" t="s">
        <v>296</v>
      </c>
      <c r="C64" s="100">
        <v>704.92</v>
      </c>
      <c r="D64" s="89">
        <f t="shared" si="4"/>
        <v>202.65724175387683</v>
      </c>
      <c r="E64" s="90">
        <f t="shared" si="7"/>
        <v>118.21672435642816</v>
      </c>
      <c r="F64" s="89">
        <f t="shared" si="12"/>
        <v>405.31448350775366</v>
      </c>
      <c r="G64" s="90">
        <f>20/C64/0.12*1000</f>
        <v>236.43344871285632</v>
      </c>
      <c r="H64" s="101" t="s">
        <v>141</v>
      </c>
    </row>
    <row r="65" spans="2:8" ht="19.5" x14ac:dyDescent="0.25">
      <c r="B65" s="92" t="s">
        <v>297</v>
      </c>
      <c r="C65" s="100">
        <v>555.83000000000004</v>
      </c>
      <c r="D65" s="94">
        <f t="shared" si="4"/>
        <v>257.01589129255854</v>
      </c>
      <c r="E65" s="95">
        <f t="shared" si="7"/>
        <v>149.92593658732585</v>
      </c>
      <c r="F65" s="94">
        <f t="shared" si="12"/>
        <v>514.03178258511707</v>
      </c>
      <c r="G65" s="95">
        <f>20/C65/0.12*1000</f>
        <v>299.8518731746517</v>
      </c>
      <c r="H65" s="101" t="s">
        <v>298</v>
      </c>
    </row>
    <row r="66" spans="2:8" ht="19.5" x14ac:dyDescent="0.25">
      <c r="B66" s="87" t="s">
        <v>299</v>
      </c>
      <c r="C66" s="88">
        <v>620.73</v>
      </c>
      <c r="D66" s="89">
        <f t="shared" si="4"/>
        <v>230.14377081362724</v>
      </c>
      <c r="E66" s="90">
        <f t="shared" si="7"/>
        <v>134.25053297461591</v>
      </c>
      <c r="F66" s="89">
        <f t="shared" si="12"/>
        <v>460.28754162725448</v>
      </c>
      <c r="G66" s="90">
        <f>20/C66/0.12*1000</f>
        <v>268.50106594923182</v>
      </c>
      <c r="H66" s="91" t="s">
        <v>141</v>
      </c>
    </row>
    <row r="67" spans="2:8" ht="19.5" x14ac:dyDescent="0.25">
      <c r="B67" s="87" t="s">
        <v>304</v>
      </c>
      <c r="C67" s="88">
        <v>846.08</v>
      </c>
      <c r="D67" s="89">
        <f t="shared" si="4"/>
        <v>168.84590447374106</v>
      </c>
      <c r="E67" s="90">
        <f t="shared" si="7"/>
        <v>98.493444276348953</v>
      </c>
      <c r="F67" s="89">
        <f t="shared" si="12"/>
        <v>337.69180894748212</v>
      </c>
      <c r="G67" s="90">
        <f>20/C67/0.12*1000</f>
        <v>196.98688855269791</v>
      </c>
      <c r="H67" s="91" t="s">
        <v>141</v>
      </c>
    </row>
    <row r="68" spans="2:8" ht="19.5" x14ac:dyDescent="0.25">
      <c r="B68" s="87" t="s">
        <v>303</v>
      </c>
      <c r="C68" s="88">
        <v>1010.23</v>
      </c>
      <c r="D68" s="89">
        <f t="shared" si="4"/>
        <v>141.41051330602221</v>
      </c>
      <c r="E68" s="90">
        <f t="shared" si="7"/>
        <v>82.489466095179637</v>
      </c>
      <c r="F68" s="89">
        <f t="shared" si="12"/>
        <v>282.82102661204442</v>
      </c>
      <c r="G68" s="90">
        <f>20/C68/0.12*1000</f>
        <v>164.97893219035927</v>
      </c>
      <c r="H68" s="91" t="s">
        <v>141</v>
      </c>
    </row>
    <row r="69" spans="2:8" ht="20.25" thickBot="1" x14ac:dyDescent="0.3">
      <c r="B69" s="102" t="s">
        <v>302</v>
      </c>
      <c r="C69" s="103">
        <v>708.82</v>
      </c>
      <c r="D69" s="104">
        <f t="shared" si="4"/>
        <v>201.5422009214509</v>
      </c>
      <c r="E69" s="105">
        <f t="shared" si="7"/>
        <v>117.56628387084638</v>
      </c>
      <c r="F69" s="104">
        <f t="shared" si="12"/>
        <v>403.0844018429018</v>
      </c>
      <c r="G69" s="105">
        <f>20/C69/0.12*1000</f>
        <v>235.13256774169275</v>
      </c>
      <c r="H69" s="106" t="s">
        <v>141</v>
      </c>
    </row>
  </sheetData>
  <mergeCells count="18">
    <mergeCell ref="B1:H1"/>
    <mergeCell ref="B3:B4"/>
    <mergeCell ref="C3:C4"/>
    <mergeCell ref="D3:E3"/>
    <mergeCell ref="F3:G3"/>
    <mergeCell ref="H3:H4"/>
    <mergeCell ref="G48:G49"/>
    <mergeCell ref="B13:B14"/>
    <mergeCell ref="C13:C14"/>
    <mergeCell ref="D13:D14"/>
    <mergeCell ref="E13:E14"/>
    <mergeCell ref="F13:F14"/>
    <mergeCell ref="G13:G14"/>
    <mergeCell ref="B48:B49"/>
    <mergeCell ref="C48:C49"/>
    <mergeCell ref="D48:D49"/>
    <mergeCell ref="E48:E49"/>
    <mergeCell ref="F48:F49"/>
  </mergeCells>
  <conditionalFormatting sqref="D5:G13 D15:G48 D50:G1048576">
    <cfRule type="notContainsBlanks" dxfId="0" priority="1">
      <formula>LEN(TRIM(D5))&gt;0</formula>
    </cfRule>
  </conditionalFormatting>
  <pageMargins left="0.7" right="0.7" top="0.75" bottom="0.75" header="0.3" footer="0.3"/>
  <pageSetup scale="7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8205-86A0-40DE-A71E-97F79A701C3D}">
  <sheetPr>
    <pageSetUpPr fitToPage="1"/>
  </sheetPr>
  <dimension ref="A1:F29"/>
  <sheetViews>
    <sheetView view="pageBreakPreview" zoomScale="40" zoomScaleNormal="50" zoomScaleSheetLayoutView="40" workbookViewId="0">
      <selection activeCell="D29" sqref="D29"/>
    </sheetView>
  </sheetViews>
  <sheetFormatPr defaultColWidth="8.7109375" defaultRowHeight="33.75" x14ac:dyDescent="0.25"/>
  <cols>
    <col min="1" max="1" width="32.28515625" style="16" bestFit="1" customWidth="1"/>
    <col min="2" max="2" width="45.7109375" style="15" customWidth="1"/>
    <col min="3" max="3" width="78" style="13" customWidth="1"/>
    <col min="4" max="4" width="125.85546875" style="14" bestFit="1" customWidth="1"/>
    <col min="5" max="5" width="23.28515625" style="13" bestFit="1" customWidth="1"/>
    <col min="6" max="6" width="52.140625" style="12" customWidth="1"/>
    <col min="7" max="16384" width="8.7109375" style="11"/>
  </cols>
  <sheetData>
    <row r="1" spans="1:6" ht="99.75" customHeight="1" x14ac:dyDescent="0.25">
      <c r="A1" s="83" t="s">
        <v>69</v>
      </c>
      <c r="B1" s="110" t="s">
        <v>68</v>
      </c>
      <c r="C1" s="110"/>
      <c r="D1" s="42" t="s">
        <v>142</v>
      </c>
      <c r="E1" s="42" t="s">
        <v>61</v>
      </c>
      <c r="F1" s="41" t="s">
        <v>67</v>
      </c>
    </row>
    <row r="2" spans="1:6" ht="73.5" customHeight="1" x14ac:dyDescent="0.25">
      <c r="A2" s="129"/>
      <c r="B2" s="36" t="s">
        <v>141</v>
      </c>
      <c r="C2" s="44" t="s">
        <v>141</v>
      </c>
      <c r="D2" s="56" t="s">
        <v>140</v>
      </c>
      <c r="E2" s="36" t="s">
        <v>74</v>
      </c>
      <c r="F2" s="23" t="s">
        <v>139</v>
      </c>
    </row>
    <row r="3" spans="1:6" ht="214.5" customHeight="1" x14ac:dyDescent="0.25">
      <c r="A3" s="129"/>
      <c r="B3" s="28" t="s">
        <v>206</v>
      </c>
      <c r="C3" s="24" t="s">
        <v>205</v>
      </c>
      <c r="D3" s="82" t="s">
        <v>212</v>
      </c>
      <c r="E3" s="24" t="s">
        <v>207</v>
      </c>
      <c r="F3" s="23"/>
    </row>
    <row r="4" spans="1:6" ht="138" customHeight="1" x14ac:dyDescent="0.25">
      <c r="A4" s="129"/>
      <c r="B4" s="36" t="s">
        <v>138</v>
      </c>
      <c r="C4" s="44" t="s">
        <v>137</v>
      </c>
      <c r="D4" s="37" t="s">
        <v>136</v>
      </c>
      <c r="E4" s="24" t="s">
        <v>187</v>
      </c>
      <c r="F4" s="23"/>
    </row>
    <row r="5" spans="1:6" ht="216" customHeight="1" x14ac:dyDescent="0.25">
      <c r="A5" s="129"/>
      <c r="B5" s="28" t="s">
        <v>200</v>
      </c>
      <c r="C5" s="24" t="s">
        <v>202</v>
      </c>
      <c r="D5" s="82" t="s">
        <v>213</v>
      </c>
      <c r="E5" s="24" t="s">
        <v>203</v>
      </c>
      <c r="F5" s="23" t="s">
        <v>62</v>
      </c>
    </row>
    <row r="6" spans="1:6" ht="266.45" customHeight="1" x14ac:dyDescent="0.25">
      <c r="A6" s="129"/>
      <c r="B6" s="28" t="s">
        <v>201</v>
      </c>
      <c r="C6" s="24" t="s">
        <v>135</v>
      </c>
      <c r="D6" s="82" t="s">
        <v>218</v>
      </c>
      <c r="E6" s="24" t="s">
        <v>187</v>
      </c>
      <c r="F6" s="23" t="s">
        <v>62</v>
      </c>
    </row>
    <row r="7" spans="1:6" ht="138" customHeight="1" x14ac:dyDescent="0.25">
      <c r="A7" s="129"/>
      <c r="B7" s="36" t="s">
        <v>134</v>
      </c>
      <c r="C7" s="44" t="s">
        <v>133</v>
      </c>
      <c r="D7" s="37" t="s">
        <v>132</v>
      </c>
      <c r="E7" s="24" t="s">
        <v>92</v>
      </c>
      <c r="F7" s="23"/>
    </row>
    <row r="8" spans="1:6" ht="138" customHeight="1" x14ac:dyDescent="0.25">
      <c r="A8" s="129"/>
      <c r="B8" s="36" t="s">
        <v>131</v>
      </c>
      <c r="C8" s="24" t="s">
        <v>225</v>
      </c>
      <c r="D8" s="37" t="s">
        <v>130</v>
      </c>
      <c r="E8" s="24" t="s">
        <v>129</v>
      </c>
      <c r="F8" s="23"/>
    </row>
    <row r="9" spans="1:6" ht="139.5" customHeight="1" x14ac:dyDescent="0.25">
      <c r="A9" s="128" t="s">
        <v>128</v>
      </c>
      <c r="B9" s="40" t="s">
        <v>127</v>
      </c>
      <c r="C9" s="27" t="s">
        <v>126</v>
      </c>
      <c r="D9" s="37" t="s">
        <v>125</v>
      </c>
      <c r="E9" s="24" t="s">
        <v>106</v>
      </c>
      <c r="F9" s="23" t="s">
        <v>124</v>
      </c>
    </row>
    <row r="10" spans="1:6" ht="139.5" customHeight="1" x14ac:dyDescent="0.25">
      <c r="A10" s="128"/>
      <c r="B10" s="40" t="s">
        <v>123</v>
      </c>
      <c r="C10" s="55" t="s">
        <v>122</v>
      </c>
      <c r="D10" s="37" t="s">
        <v>121</v>
      </c>
      <c r="E10" s="24" t="s">
        <v>106</v>
      </c>
      <c r="F10" s="45" t="s">
        <v>235</v>
      </c>
    </row>
    <row r="11" spans="1:6" ht="139.5" customHeight="1" x14ac:dyDescent="0.25">
      <c r="A11" s="128"/>
      <c r="B11" s="40" t="s">
        <v>120</v>
      </c>
      <c r="C11" s="55" t="s">
        <v>119</v>
      </c>
      <c r="D11" s="37" t="s">
        <v>118</v>
      </c>
      <c r="E11" s="24" t="s">
        <v>106</v>
      </c>
      <c r="F11" s="23" t="s">
        <v>99</v>
      </c>
    </row>
    <row r="12" spans="1:6" ht="139.5" customHeight="1" x14ac:dyDescent="0.25">
      <c r="A12" s="128"/>
      <c r="B12" s="40" t="s">
        <v>117</v>
      </c>
      <c r="C12" s="55" t="s">
        <v>116</v>
      </c>
      <c r="D12" s="37" t="s">
        <v>115</v>
      </c>
      <c r="E12" s="24" t="s">
        <v>106</v>
      </c>
      <c r="F12" s="23"/>
    </row>
    <row r="13" spans="1:6" ht="139.5" customHeight="1" x14ac:dyDescent="0.25">
      <c r="A13" s="128" t="s">
        <v>114</v>
      </c>
      <c r="B13" s="49" t="s">
        <v>113</v>
      </c>
      <c r="C13" s="48" t="s">
        <v>112</v>
      </c>
      <c r="D13" s="37" t="s">
        <v>111</v>
      </c>
      <c r="E13" s="24" t="s">
        <v>106</v>
      </c>
      <c r="F13" s="23" t="s">
        <v>110</v>
      </c>
    </row>
    <row r="14" spans="1:6" ht="139.5" customHeight="1" x14ac:dyDescent="0.25">
      <c r="A14" s="128"/>
      <c r="B14" s="49" t="s">
        <v>109</v>
      </c>
      <c r="C14" s="48" t="s">
        <v>108</v>
      </c>
      <c r="D14" s="37" t="s">
        <v>107</v>
      </c>
      <c r="E14" s="24" t="s">
        <v>106</v>
      </c>
      <c r="F14" s="23" t="s">
        <v>99</v>
      </c>
    </row>
    <row r="15" spans="1:6" ht="52.5" x14ac:dyDescent="0.25">
      <c r="A15" s="128"/>
      <c r="B15" s="54" t="s">
        <v>105</v>
      </c>
      <c r="C15" s="53" t="s">
        <v>104</v>
      </c>
      <c r="D15" s="52" t="s">
        <v>103</v>
      </c>
      <c r="E15" s="51" t="s">
        <v>92</v>
      </c>
      <c r="F15" s="50"/>
    </row>
    <row r="16" spans="1:6" ht="78.75" x14ac:dyDescent="0.25">
      <c r="A16" s="128"/>
      <c r="B16" s="54" t="s">
        <v>102</v>
      </c>
      <c r="C16" s="53" t="s">
        <v>101</v>
      </c>
      <c r="D16" s="52" t="s">
        <v>100</v>
      </c>
      <c r="E16" s="51" t="s">
        <v>92</v>
      </c>
      <c r="F16" s="50" t="s">
        <v>99</v>
      </c>
    </row>
    <row r="17" spans="1:6" ht="139.5" customHeight="1" x14ac:dyDescent="0.25">
      <c r="A17" s="128"/>
      <c r="B17" s="49" t="s">
        <v>98</v>
      </c>
      <c r="C17" s="48" t="s">
        <v>97</v>
      </c>
      <c r="D17" s="37" t="s">
        <v>96</v>
      </c>
      <c r="E17" s="24" t="s">
        <v>92</v>
      </c>
      <c r="F17" s="23"/>
    </row>
    <row r="18" spans="1:6" ht="139.5" customHeight="1" x14ac:dyDescent="0.25">
      <c r="A18" s="128"/>
      <c r="B18" s="49" t="s">
        <v>95</v>
      </c>
      <c r="C18" s="48" t="s">
        <v>94</v>
      </c>
      <c r="D18" s="37" t="s">
        <v>93</v>
      </c>
      <c r="E18" s="24" t="s">
        <v>92</v>
      </c>
      <c r="F18" s="23" t="s">
        <v>91</v>
      </c>
    </row>
    <row r="21" spans="1:6" s="15" customFormat="1" ht="63.75" customHeight="1" x14ac:dyDescent="0.25">
      <c r="A21" s="42"/>
      <c r="B21" s="110" t="s">
        <v>90</v>
      </c>
      <c r="C21" s="110"/>
      <c r="D21" s="42" t="s">
        <v>89</v>
      </c>
      <c r="E21" s="42"/>
      <c r="F21" s="41" t="s">
        <v>67</v>
      </c>
    </row>
    <row r="22" spans="1:6" ht="139.5" customHeight="1" x14ac:dyDescent="0.25">
      <c r="A22" s="127" t="s">
        <v>88</v>
      </c>
      <c r="B22" s="36" t="s">
        <v>87</v>
      </c>
      <c r="C22" s="44" t="s">
        <v>87</v>
      </c>
      <c r="D22" s="23" t="s">
        <v>86</v>
      </c>
      <c r="E22" s="36" t="s">
        <v>74</v>
      </c>
      <c r="F22" s="23" t="s">
        <v>73</v>
      </c>
    </row>
    <row r="23" spans="1:6" ht="139.5" customHeight="1" x14ac:dyDescent="0.25">
      <c r="A23" s="127"/>
      <c r="B23" s="28" t="s">
        <v>85</v>
      </c>
      <c r="C23" s="44" t="s">
        <v>84</v>
      </c>
      <c r="D23" s="37" t="s">
        <v>83</v>
      </c>
      <c r="E23" s="24" t="s">
        <v>27</v>
      </c>
      <c r="F23" s="23" t="s">
        <v>73</v>
      </c>
    </row>
    <row r="24" spans="1:6" ht="139.5" customHeight="1" x14ac:dyDescent="0.25">
      <c r="A24" s="127"/>
      <c r="B24" s="28" t="s">
        <v>82</v>
      </c>
      <c r="C24" s="44" t="s">
        <v>81</v>
      </c>
      <c r="D24" s="37" t="s">
        <v>80</v>
      </c>
      <c r="E24" s="24" t="s">
        <v>187</v>
      </c>
      <c r="F24" s="23" t="s">
        <v>73</v>
      </c>
    </row>
    <row r="25" spans="1:6" ht="139.5" customHeight="1" x14ac:dyDescent="0.25">
      <c r="A25" s="127"/>
      <c r="B25" s="36" t="s">
        <v>79</v>
      </c>
      <c r="C25" s="24" t="s">
        <v>78</v>
      </c>
      <c r="D25" s="37" t="s">
        <v>77</v>
      </c>
      <c r="E25" s="24" t="s">
        <v>27</v>
      </c>
      <c r="F25" s="23" t="s">
        <v>73</v>
      </c>
    </row>
    <row r="26" spans="1:6" ht="139.5" customHeight="1" x14ac:dyDescent="0.25">
      <c r="A26" s="127"/>
      <c r="B26" s="36" t="s">
        <v>76</v>
      </c>
      <c r="C26" s="44" t="s">
        <v>76</v>
      </c>
      <c r="D26" s="23" t="s">
        <v>75</v>
      </c>
      <c r="E26" s="36" t="s">
        <v>74</v>
      </c>
      <c r="F26" s="23" t="s">
        <v>73</v>
      </c>
    </row>
    <row r="28" spans="1:6" s="15" customFormat="1" ht="60.75" customHeight="1" x14ac:dyDescent="0.25">
      <c r="A28" s="42"/>
      <c r="B28" s="110" t="s">
        <v>72</v>
      </c>
      <c r="C28" s="110"/>
      <c r="D28" s="42" t="s">
        <v>193</v>
      </c>
      <c r="E28" s="42"/>
      <c r="F28" s="41" t="s">
        <v>67</v>
      </c>
    </row>
    <row r="29" spans="1:6" ht="115.5" customHeight="1" x14ac:dyDescent="0.25">
      <c r="A29" s="47"/>
      <c r="B29" s="28" t="s">
        <v>71</v>
      </c>
      <c r="C29" s="46" t="s">
        <v>70</v>
      </c>
      <c r="D29" s="45" t="s">
        <v>192</v>
      </c>
      <c r="E29" s="44" t="s">
        <v>191</v>
      </c>
      <c r="F29" s="23" t="s">
        <v>194</v>
      </c>
    </row>
  </sheetData>
  <mergeCells count="7">
    <mergeCell ref="B28:C28"/>
    <mergeCell ref="A22:A26"/>
    <mergeCell ref="B1:C1"/>
    <mergeCell ref="A9:A12"/>
    <mergeCell ref="B21:C21"/>
    <mergeCell ref="A2:A8"/>
    <mergeCell ref="A13:A18"/>
  </mergeCells>
  <pageMargins left="0.25" right="0.25" top="0.75" bottom="0.75" header="0.3" footer="0.3"/>
  <pageSetup scale="37" fitToHeight="0" orientation="landscape" r:id="rId1"/>
  <rowBreaks count="2" manualBreakCount="2">
    <brk id="8" max="16383" man="1"/>
    <brk id="1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9D23-0CDD-46A2-9302-CDCD9972FFE7}">
  <sheetPr>
    <pageSetUpPr fitToPage="1"/>
  </sheetPr>
  <dimension ref="B5:J225"/>
  <sheetViews>
    <sheetView topLeftCell="A152" zoomScale="40" zoomScaleNormal="40" workbookViewId="0">
      <selection activeCell="B215" sqref="B215:J226"/>
    </sheetView>
  </sheetViews>
  <sheetFormatPr defaultColWidth="8.7109375" defaultRowHeight="46.5" x14ac:dyDescent="0.25"/>
  <cols>
    <col min="1" max="1" width="11.42578125" style="57" customWidth="1"/>
    <col min="2" max="2" width="5.7109375" style="57" customWidth="1"/>
    <col min="3" max="3" width="18.85546875" style="57" customWidth="1"/>
    <col min="4" max="4" width="47.5703125" style="58" customWidth="1"/>
    <col min="5" max="5" width="1.85546875" style="58" customWidth="1"/>
    <col min="6" max="6" width="64.7109375" style="57" customWidth="1"/>
    <col min="7" max="7" width="1.42578125" style="57" customWidth="1"/>
    <col min="8" max="8" width="11.7109375" style="57" customWidth="1"/>
    <col min="9" max="9" width="31.42578125" style="57" customWidth="1"/>
    <col min="10" max="10" width="64.140625" style="57" customWidth="1"/>
    <col min="11" max="16384" width="8.7109375" style="57"/>
  </cols>
  <sheetData>
    <row r="5" spans="2:10" ht="168.75" customHeight="1" x14ac:dyDescent="0.25">
      <c r="B5" s="132" t="s">
        <v>208</v>
      </c>
      <c r="C5" s="132"/>
      <c r="D5" s="132"/>
      <c r="E5" s="132"/>
      <c r="F5" s="132"/>
      <c r="G5" s="132"/>
      <c r="H5" s="132"/>
      <c r="I5" s="132"/>
      <c r="J5" s="132"/>
    </row>
    <row r="6" spans="2:10" ht="39.75" customHeight="1" x14ac:dyDescent="0.25"/>
    <row r="7" spans="2:10" ht="99.75" customHeight="1" x14ac:dyDescent="0.25">
      <c r="C7" s="67"/>
      <c r="D7" s="65" t="s">
        <v>183</v>
      </c>
      <c r="E7" s="65"/>
      <c r="F7" s="64" t="s">
        <v>181</v>
      </c>
      <c r="G7" s="68"/>
      <c r="H7" s="130" t="s">
        <v>180</v>
      </c>
      <c r="I7" s="130"/>
      <c r="J7" s="130"/>
    </row>
    <row r="8" spans="2:10" ht="99.75" customHeight="1" x14ac:dyDescent="0.25">
      <c r="C8" s="67"/>
      <c r="D8" s="66" t="s">
        <v>159</v>
      </c>
      <c r="E8" s="66"/>
      <c r="F8" s="64" t="s">
        <v>179</v>
      </c>
      <c r="G8" s="63"/>
      <c r="H8" s="130" t="s">
        <v>234</v>
      </c>
      <c r="I8" s="130"/>
      <c r="J8" s="130"/>
    </row>
    <row r="9" spans="2:10" x14ac:dyDescent="0.25">
      <c r="F9" s="71"/>
      <c r="H9" s="71"/>
      <c r="I9" s="71"/>
      <c r="J9" s="71"/>
    </row>
    <row r="10" spans="2:10" x14ac:dyDescent="0.25">
      <c r="F10" s="71"/>
      <c r="H10" s="71"/>
      <c r="I10" s="71"/>
      <c r="J10" s="71"/>
    </row>
    <row r="12" spans="2:10" ht="61.5" x14ac:dyDescent="0.25">
      <c r="C12" s="131" t="s">
        <v>144</v>
      </c>
      <c r="D12" s="131"/>
      <c r="E12" s="61"/>
      <c r="F12" s="59"/>
      <c r="I12" s="60" t="s">
        <v>143</v>
      </c>
      <c r="J12" s="59"/>
    </row>
    <row r="20" spans="2:10" ht="168.75" customHeight="1" x14ac:dyDescent="0.25">
      <c r="B20" s="133" t="s">
        <v>209</v>
      </c>
      <c r="C20" s="133"/>
      <c r="D20" s="133"/>
      <c r="E20" s="133"/>
      <c r="F20" s="133"/>
      <c r="G20" s="133"/>
      <c r="H20" s="133"/>
      <c r="I20" s="133"/>
      <c r="J20" s="133"/>
    </row>
    <row r="21" spans="2:10" ht="39.75" customHeight="1" x14ac:dyDescent="0.25"/>
    <row r="22" spans="2:10" ht="99.75" customHeight="1" x14ac:dyDescent="0.25">
      <c r="C22" s="67"/>
      <c r="D22" s="65" t="s">
        <v>182</v>
      </c>
      <c r="E22" s="65"/>
      <c r="F22" s="64" t="s">
        <v>181</v>
      </c>
      <c r="G22" s="68"/>
      <c r="H22" s="130" t="s">
        <v>180</v>
      </c>
      <c r="I22" s="130"/>
      <c r="J22" s="130"/>
    </row>
    <row r="23" spans="2:10" ht="99.75" customHeight="1" x14ac:dyDescent="0.25">
      <c r="C23" s="67"/>
      <c r="D23" s="66" t="s">
        <v>166</v>
      </c>
      <c r="E23" s="66"/>
      <c r="F23" s="64" t="s">
        <v>179</v>
      </c>
      <c r="G23" s="63"/>
      <c r="H23" s="130" t="s">
        <v>234</v>
      </c>
      <c r="I23" s="130"/>
      <c r="J23" s="130"/>
    </row>
    <row r="24" spans="2:10" x14ac:dyDescent="0.25">
      <c r="F24" s="71"/>
      <c r="H24" s="71"/>
      <c r="I24" s="71"/>
      <c r="J24" s="71"/>
    </row>
    <row r="25" spans="2:10" x14ac:dyDescent="0.25">
      <c r="F25" s="71"/>
      <c r="H25" s="71"/>
      <c r="I25" s="71"/>
      <c r="J25" s="71"/>
    </row>
    <row r="27" spans="2:10" ht="61.5" x14ac:dyDescent="0.25">
      <c r="C27" s="131" t="s">
        <v>144</v>
      </c>
      <c r="D27" s="131"/>
      <c r="E27" s="61"/>
      <c r="F27" s="59"/>
      <c r="I27" s="60" t="s">
        <v>143</v>
      </c>
      <c r="J27" s="59"/>
    </row>
    <row r="35" spans="2:10" ht="168.75" customHeight="1" x14ac:dyDescent="0.25">
      <c r="B35" s="132" t="s">
        <v>138</v>
      </c>
      <c r="C35" s="132"/>
      <c r="D35" s="132"/>
      <c r="E35" s="132"/>
      <c r="F35" s="132"/>
      <c r="G35" s="132"/>
      <c r="H35" s="132"/>
      <c r="I35" s="132"/>
      <c r="J35" s="132"/>
    </row>
    <row r="36" spans="2:10" ht="39.75" customHeight="1" x14ac:dyDescent="0.25"/>
    <row r="37" spans="2:10" ht="99.75" customHeight="1" x14ac:dyDescent="0.25">
      <c r="C37" s="67"/>
      <c r="D37" s="65" t="s">
        <v>183</v>
      </c>
      <c r="E37" s="65"/>
      <c r="F37" s="64" t="s">
        <v>181</v>
      </c>
      <c r="G37" s="68"/>
      <c r="H37" s="130" t="s">
        <v>180</v>
      </c>
      <c r="I37" s="130"/>
      <c r="J37" s="130"/>
    </row>
    <row r="38" spans="2:10" ht="99.75" customHeight="1" x14ac:dyDescent="0.25">
      <c r="C38" s="67"/>
      <c r="D38" s="66" t="s">
        <v>159</v>
      </c>
      <c r="E38" s="66"/>
      <c r="F38" s="64" t="s">
        <v>211</v>
      </c>
      <c r="G38" s="63"/>
      <c r="H38" s="130" t="s">
        <v>210</v>
      </c>
      <c r="I38" s="130"/>
      <c r="J38" s="130"/>
    </row>
    <row r="39" spans="2:10" x14ac:dyDescent="0.25">
      <c r="F39" s="71"/>
      <c r="H39" s="71"/>
      <c r="I39" s="71"/>
      <c r="J39" s="71"/>
    </row>
    <row r="40" spans="2:10" x14ac:dyDescent="0.25">
      <c r="F40" s="71"/>
      <c r="H40" s="71"/>
      <c r="I40" s="71"/>
      <c r="J40" s="71"/>
    </row>
    <row r="42" spans="2:10" ht="61.5" x14ac:dyDescent="0.25">
      <c r="C42" s="131" t="s">
        <v>144</v>
      </c>
      <c r="D42" s="131"/>
      <c r="E42" s="61"/>
      <c r="F42" s="59"/>
      <c r="I42" s="60" t="s">
        <v>143</v>
      </c>
      <c r="J42" s="59"/>
    </row>
    <row r="50" spans="2:10" ht="172.5" customHeight="1" x14ac:dyDescent="0.25">
      <c r="B50" s="132" t="s">
        <v>215</v>
      </c>
      <c r="C50" s="132"/>
      <c r="D50" s="132"/>
      <c r="E50" s="132"/>
      <c r="F50" s="132"/>
      <c r="G50" s="132"/>
      <c r="H50" s="132"/>
      <c r="I50" s="132"/>
      <c r="J50" s="132"/>
    </row>
    <row r="52" spans="2:10" ht="120" customHeight="1" x14ac:dyDescent="0.25">
      <c r="C52" s="67"/>
      <c r="D52" s="65" t="s">
        <v>178</v>
      </c>
      <c r="E52" s="65"/>
      <c r="F52" s="64" t="s">
        <v>177</v>
      </c>
      <c r="G52" s="68"/>
      <c r="H52" s="130" t="s">
        <v>176</v>
      </c>
      <c r="I52" s="130"/>
      <c r="J52" s="130"/>
    </row>
    <row r="53" spans="2:10" ht="92.25" x14ac:dyDescent="0.25">
      <c r="C53" s="67"/>
      <c r="D53" s="66" t="s">
        <v>159</v>
      </c>
      <c r="E53" s="66"/>
      <c r="F53" s="64" t="s">
        <v>141</v>
      </c>
      <c r="G53" s="63"/>
      <c r="H53" s="130" t="s">
        <v>145</v>
      </c>
      <c r="I53" s="130"/>
      <c r="J53" s="130"/>
    </row>
    <row r="54" spans="2:10" ht="105.75" customHeight="1" x14ac:dyDescent="0.25">
      <c r="C54" s="69"/>
      <c r="D54" s="66" t="s">
        <v>158</v>
      </c>
      <c r="E54" s="66"/>
      <c r="F54" s="64" t="s">
        <v>157</v>
      </c>
      <c r="G54" s="63"/>
      <c r="H54" s="64"/>
      <c r="I54" s="64"/>
      <c r="J54" s="64"/>
    </row>
    <row r="55" spans="2:10" x14ac:dyDescent="0.25">
      <c r="F55" s="71"/>
      <c r="H55" s="71"/>
      <c r="I55" s="71"/>
      <c r="J55" s="71"/>
    </row>
    <row r="57" spans="2:10" ht="61.5" x14ac:dyDescent="0.25">
      <c r="C57" s="131" t="s">
        <v>144</v>
      </c>
      <c r="D57" s="131"/>
      <c r="E57" s="61"/>
      <c r="F57" s="59"/>
      <c r="I57" s="60" t="s">
        <v>143</v>
      </c>
      <c r="J57" s="59"/>
    </row>
    <row r="65" spans="2:10" ht="172.5" customHeight="1" x14ac:dyDescent="0.25">
      <c r="B65" s="132" t="s">
        <v>214</v>
      </c>
      <c r="C65" s="132"/>
      <c r="D65" s="132"/>
      <c r="E65" s="132"/>
      <c r="F65" s="132"/>
      <c r="G65" s="132"/>
      <c r="H65" s="132"/>
      <c r="I65" s="132"/>
      <c r="J65" s="132"/>
    </row>
    <row r="67" spans="2:10" ht="120" customHeight="1" x14ac:dyDescent="0.25">
      <c r="C67" s="67"/>
      <c r="D67" s="65" t="s">
        <v>216</v>
      </c>
      <c r="E67" s="65"/>
      <c r="F67" s="64" t="s">
        <v>177</v>
      </c>
      <c r="G67" s="68"/>
      <c r="H67" s="130" t="s">
        <v>176</v>
      </c>
      <c r="I67" s="130"/>
      <c r="J67" s="130"/>
    </row>
    <row r="68" spans="2:10" ht="92.25" x14ac:dyDescent="0.25">
      <c r="C68" s="67"/>
      <c r="D68" s="66" t="s">
        <v>159</v>
      </c>
      <c r="E68" s="66"/>
      <c r="F68" s="64" t="s">
        <v>141</v>
      </c>
      <c r="G68" s="63"/>
      <c r="H68" s="130" t="s">
        <v>145</v>
      </c>
      <c r="I68" s="130"/>
      <c r="J68" s="130"/>
    </row>
    <row r="69" spans="2:10" ht="105.75" customHeight="1" x14ac:dyDescent="0.25">
      <c r="C69" s="69"/>
      <c r="D69" s="66" t="s">
        <v>158</v>
      </c>
      <c r="E69" s="66"/>
      <c r="F69" s="64" t="s">
        <v>157</v>
      </c>
      <c r="G69" s="63"/>
      <c r="H69" s="64"/>
      <c r="I69" s="64"/>
      <c r="J69" s="64"/>
    </row>
    <row r="70" spans="2:10" x14ac:dyDescent="0.25">
      <c r="F70" s="71"/>
      <c r="H70" s="71"/>
      <c r="I70" s="71"/>
      <c r="J70" s="71"/>
    </row>
    <row r="72" spans="2:10" ht="61.5" x14ac:dyDescent="0.25">
      <c r="C72" s="131" t="s">
        <v>144</v>
      </c>
      <c r="D72" s="131"/>
      <c r="E72" s="61"/>
      <c r="F72" s="59"/>
      <c r="I72" s="60" t="s">
        <v>143</v>
      </c>
      <c r="J72" s="59"/>
    </row>
    <row r="80" spans="2:10" ht="172.5" customHeight="1" x14ac:dyDescent="0.25">
      <c r="B80" s="132" t="s">
        <v>217</v>
      </c>
      <c r="C80" s="132"/>
      <c r="D80" s="132"/>
      <c r="E80" s="132"/>
      <c r="F80" s="132"/>
      <c r="G80" s="132"/>
      <c r="H80" s="132"/>
      <c r="I80" s="132"/>
      <c r="J80" s="132"/>
    </row>
    <row r="82" spans="2:10" ht="120" customHeight="1" x14ac:dyDescent="0.25">
      <c r="C82" s="67"/>
      <c r="D82" s="65" t="s">
        <v>219</v>
      </c>
      <c r="E82" s="65"/>
      <c r="F82" s="64" t="s">
        <v>220</v>
      </c>
      <c r="G82" s="68"/>
      <c r="H82" s="130" t="s">
        <v>221</v>
      </c>
      <c r="I82" s="130"/>
      <c r="J82" s="130"/>
    </row>
    <row r="83" spans="2:10" ht="92.25" x14ac:dyDescent="0.25">
      <c r="C83" s="67"/>
      <c r="D83" s="66" t="s">
        <v>222</v>
      </c>
      <c r="E83" s="66"/>
      <c r="F83" s="64" t="s">
        <v>154</v>
      </c>
      <c r="G83" s="63"/>
      <c r="H83" s="130" t="s">
        <v>153</v>
      </c>
      <c r="I83" s="130"/>
      <c r="J83" s="130"/>
    </row>
    <row r="84" spans="2:10" ht="105.75" customHeight="1" x14ac:dyDescent="0.25">
      <c r="C84" s="67"/>
      <c r="D84" s="66" t="s">
        <v>159</v>
      </c>
      <c r="E84" s="66"/>
      <c r="F84" s="64" t="s">
        <v>141</v>
      </c>
      <c r="G84" s="63"/>
      <c r="H84" s="130" t="s">
        <v>145</v>
      </c>
      <c r="I84" s="130"/>
      <c r="J84" s="130"/>
    </row>
    <row r="85" spans="2:10" ht="92.25" x14ac:dyDescent="0.25">
      <c r="C85" s="69"/>
      <c r="D85" s="66" t="s">
        <v>158</v>
      </c>
      <c r="E85" s="66"/>
      <c r="F85" s="64" t="s">
        <v>157</v>
      </c>
      <c r="G85" s="63"/>
      <c r="H85" s="64"/>
      <c r="I85" s="64"/>
      <c r="J85" s="64"/>
    </row>
    <row r="87" spans="2:10" ht="61.5" x14ac:dyDescent="0.25">
      <c r="C87" s="131" t="s">
        <v>144</v>
      </c>
      <c r="D87" s="131"/>
      <c r="E87" s="61"/>
      <c r="F87" s="59"/>
      <c r="I87" s="60" t="s">
        <v>143</v>
      </c>
      <c r="J87" s="59"/>
    </row>
    <row r="95" spans="2:10" ht="172.5" customHeight="1" x14ac:dyDescent="0.25">
      <c r="B95" s="132" t="s">
        <v>223</v>
      </c>
      <c r="C95" s="132"/>
      <c r="D95" s="132"/>
      <c r="E95" s="132"/>
      <c r="F95" s="132"/>
      <c r="G95" s="132"/>
      <c r="H95" s="132"/>
      <c r="I95" s="132"/>
      <c r="J95" s="132"/>
    </row>
    <row r="97" spans="2:10" ht="120" customHeight="1" x14ac:dyDescent="0.25">
      <c r="C97" s="67"/>
      <c r="D97" s="65" t="s">
        <v>224</v>
      </c>
      <c r="E97" s="65"/>
      <c r="F97" s="64" t="s">
        <v>220</v>
      </c>
      <c r="G97" s="68"/>
      <c r="H97" s="130" t="s">
        <v>221</v>
      </c>
      <c r="I97" s="130"/>
      <c r="J97" s="130"/>
    </row>
    <row r="98" spans="2:10" ht="92.25" x14ac:dyDescent="0.25">
      <c r="C98" s="67"/>
      <c r="D98" s="66" t="s">
        <v>222</v>
      </c>
      <c r="E98" s="66"/>
      <c r="F98" s="64" t="s">
        <v>154</v>
      </c>
      <c r="G98" s="63"/>
      <c r="H98" s="130" t="s">
        <v>153</v>
      </c>
      <c r="I98" s="130"/>
      <c r="J98" s="130"/>
    </row>
    <row r="99" spans="2:10" ht="105.75" customHeight="1" x14ac:dyDescent="0.25">
      <c r="C99" s="67"/>
      <c r="D99" s="66" t="s">
        <v>159</v>
      </c>
      <c r="E99" s="66"/>
      <c r="F99" s="64" t="s">
        <v>141</v>
      </c>
      <c r="G99" s="63"/>
      <c r="H99" s="130" t="s">
        <v>145</v>
      </c>
      <c r="I99" s="130"/>
      <c r="J99" s="130"/>
    </row>
    <row r="100" spans="2:10" ht="92.25" x14ac:dyDescent="0.25">
      <c r="C100" s="69"/>
      <c r="D100" s="66" t="s">
        <v>158</v>
      </c>
      <c r="E100" s="66"/>
      <c r="F100" s="64" t="s">
        <v>157</v>
      </c>
      <c r="G100" s="63"/>
      <c r="H100" s="64"/>
      <c r="I100" s="64"/>
      <c r="J100" s="64"/>
    </row>
    <row r="102" spans="2:10" ht="61.5" x14ac:dyDescent="0.25">
      <c r="C102" s="131" t="s">
        <v>144</v>
      </c>
      <c r="D102" s="131"/>
      <c r="E102" s="61"/>
      <c r="F102" s="59"/>
      <c r="I102" s="60" t="s">
        <v>143</v>
      </c>
      <c r="J102" s="59"/>
    </row>
    <row r="110" spans="2:10" ht="180" customHeight="1" x14ac:dyDescent="0.25">
      <c r="B110" s="132" t="s">
        <v>134</v>
      </c>
      <c r="C110" s="132"/>
      <c r="D110" s="132"/>
      <c r="E110" s="132"/>
      <c r="F110" s="132"/>
      <c r="G110" s="132"/>
      <c r="H110" s="132"/>
      <c r="I110" s="132"/>
      <c r="J110" s="72"/>
    </row>
    <row r="112" spans="2:10" ht="92.25" x14ac:dyDescent="0.25">
      <c r="C112" s="67"/>
      <c r="D112" s="65" t="s">
        <v>164</v>
      </c>
      <c r="E112" s="65"/>
      <c r="F112" s="64" t="s">
        <v>175</v>
      </c>
      <c r="G112" s="68"/>
      <c r="H112" s="130" t="s">
        <v>174</v>
      </c>
      <c r="I112" s="130"/>
      <c r="J112" s="130"/>
    </row>
    <row r="113" spans="2:10" ht="92.25" x14ac:dyDescent="0.25">
      <c r="C113" s="67"/>
      <c r="D113" s="66" t="s">
        <v>166</v>
      </c>
      <c r="E113" s="66"/>
      <c r="F113" s="64" t="s">
        <v>141</v>
      </c>
      <c r="G113" s="63"/>
      <c r="H113" s="130" t="s">
        <v>145</v>
      </c>
      <c r="I113" s="130"/>
      <c r="J113" s="130"/>
    </row>
    <row r="114" spans="2:10" x14ac:dyDescent="0.25">
      <c r="F114" s="71"/>
      <c r="H114" s="71"/>
      <c r="I114" s="71"/>
      <c r="J114" s="71"/>
    </row>
    <row r="115" spans="2:10" x14ac:dyDescent="0.25">
      <c r="F115" s="71"/>
      <c r="H115" s="71"/>
      <c r="I115" s="71"/>
      <c r="J115" s="71"/>
    </row>
    <row r="117" spans="2:10" ht="61.5" x14ac:dyDescent="0.25">
      <c r="C117" s="131" t="s">
        <v>144</v>
      </c>
      <c r="D117" s="131"/>
      <c r="E117" s="61"/>
      <c r="F117" s="59"/>
      <c r="I117" s="60" t="s">
        <v>143</v>
      </c>
      <c r="J117" s="59"/>
    </row>
    <row r="125" spans="2:10" ht="180" customHeight="1" x14ac:dyDescent="0.25">
      <c r="B125" s="132" t="s">
        <v>131</v>
      </c>
      <c r="C125" s="132"/>
      <c r="D125" s="132"/>
      <c r="E125" s="132"/>
      <c r="F125" s="132"/>
      <c r="G125" s="132"/>
      <c r="H125" s="132"/>
      <c r="I125" s="132"/>
      <c r="J125" s="72"/>
    </row>
    <row r="127" spans="2:10" ht="184.5" x14ac:dyDescent="0.25">
      <c r="C127" s="67"/>
      <c r="D127" s="65" t="s">
        <v>226</v>
      </c>
      <c r="E127" s="65"/>
      <c r="F127" s="64" t="s">
        <v>227</v>
      </c>
      <c r="G127" s="68"/>
      <c r="H127" s="130" t="s">
        <v>228</v>
      </c>
      <c r="I127" s="130"/>
      <c r="J127" s="130"/>
    </row>
    <row r="128" spans="2:10" ht="92.25" x14ac:dyDescent="0.25">
      <c r="C128" s="67"/>
      <c r="D128" s="66" t="s">
        <v>229</v>
      </c>
      <c r="E128" s="66"/>
      <c r="F128" s="64" t="s">
        <v>230</v>
      </c>
      <c r="G128" s="63"/>
      <c r="H128" s="130" t="s">
        <v>231</v>
      </c>
      <c r="I128" s="130"/>
      <c r="J128" s="130"/>
    </row>
    <row r="129" spans="2:10" ht="92.25" x14ac:dyDescent="0.25">
      <c r="C129" s="67"/>
      <c r="D129" s="66" t="s">
        <v>232</v>
      </c>
      <c r="E129" s="66"/>
      <c r="F129" s="64" t="s">
        <v>141</v>
      </c>
      <c r="G129" s="63"/>
      <c r="H129" s="130" t="s">
        <v>145</v>
      </c>
      <c r="I129" s="130"/>
      <c r="J129" s="130"/>
    </row>
    <row r="130" spans="2:10" x14ac:dyDescent="0.25">
      <c r="F130" s="71"/>
      <c r="H130" s="71"/>
      <c r="I130" s="71"/>
      <c r="J130" s="71"/>
    </row>
    <row r="132" spans="2:10" ht="61.5" x14ac:dyDescent="0.25">
      <c r="C132" s="131" t="s">
        <v>144</v>
      </c>
      <c r="D132" s="131"/>
      <c r="E132" s="61"/>
      <c r="F132" s="59"/>
      <c r="I132" s="60" t="s">
        <v>143</v>
      </c>
      <c r="J132" s="59"/>
    </row>
    <row r="137" spans="2:10" ht="182.25" customHeight="1" x14ac:dyDescent="0.25">
      <c r="B137" s="70"/>
      <c r="C137" s="132" t="s">
        <v>127</v>
      </c>
      <c r="D137" s="132"/>
      <c r="E137" s="132"/>
      <c r="F137" s="132"/>
      <c r="G137" s="132"/>
      <c r="H137" s="132"/>
      <c r="I137" s="132"/>
      <c r="J137" s="132"/>
    </row>
    <row r="139" spans="2:10" ht="92.25" x14ac:dyDescent="0.25">
      <c r="C139" s="67"/>
      <c r="D139" s="65" t="s">
        <v>173</v>
      </c>
      <c r="E139" s="65"/>
      <c r="F139" s="64" t="s">
        <v>168</v>
      </c>
      <c r="G139" s="68"/>
      <c r="H139" s="130" t="s">
        <v>167</v>
      </c>
      <c r="I139" s="130"/>
      <c r="J139" s="130"/>
    </row>
    <row r="140" spans="2:10" ht="92.25" x14ac:dyDescent="0.25">
      <c r="C140" s="67"/>
      <c r="D140" s="66" t="s">
        <v>152</v>
      </c>
      <c r="E140" s="66"/>
      <c r="F140" s="64" t="s">
        <v>171</v>
      </c>
      <c r="G140" s="63"/>
      <c r="H140" s="130" t="s">
        <v>170</v>
      </c>
      <c r="I140" s="130"/>
      <c r="J140" s="130"/>
    </row>
    <row r="141" spans="2:10" ht="92.25" x14ac:dyDescent="0.25">
      <c r="C141" s="67"/>
      <c r="D141" s="65" t="s">
        <v>164</v>
      </c>
      <c r="E141" s="65"/>
      <c r="F141" s="64" t="s">
        <v>156</v>
      </c>
      <c r="G141" s="68"/>
      <c r="H141" s="130" t="s">
        <v>165</v>
      </c>
      <c r="I141" s="130"/>
      <c r="J141" s="130"/>
    </row>
    <row r="142" spans="2:10" ht="92.25" x14ac:dyDescent="0.25">
      <c r="C142" s="67"/>
      <c r="D142" s="66" t="s">
        <v>164</v>
      </c>
      <c r="E142" s="66"/>
      <c r="F142" s="64" t="s">
        <v>163</v>
      </c>
      <c r="G142" s="63"/>
      <c r="H142" s="130"/>
      <c r="I142" s="130"/>
      <c r="J142" s="130"/>
    </row>
    <row r="144" spans="2:10" ht="61.5" x14ac:dyDescent="0.25">
      <c r="C144" s="131" t="s">
        <v>144</v>
      </c>
      <c r="D144" s="131"/>
      <c r="E144" s="61"/>
      <c r="F144" s="59"/>
      <c r="I144" s="60" t="s">
        <v>143</v>
      </c>
      <c r="J144" s="59"/>
    </row>
    <row r="148" spans="3:10" ht="187.5" customHeight="1" x14ac:dyDescent="0.25">
      <c r="C148" s="132" t="s">
        <v>123</v>
      </c>
      <c r="D148" s="132"/>
      <c r="E148" s="132"/>
      <c r="F148" s="132"/>
      <c r="G148" s="132"/>
      <c r="H148" s="132"/>
      <c r="I148" s="132"/>
      <c r="J148" s="132"/>
    </row>
    <row r="150" spans="3:10" ht="92.25" x14ac:dyDescent="0.25">
      <c r="C150" s="67"/>
      <c r="D150" s="65" t="s">
        <v>172</v>
      </c>
      <c r="E150" s="65"/>
      <c r="F150" s="64" t="s">
        <v>161</v>
      </c>
      <c r="G150" s="68"/>
      <c r="H150" s="130" t="s">
        <v>160</v>
      </c>
      <c r="I150" s="130"/>
      <c r="J150" s="130"/>
    </row>
    <row r="151" spans="3:10" ht="92.25" x14ac:dyDescent="0.25">
      <c r="C151" s="67"/>
      <c r="D151" s="66" t="s">
        <v>146</v>
      </c>
      <c r="E151" s="66"/>
      <c r="F151" s="64" t="s">
        <v>156</v>
      </c>
      <c r="G151" s="63"/>
      <c r="H151" s="130" t="s">
        <v>155</v>
      </c>
      <c r="I151" s="130"/>
      <c r="J151" s="130"/>
    </row>
    <row r="152" spans="3:10" ht="92.25" x14ac:dyDescent="0.25">
      <c r="C152" s="67"/>
      <c r="D152" s="66" t="s">
        <v>146</v>
      </c>
      <c r="E152" s="65"/>
      <c r="F152" s="64" t="s">
        <v>171</v>
      </c>
      <c r="G152" s="63"/>
      <c r="H152" s="130" t="s">
        <v>170</v>
      </c>
      <c r="I152" s="130"/>
      <c r="J152" s="130"/>
    </row>
    <row r="153" spans="3:10" ht="96" customHeight="1" x14ac:dyDescent="0.25">
      <c r="C153" s="69"/>
      <c r="D153" s="66" t="s">
        <v>158</v>
      </c>
      <c r="E153" s="63"/>
      <c r="F153" s="64" t="s">
        <v>157</v>
      </c>
      <c r="H153" s="130"/>
      <c r="I153" s="130"/>
      <c r="J153" s="130"/>
    </row>
    <row r="154" spans="3:10" ht="54.75" customHeight="1" x14ac:dyDescent="0.25">
      <c r="C154" s="63"/>
      <c r="D154" s="66"/>
      <c r="E154" s="63"/>
      <c r="F154" s="64"/>
      <c r="H154" s="62"/>
      <c r="I154" s="62"/>
      <c r="J154" s="62"/>
    </row>
    <row r="155" spans="3:10" ht="61.5" x14ac:dyDescent="0.25">
      <c r="C155" s="131" t="s">
        <v>144</v>
      </c>
      <c r="D155" s="131"/>
      <c r="E155" s="61"/>
      <c r="F155" s="59"/>
      <c r="I155" s="60" t="s">
        <v>143</v>
      </c>
      <c r="J155" s="59"/>
    </row>
    <row r="159" spans="3:10" ht="221.25" customHeight="1" x14ac:dyDescent="0.25">
      <c r="C159" s="132" t="s">
        <v>120</v>
      </c>
      <c r="D159" s="132"/>
      <c r="E159" s="132"/>
      <c r="F159" s="132"/>
      <c r="G159" s="132"/>
      <c r="H159" s="132"/>
      <c r="I159" s="132"/>
      <c r="J159" s="132"/>
    </row>
    <row r="161" spans="3:10" ht="92.25" x14ac:dyDescent="0.25">
      <c r="C161" s="67"/>
      <c r="D161" s="65" t="s">
        <v>164</v>
      </c>
      <c r="E161" s="65"/>
      <c r="F161" s="64" t="s">
        <v>150</v>
      </c>
      <c r="G161" s="68"/>
      <c r="H161" s="130" t="s">
        <v>149</v>
      </c>
      <c r="I161" s="130"/>
      <c r="J161" s="130"/>
    </row>
    <row r="162" spans="3:10" ht="92.25" x14ac:dyDescent="0.25">
      <c r="C162" s="67"/>
      <c r="D162" s="65" t="s">
        <v>164</v>
      </c>
      <c r="E162" s="66"/>
      <c r="F162" s="64" t="s">
        <v>156</v>
      </c>
      <c r="G162" s="63"/>
      <c r="H162" s="130" t="s">
        <v>155</v>
      </c>
      <c r="I162" s="130"/>
      <c r="J162" s="130"/>
    </row>
    <row r="163" spans="3:10" ht="92.25" x14ac:dyDescent="0.25">
      <c r="C163" s="67"/>
      <c r="D163" s="66" t="s">
        <v>152</v>
      </c>
      <c r="E163" s="65"/>
      <c r="F163" s="64" t="s">
        <v>171</v>
      </c>
      <c r="G163" s="63"/>
      <c r="H163" s="130" t="s">
        <v>170</v>
      </c>
      <c r="I163" s="130"/>
      <c r="J163" s="130"/>
    </row>
    <row r="165" spans="3:10" ht="61.5" x14ac:dyDescent="0.25">
      <c r="C165" s="131" t="s">
        <v>144</v>
      </c>
      <c r="D165" s="131"/>
      <c r="E165" s="61"/>
      <c r="F165" s="59"/>
      <c r="I165" s="60" t="s">
        <v>143</v>
      </c>
      <c r="J165" s="59"/>
    </row>
    <row r="170" spans="3:10" ht="219.75" customHeight="1" x14ac:dyDescent="0.25">
      <c r="C170" s="132" t="s">
        <v>117</v>
      </c>
      <c r="D170" s="132"/>
      <c r="E170" s="132"/>
      <c r="F170" s="132"/>
      <c r="G170" s="132"/>
      <c r="H170" s="132"/>
      <c r="I170" s="132"/>
      <c r="J170" s="132"/>
    </row>
    <row r="172" spans="3:10" ht="92.25" x14ac:dyDescent="0.25">
      <c r="C172" s="67"/>
      <c r="D172" s="65" t="s">
        <v>164</v>
      </c>
      <c r="E172" s="65"/>
      <c r="F172" s="64" t="s">
        <v>154</v>
      </c>
      <c r="G172" s="68"/>
      <c r="H172" s="130" t="s">
        <v>153</v>
      </c>
      <c r="I172" s="130"/>
      <c r="J172" s="130"/>
    </row>
    <row r="173" spans="3:10" ht="92.25" x14ac:dyDescent="0.25">
      <c r="C173" s="67"/>
      <c r="D173" s="65" t="s">
        <v>166</v>
      </c>
      <c r="E173" s="66"/>
      <c r="F173" s="64" t="s">
        <v>171</v>
      </c>
      <c r="G173" s="63"/>
      <c r="H173" s="130" t="s">
        <v>170</v>
      </c>
      <c r="I173" s="130"/>
      <c r="J173" s="130"/>
    </row>
    <row r="174" spans="3:10" ht="60.95" customHeight="1" x14ac:dyDescent="0.25">
      <c r="D174" s="66"/>
      <c r="E174" s="65"/>
      <c r="F174" s="64"/>
      <c r="G174" s="63"/>
      <c r="H174" s="130"/>
      <c r="I174" s="130"/>
      <c r="J174" s="130"/>
    </row>
    <row r="175" spans="3:10" ht="61.5" x14ac:dyDescent="0.25">
      <c r="D175" s="57"/>
      <c r="E175" s="57"/>
      <c r="H175" s="130"/>
      <c r="I175" s="130"/>
      <c r="J175" s="130"/>
    </row>
    <row r="177" spans="3:10" ht="61.5" x14ac:dyDescent="0.25">
      <c r="C177" s="131" t="s">
        <v>144</v>
      </c>
      <c r="D177" s="131"/>
      <c r="E177" s="61"/>
      <c r="F177" s="59"/>
      <c r="I177" s="60" t="s">
        <v>143</v>
      </c>
      <c r="J177" s="59"/>
    </row>
    <row r="182" spans="3:10" ht="192" customHeight="1" x14ac:dyDescent="0.25">
      <c r="C182" s="132" t="s">
        <v>113</v>
      </c>
      <c r="D182" s="132"/>
      <c r="E182" s="132"/>
      <c r="F182" s="132"/>
      <c r="G182" s="132"/>
      <c r="H182" s="132"/>
      <c r="I182" s="132"/>
      <c r="J182" s="132"/>
    </row>
    <row r="184" spans="3:10" ht="92.25" x14ac:dyDescent="0.25">
      <c r="C184" s="67"/>
      <c r="D184" s="65" t="s">
        <v>169</v>
      </c>
      <c r="E184" s="65"/>
      <c r="F184" s="64" t="s">
        <v>168</v>
      </c>
      <c r="G184" s="68"/>
      <c r="H184" s="130" t="s">
        <v>167</v>
      </c>
      <c r="I184" s="130"/>
      <c r="J184" s="130"/>
    </row>
    <row r="185" spans="3:10" ht="92.25" x14ac:dyDescent="0.25">
      <c r="C185" s="67"/>
      <c r="D185" s="65" t="s">
        <v>166</v>
      </c>
      <c r="E185" s="66"/>
      <c r="F185" s="64" t="s">
        <v>156</v>
      </c>
      <c r="G185" s="63"/>
      <c r="H185" s="130" t="s">
        <v>165</v>
      </c>
      <c r="I185" s="130"/>
      <c r="J185" s="130"/>
    </row>
    <row r="186" spans="3:10" ht="92.25" x14ac:dyDescent="0.25">
      <c r="C186" s="67"/>
      <c r="D186" s="66" t="s">
        <v>164</v>
      </c>
      <c r="E186" s="66"/>
      <c r="F186" s="64" t="s">
        <v>163</v>
      </c>
      <c r="G186" s="63"/>
      <c r="H186" s="130"/>
      <c r="I186" s="130"/>
      <c r="J186" s="130"/>
    </row>
    <row r="187" spans="3:10" ht="61.5" x14ac:dyDescent="0.25">
      <c r="D187" s="57"/>
      <c r="E187" s="57"/>
      <c r="H187" s="130"/>
      <c r="I187" s="130"/>
      <c r="J187" s="130"/>
    </row>
    <row r="189" spans="3:10" ht="61.5" x14ac:dyDescent="0.25">
      <c r="C189" s="131" t="s">
        <v>144</v>
      </c>
      <c r="D189" s="131"/>
      <c r="E189" s="61"/>
      <c r="F189" s="59"/>
      <c r="I189" s="60" t="s">
        <v>143</v>
      </c>
      <c r="J189" s="59"/>
    </row>
    <row r="194" spans="3:10" ht="189.75" customHeight="1" x14ac:dyDescent="0.25">
      <c r="C194" s="132" t="s">
        <v>109</v>
      </c>
      <c r="D194" s="132"/>
      <c r="E194" s="132"/>
      <c r="F194" s="132"/>
      <c r="G194" s="132"/>
      <c r="H194" s="132"/>
      <c r="I194" s="132"/>
      <c r="J194" s="132"/>
    </row>
    <row r="196" spans="3:10" ht="129.75" customHeight="1" x14ac:dyDescent="0.25">
      <c r="C196" s="67"/>
      <c r="D196" s="65" t="s">
        <v>162</v>
      </c>
      <c r="E196" s="65"/>
      <c r="F196" s="64" t="s">
        <v>161</v>
      </c>
      <c r="G196" s="68"/>
      <c r="H196" s="130" t="s">
        <v>160</v>
      </c>
      <c r="I196" s="130"/>
      <c r="J196" s="130"/>
    </row>
    <row r="197" spans="3:10" ht="105.75" customHeight="1" x14ac:dyDescent="0.25">
      <c r="C197" s="67"/>
      <c r="D197" s="65" t="s">
        <v>159</v>
      </c>
      <c r="E197" s="66"/>
      <c r="F197" s="64" t="s">
        <v>156</v>
      </c>
      <c r="G197" s="63"/>
      <c r="H197" s="130" t="s">
        <v>155</v>
      </c>
      <c r="I197" s="130"/>
      <c r="J197" s="130"/>
    </row>
    <row r="198" spans="3:10" ht="100.5" customHeight="1" x14ac:dyDescent="0.25">
      <c r="C198" s="67"/>
      <c r="D198" s="66" t="s">
        <v>158</v>
      </c>
      <c r="E198" s="66"/>
      <c r="F198" s="64" t="s">
        <v>157</v>
      </c>
      <c r="G198" s="63"/>
      <c r="H198" s="130"/>
      <c r="I198" s="130"/>
      <c r="J198" s="130"/>
    </row>
    <row r="199" spans="3:10" ht="61.5" x14ac:dyDescent="0.25">
      <c r="D199" s="57"/>
      <c r="E199" s="57"/>
      <c r="H199" s="130"/>
      <c r="I199" s="130"/>
      <c r="J199" s="130"/>
    </row>
    <row r="201" spans="3:10" ht="61.5" x14ac:dyDescent="0.25">
      <c r="C201" s="131" t="s">
        <v>144</v>
      </c>
      <c r="D201" s="131"/>
      <c r="E201" s="61"/>
      <c r="F201" s="59"/>
      <c r="I201" s="60" t="s">
        <v>143</v>
      </c>
      <c r="J201" s="59"/>
    </row>
    <row r="206" spans="3:10" ht="222" customHeight="1" x14ac:dyDescent="0.25">
      <c r="C206" s="132" t="s">
        <v>98</v>
      </c>
      <c r="D206" s="132"/>
      <c r="E206" s="132"/>
      <c r="F206" s="132"/>
      <c r="G206" s="132"/>
      <c r="H206" s="132"/>
      <c r="I206" s="132"/>
      <c r="J206" s="132"/>
    </row>
    <row r="208" spans="3:10" ht="92.25" x14ac:dyDescent="0.25">
      <c r="C208" s="67"/>
      <c r="D208" s="65" t="s">
        <v>151</v>
      </c>
      <c r="E208" s="65"/>
      <c r="F208" s="64" t="s">
        <v>154</v>
      </c>
      <c r="G208" s="68"/>
      <c r="H208" s="130" t="s">
        <v>153</v>
      </c>
      <c r="I208" s="130"/>
      <c r="J208" s="130"/>
    </row>
    <row r="209" spans="3:10" ht="92.25" x14ac:dyDescent="0.25">
      <c r="C209" s="67"/>
      <c r="D209" s="66" t="s">
        <v>152</v>
      </c>
      <c r="E209" s="66"/>
      <c r="F209" s="64" t="s">
        <v>141</v>
      </c>
      <c r="G209" s="63"/>
      <c r="H209" s="130" t="s">
        <v>145</v>
      </c>
      <c r="I209" s="130"/>
      <c r="J209" s="130"/>
    </row>
    <row r="210" spans="3:10" ht="60.75" customHeight="1" x14ac:dyDescent="0.25">
      <c r="D210" s="66"/>
      <c r="E210" s="65"/>
      <c r="F210" s="64"/>
      <c r="G210" s="63"/>
      <c r="H210" s="130"/>
      <c r="I210" s="130"/>
      <c r="J210" s="130"/>
    </row>
    <row r="211" spans="3:10" ht="61.5" x14ac:dyDescent="0.25">
      <c r="D211" s="57"/>
      <c r="E211" s="57"/>
      <c r="H211" s="130"/>
      <c r="I211" s="130"/>
      <c r="J211" s="130"/>
    </row>
    <row r="213" spans="3:10" ht="61.5" x14ac:dyDescent="0.25">
      <c r="C213" s="131" t="s">
        <v>144</v>
      </c>
      <c r="D213" s="131"/>
      <c r="E213" s="61"/>
      <c r="F213" s="59"/>
      <c r="I213" s="60" t="s">
        <v>143</v>
      </c>
      <c r="J213" s="59"/>
    </row>
    <row r="218" spans="3:10" ht="221.25" customHeight="1" x14ac:dyDescent="0.25">
      <c r="C218" s="132" t="s">
        <v>95</v>
      </c>
      <c r="D218" s="132"/>
      <c r="E218" s="132"/>
      <c r="F218" s="132"/>
      <c r="G218" s="132"/>
      <c r="H218" s="132"/>
      <c r="I218" s="132"/>
      <c r="J218" s="132"/>
    </row>
    <row r="220" spans="3:10" ht="92.25" x14ac:dyDescent="0.25">
      <c r="C220" s="67"/>
      <c r="D220" s="65" t="s">
        <v>151</v>
      </c>
      <c r="E220" s="65"/>
      <c r="F220" s="64" t="s">
        <v>150</v>
      </c>
      <c r="G220" s="68"/>
      <c r="H220" s="130" t="s">
        <v>149</v>
      </c>
      <c r="I220" s="130"/>
      <c r="J220" s="130"/>
    </row>
    <row r="221" spans="3:10" ht="92.25" x14ac:dyDescent="0.25">
      <c r="C221" s="67"/>
      <c r="D221" s="65" t="s">
        <v>148</v>
      </c>
      <c r="E221" s="66"/>
      <c r="F221" s="64" t="s">
        <v>147</v>
      </c>
      <c r="G221" s="63"/>
      <c r="H221" s="130" t="s">
        <v>233</v>
      </c>
      <c r="I221" s="130"/>
      <c r="J221" s="130"/>
    </row>
    <row r="222" spans="3:10" ht="92.25" x14ac:dyDescent="0.25">
      <c r="D222" s="65" t="s">
        <v>146</v>
      </c>
      <c r="E222" s="65"/>
      <c r="F222" s="64" t="s">
        <v>141</v>
      </c>
      <c r="G222" s="63"/>
      <c r="H222" s="130" t="s">
        <v>145</v>
      </c>
      <c r="I222" s="130"/>
      <c r="J222" s="130"/>
    </row>
    <row r="223" spans="3:10" ht="61.5" x14ac:dyDescent="0.25">
      <c r="D223" s="57"/>
      <c r="E223" s="57"/>
      <c r="H223" s="130"/>
      <c r="I223" s="130"/>
      <c r="J223" s="130"/>
    </row>
    <row r="225" spans="3:10" ht="61.5" x14ac:dyDescent="0.25">
      <c r="C225" s="131" t="s">
        <v>144</v>
      </c>
      <c r="D225" s="131"/>
      <c r="E225" s="61"/>
      <c r="F225" s="59"/>
      <c r="I225" s="60" t="s">
        <v>143</v>
      </c>
      <c r="J225" s="59"/>
    </row>
  </sheetData>
  <mergeCells count="86">
    <mergeCell ref="C132:D132"/>
    <mergeCell ref="H129:J129"/>
    <mergeCell ref="H98:J98"/>
    <mergeCell ref="H99:J99"/>
    <mergeCell ref="C102:D102"/>
    <mergeCell ref="B125:I125"/>
    <mergeCell ref="H127:J127"/>
    <mergeCell ref="H128:J128"/>
    <mergeCell ref="B110:I110"/>
    <mergeCell ref="H112:J112"/>
    <mergeCell ref="H113:J113"/>
    <mergeCell ref="C117:D117"/>
    <mergeCell ref="H97:J97"/>
    <mergeCell ref="B50:J50"/>
    <mergeCell ref="B65:J65"/>
    <mergeCell ref="H67:J67"/>
    <mergeCell ref="H68:J68"/>
    <mergeCell ref="C72:D72"/>
    <mergeCell ref="B80:J80"/>
    <mergeCell ref="H53:J53"/>
    <mergeCell ref="C57:D57"/>
    <mergeCell ref="H82:J82"/>
    <mergeCell ref="H83:J83"/>
    <mergeCell ref="C87:D87"/>
    <mergeCell ref="H84:J84"/>
    <mergeCell ref="B95:J95"/>
    <mergeCell ref="B5:J5"/>
    <mergeCell ref="B20:J20"/>
    <mergeCell ref="H22:J22"/>
    <mergeCell ref="H23:J23"/>
    <mergeCell ref="C27:D27"/>
    <mergeCell ref="H7:J7"/>
    <mergeCell ref="H8:J8"/>
    <mergeCell ref="C12:D12"/>
    <mergeCell ref="C42:D42"/>
    <mergeCell ref="B35:J35"/>
    <mergeCell ref="H37:J37"/>
    <mergeCell ref="H38:J38"/>
    <mergeCell ref="H52:J52"/>
    <mergeCell ref="C137:J137"/>
    <mergeCell ref="H139:J139"/>
    <mergeCell ref="H140:J140"/>
    <mergeCell ref="H161:J161"/>
    <mergeCell ref="H162:J162"/>
    <mergeCell ref="H141:J141"/>
    <mergeCell ref="H142:J142"/>
    <mergeCell ref="C144:D144"/>
    <mergeCell ref="C148:J148"/>
    <mergeCell ref="H150:J150"/>
    <mergeCell ref="H163:J163"/>
    <mergeCell ref="C165:D165"/>
    <mergeCell ref="H151:J151"/>
    <mergeCell ref="H152:J152"/>
    <mergeCell ref="H153:J153"/>
    <mergeCell ref="C155:D155"/>
    <mergeCell ref="C159:J159"/>
    <mergeCell ref="C177:D177"/>
    <mergeCell ref="C182:J182"/>
    <mergeCell ref="H184:J184"/>
    <mergeCell ref="H185:J185"/>
    <mergeCell ref="H186:J186"/>
    <mergeCell ref="C170:J170"/>
    <mergeCell ref="H172:J172"/>
    <mergeCell ref="H173:J173"/>
    <mergeCell ref="H174:J174"/>
    <mergeCell ref="H175:J175"/>
    <mergeCell ref="H198:J198"/>
    <mergeCell ref="H199:J199"/>
    <mergeCell ref="C201:D201"/>
    <mergeCell ref="C206:J206"/>
    <mergeCell ref="H208:J208"/>
    <mergeCell ref="H187:J187"/>
    <mergeCell ref="C189:D189"/>
    <mergeCell ref="C194:J194"/>
    <mergeCell ref="H196:J196"/>
    <mergeCell ref="H197:J197"/>
    <mergeCell ref="H220:J220"/>
    <mergeCell ref="H221:J221"/>
    <mergeCell ref="H222:J222"/>
    <mergeCell ref="H223:J223"/>
    <mergeCell ref="C225:D225"/>
    <mergeCell ref="H209:J209"/>
    <mergeCell ref="H210:J210"/>
    <mergeCell ref="H211:J211"/>
    <mergeCell ref="C213:D213"/>
    <mergeCell ref="C218:J218"/>
  </mergeCells>
  <pageMargins left="0.7" right="0.7" top="0.75" bottom="0.75" header="0.3" footer="0.3"/>
  <pageSetup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4a8ce3a426e35c65727dcea7b39d0ff0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607b773c73837cec3794ae94973493db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BA1EB1-EA6F-41AB-9A99-617E2B9F7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30F038-C185-4B44-82EE-6BC6B83B2B91}">
  <ds:schemaRefs>
    <ds:schemaRef ds:uri="http://purl.org/dc/terms/"/>
    <ds:schemaRef ds:uri="61081784-eb1d-4399-bb11-6e20c62c25a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b65a21d-a0af-4271-ba34-c61e5c9924fa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EED419-C0B6-4C37-9F30-18A2CC256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</vt:lpstr>
      <vt:lpstr>Amidite stock solution</vt:lpstr>
      <vt:lpstr>Amidite recipe</vt:lpstr>
      <vt:lpstr>Reagent recipe</vt:lpstr>
      <vt:lpstr>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Nguyen</dc:creator>
  <cp:lastModifiedBy>Kathy Nguyen</cp:lastModifiedBy>
  <cp:lastPrinted>2026-01-09T16:33:03Z</cp:lastPrinted>
  <dcterms:created xsi:type="dcterms:W3CDTF">2025-09-19T00:30:01Z</dcterms:created>
  <dcterms:modified xsi:type="dcterms:W3CDTF">2026-01-12T21:04:11Z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