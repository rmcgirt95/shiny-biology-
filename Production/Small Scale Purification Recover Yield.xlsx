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"/>
    </mc:Choice>
  </mc:AlternateContent>
  <xr:revisionPtr revIDLastSave="277" documentId="8_{A0C6DC0B-4D99-446C-A1B0-E94E35076817}" xr6:coauthVersionLast="47" xr6:coauthVersionMax="47" xr10:uidLastSave="{C2D9CE2B-7083-419C-A66E-807C2C1436C3}"/>
  <bookViews>
    <workbookView xWindow="28680" yWindow="-120" windowWidth="29040" windowHeight="15990" xr2:uid="{00000000-000D-0000-FFFF-FFFF00000000}"/>
  </bookViews>
  <sheets>
    <sheet name="SiRNA" sheetId="2" r:id="rId1"/>
    <sheet name="AS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3" i="2"/>
  <c r="L8" i="3"/>
  <c r="L7" i="3"/>
  <c r="L6" i="3"/>
  <c r="L5" i="3"/>
  <c r="L4" i="3"/>
  <c r="L3" i="3"/>
  <c r="M7" i="2"/>
  <c r="M6" i="2"/>
  <c r="M5" i="2"/>
  <c r="M4" i="2"/>
  <c r="M3" i="2"/>
</calcChain>
</file>

<file path=xl/sharedStrings.xml><?xml version="1.0" encoding="utf-8"?>
<sst xmlns="http://schemas.openxmlformats.org/spreadsheetml/2006/main" count="73" uniqueCount="47">
  <si>
    <t>Seq. NO.</t>
  </si>
  <si>
    <t>Sequence</t>
  </si>
  <si>
    <t>LEN</t>
  </si>
  <si>
    <t>NOS</t>
  </si>
  <si>
    <t>Crude</t>
  </si>
  <si>
    <t>OD</t>
  </si>
  <si>
    <t xml:space="preserve">Purity </t>
  </si>
  <si>
    <t>Impurity</t>
  </si>
  <si>
    <t>Purity</t>
  </si>
  <si>
    <t>Target OD</t>
  </si>
  <si>
    <t>Column</t>
  </si>
  <si>
    <t>S20843-7</t>
  </si>
  <si>
    <t>15.2mL TSK</t>
  </si>
  <si>
    <t>7.14% -16.7</t>
  </si>
  <si>
    <t>S20867-1A</t>
  </si>
  <si>
    <t>(5VPmU)*fA*mA  mAmCfA  mUmUmG  mCmAmU  mCfUmG  fGmUmA  mGmGmA*  mA*mG</t>
  </si>
  <si>
    <t>S20867-5A</t>
  </si>
  <si>
    <t>S20867-5S</t>
  </si>
  <si>
    <t>(5VPmU)*fU*mU  mAmGfA  mGfUfG  mAmGmG  mAfUmU  fAmAmA  mAmUmG*  mA*mG</t>
  </si>
  <si>
    <t>4.5mL TSK</t>
  </si>
  <si>
    <t>N/A</t>
  </si>
  <si>
    <t>1.72% +28.6</t>
  </si>
  <si>
    <t>2.16% +28.4</t>
  </si>
  <si>
    <t>S20852-1</t>
  </si>
  <si>
    <t>(moeG)*(moeT)(moeA)  (5Me-moeC)(5Me-moeC)(moeT)*T*T*A* T*T*T*  A*A*T*  G*C*T*  (5Me-moeC)*(moeA)</t>
  </si>
  <si>
    <t>5.74% -16.2</t>
  </si>
  <si>
    <t>24mL TSK</t>
  </si>
  <si>
    <t>Purified Product</t>
  </si>
  <si>
    <t>S20856-3</t>
  </si>
  <si>
    <t>S20863-1</t>
  </si>
  <si>
    <t>S20858-1A2A</t>
  </si>
  <si>
    <t>(C6NH2)mUmU  mGmGmG  mCfAmA  fAfGfG  mUmGmG  mAmAmA
mUmGmA  mA*mG*mU*  mG*mU*mA*  mG</t>
  </si>
  <si>
    <t>1.72% -2687.2</t>
  </si>
  <si>
    <t>9.15% -17.1</t>
  </si>
  <si>
    <t>6.38% +292.8</t>
  </si>
  <si>
    <t>S20869-1</t>
  </si>
  <si>
    <t>3mL TSK</t>
  </si>
  <si>
    <t>(moeG)*(moeT)(moeG)  (moeT)(moeG)A*  A*G*T*  A*A*T* A*T*A*  
(moeT)(moeG)(5Me-moeC)*  (5Me-moeC)*(5Me-moeC)</t>
  </si>
  <si>
    <t>S20857-4</t>
  </si>
  <si>
    <t>(LNA-T)*(5Me-LNA-C)*(LNA-A)*  T*A*T*  G*(5Me-dC)*(5Me-dC)*  
A*(5Me-dC)*(5Me-dC)*  A*(LNA-G)*(LNA-G)*  (LNA-T)</t>
  </si>
  <si>
    <t>2.86% -329.3</t>
  </si>
  <si>
    <t>(5Me-moeC)*(5Me-moeC)*(moeA)*  (moeA)*(moeA)*T* C*T*T*  A*T*A*  A*T*A*  (moeA)*(5Me-moeC)*(moeT)* (moeA)*(5Me-moeC)</t>
  </si>
  <si>
    <t>(moeT)*(moeG)(moeG)  (moeG)(moeA)A*  T*(5Me-dC)*T*  A*A*T*  T*T*G*  (moeT)(moeT)(moeT)*  (moeA)*(moeA)</t>
  </si>
  <si>
    <t>mG*fA*mA  mAmUfA  mCfCfG  mAmUmA  mAfAmG  fAmAmUmA*T*T</t>
  </si>
  <si>
    <t>mC*mA*mU  mUmUmU  fAmAfU  fCfCmU  mCmAmCmUmCmU  mA*mA*mA  (3Palm)</t>
  </si>
  <si>
    <t>Recovery</t>
  </si>
  <si>
    <t>Loading OD/mL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</si>
</sst>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6" xfId="0" applyBorder="1"/>
    <xf numFmtId="1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1" fontId="0" fillId="0" borderId="5" xfId="0" applyNumberFormat="1" applyBorder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F5F0-1F4E-4C4F-BE82-C8F956F29517}">
  <dimension ref="A1:M7"/>
  <sheetViews>
    <sheetView tabSelected="1" workbookViewId="0">
      <selection activeCell="N6" sqref="N6"/>
    </sheetView>
  </sheetViews>
  <sheetFormatPr defaultRowHeight="15" x14ac:dyDescent="0.25"/>
  <cols>
    <col min="1" max="1" width="16.140625" customWidth="1"/>
    <col min="2" max="2" width="60" customWidth="1"/>
    <col min="5" max="5" width="10.7109375" bestFit="1" customWidth="1"/>
    <col min="8" max="8" width="9.140625" style="29"/>
    <col min="10" max="10" width="13.5703125" bestFit="1" customWidth="1"/>
    <col min="11" max="11" width="15.5703125" style="3" bestFit="1" customWidth="1"/>
  </cols>
  <sheetData>
    <row r="1" spans="1:13" x14ac:dyDescent="0.25">
      <c r="A1" s="23" t="s">
        <v>0</v>
      </c>
      <c r="B1" s="23" t="s">
        <v>1</v>
      </c>
      <c r="C1" s="23" t="s">
        <v>2</v>
      </c>
      <c r="D1" s="23" t="s">
        <v>3</v>
      </c>
      <c r="E1" s="25" t="s">
        <v>10</v>
      </c>
      <c r="F1" s="23" t="s">
        <v>9</v>
      </c>
      <c r="G1" s="23" t="s">
        <v>4</v>
      </c>
      <c r="H1" s="23"/>
      <c r="I1" s="23"/>
      <c r="J1" s="23"/>
      <c r="K1" s="4" t="s">
        <v>27</v>
      </c>
      <c r="L1" s="1"/>
      <c r="M1" s="24" t="s">
        <v>45</v>
      </c>
    </row>
    <row r="2" spans="1:13" s="6" customFormat="1" ht="30" x14ac:dyDescent="0.25">
      <c r="A2" s="25"/>
      <c r="B2" s="25"/>
      <c r="C2" s="25"/>
      <c r="D2" s="25"/>
      <c r="E2" s="26"/>
      <c r="F2" s="25"/>
      <c r="G2" s="2" t="s">
        <v>5</v>
      </c>
      <c r="H2" s="27" t="s">
        <v>46</v>
      </c>
      <c r="I2" s="2" t="s">
        <v>6</v>
      </c>
      <c r="J2" s="2" t="s">
        <v>7</v>
      </c>
      <c r="K2" s="14" t="s">
        <v>5</v>
      </c>
      <c r="L2" s="2" t="s">
        <v>8</v>
      </c>
      <c r="M2" s="24"/>
    </row>
    <row r="3" spans="1:13" ht="30.75" customHeight="1" x14ac:dyDescent="0.25">
      <c r="A3" s="7" t="s">
        <v>14</v>
      </c>
      <c r="B3" s="5" t="s">
        <v>15</v>
      </c>
      <c r="C3" s="8">
        <v>23</v>
      </c>
      <c r="D3" s="8">
        <v>4</v>
      </c>
      <c r="E3" s="4" t="s">
        <v>19</v>
      </c>
      <c r="F3" s="4">
        <v>69.451899999999995</v>
      </c>
      <c r="G3" s="8">
        <v>972</v>
      </c>
      <c r="H3" s="28">
        <f>G3/4.5</f>
        <v>216</v>
      </c>
      <c r="I3" s="8">
        <v>95.72</v>
      </c>
      <c r="J3" s="12" t="s">
        <v>21</v>
      </c>
      <c r="K3" s="8">
        <v>245</v>
      </c>
      <c r="L3" s="10"/>
      <c r="M3" s="20">
        <f t="shared" ref="M3:M7" si="0">K3/G3</f>
        <v>0.25205761316872427</v>
      </c>
    </row>
    <row r="4" spans="1:13" ht="33.75" customHeight="1" x14ac:dyDescent="0.25">
      <c r="A4" s="7" t="s">
        <v>16</v>
      </c>
      <c r="B4" s="5" t="s">
        <v>18</v>
      </c>
      <c r="C4" s="8">
        <v>23</v>
      </c>
      <c r="D4" s="8">
        <v>4</v>
      </c>
      <c r="E4" s="4" t="s">
        <v>19</v>
      </c>
      <c r="F4" s="4">
        <v>84.190299999999993</v>
      </c>
      <c r="G4" s="8">
        <v>1172</v>
      </c>
      <c r="H4" s="28">
        <f t="shared" ref="H4:H7" si="1">G4/4.5</f>
        <v>260.44444444444446</v>
      </c>
      <c r="I4" s="8">
        <v>96.85</v>
      </c>
      <c r="J4" s="12" t="s">
        <v>22</v>
      </c>
      <c r="K4" s="8">
        <v>415</v>
      </c>
      <c r="L4" s="10"/>
      <c r="M4" s="20">
        <f t="shared" si="0"/>
        <v>0.35409556313993173</v>
      </c>
    </row>
    <row r="5" spans="1:13" ht="30.75" customHeight="1" x14ac:dyDescent="0.25">
      <c r="A5" s="7" t="s">
        <v>17</v>
      </c>
      <c r="B5" s="5" t="s">
        <v>44</v>
      </c>
      <c r="C5" s="8">
        <v>21</v>
      </c>
      <c r="D5" s="8">
        <v>4</v>
      </c>
      <c r="E5" s="4" t="s">
        <v>19</v>
      </c>
      <c r="F5" s="4">
        <v>68.726799999999997</v>
      </c>
      <c r="G5" s="8">
        <v>1412</v>
      </c>
      <c r="H5" s="28">
        <f t="shared" si="1"/>
        <v>313.77777777777777</v>
      </c>
      <c r="I5" s="22">
        <v>1</v>
      </c>
      <c r="J5" s="12" t="s">
        <v>20</v>
      </c>
      <c r="K5" s="8">
        <v>751</v>
      </c>
      <c r="L5" s="10"/>
      <c r="M5" s="21">
        <f t="shared" si="0"/>
        <v>0.53186968838526916</v>
      </c>
    </row>
    <row r="6" spans="1:13" s="3" customFormat="1" ht="30.75" customHeight="1" x14ac:dyDescent="0.25">
      <c r="A6" s="7" t="s">
        <v>28</v>
      </c>
      <c r="B6" s="15" t="s">
        <v>31</v>
      </c>
      <c r="C6" s="8">
        <v>27</v>
      </c>
      <c r="D6" s="8">
        <v>6</v>
      </c>
      <c r="E6" s="4" t="s">
        <v>12</v>
      </c>
      <c r="F6" s="4">
        <v>611.23209999999995</v>
      </c>
      <c r="G6" s="8">
        <v>2550</v>
      </c>
      <c r="H6" s="28">
        <f t="shared" si="1"/>
        <v>566.66666666666663</v>
      </c>
      <c r="I6" s="8">
        <v>84.2</v>
      </c>
      <c r="J6" s="12" t="s">
        <v>33</v>
      </c>
      <c r="K6" s="8">
        <v>704</v>
      </c>
      <c r="L6" s="12"/>
      <c r="M6" s="20">
        <f t="shared" si="0"/>
        <v>0.276078431372549</v>
      </c>
    </row>
    <row r="7" spans="1:13" s="3" customFormat="1" ht="36" customHeight="1" x14ac:dyDescent="0.25">
      <c r="A7" s="7" t="s">
        <v>30</v>
      </c>
      <c r="B7" s="16" t="s">
        <v>43</v>
      </c>
      <c r="C7" s="8">
        <v>21</v>
      </c>
      <c r="D7" s="8">
        <v>4</v>
      </c>
      <c r="E7" s="4" t="s">
        <v>19</v>
      </c>
      <c r="F7" s="4">
        <v>170.88</v>
      </c>
      <c r="G7" s="8">
        <v>1600</v>
      </c>
      <c r="H7" s="28">
        <f t="shared" si="1"/>
        <v>355.55555555555554</v>
      </c>
      <c r="I7" s="8">
        <v>95.77</v>
      </c>
      <c r="J7" s="12" t="s">
        <v>32</v>
      </c>
      <c r="K7" s="8">
        <v>379</v>
      </c>
      <c r="L7" s="12"/>
      <c r="M7" s="20">
        <f t="shared" si="0"/>
        <v>0.236875</v>
      </c>
    </row>
  </sheetData>
  <mergeCells count="8">
    <mergeCell ref="G1:J1"/>
    <mergeCell ref="M1:M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4171-0DBF-4E0C-A916-FAF7D86F8C13}">
  <dimension ref="A1:L8"/>
  <sheetViews>
    <sheetView workbookViewId="0">
      <selection activeCell="C3" sqref="C3"/>
    </sheetView>
  </sheetViews>
  <sheetFormatPr defaultRowHeight="15" x14ac:dyDescent="0.25"/>
  <cols>
    <col min="1" max="1" width="16.140625" customWidth="1"/>
    <col min="2" max="2" width="60" customWidth="1"/>
    <col min="5" max="5" width="10.7109375" bestFit="1" customWidth="1"/>
    <col min="9" max="9" width="13.5703125" bestFit="1" customWidth="1"/>
    <col min="10" max="10" width="15.5703125" style="3" bestFit="1" customWidth="1"/>
  </cols>
  <sheetData>
    <row r="1" spans="1:12" x14ac:dyDescent="0.25">
      <c r="A1" s="23" t="s">
        <v>0</v>
      </c>
      <c r="B1" s="23" t="s">
        <v>1</v>
      </c>
      <c r="C1" s="23" t="s">
        <v>2</v>
      </c>
      <c r="D1" s="23" t="s">
        <v>3</v>
      </c>
      <c r="E1" s="25" t="s">
        <v>10</v>
      </c>
      <c r="F1" s="23" t="s">
        <v>9</v>
      </c>
      <c r="G1" s="23" t="s">
        <v>4</v>
      </c>
      <c r="H1" s="23"/>
      <c r="I1" s="23"/>
      <c r="J1" s="4" t="s">
        <v>27</v>
      </c>
      <c r="K1" s="1"/>
      <c r="L1" s="24" t="s">
        <v>45</v>
      </c>
    </row>
    <row r="2" spans="1:12" s="6" customFormat="1" x14ac:dyDescent="0.25">
      <c r="A2" s="25"/>
      <c r="B2" s="25"/>
      <c r="C2" s="25"/>
      <c r="D2" s="25"/>
      <c r="E2" s="26"/>
      <c r="F2" s="25"/>
      <c r="G2" s="2" t="s">
        <v>5</v>
      </c>
      <c r="H2" s="2" t="s">
        <v>6</v>
      </c>
      <c r="I2" s="2" t="s">
        <v>7</v>
      </c>
      <c r="J2" s="14" t="s">
        <v>5</v>
      </c>
      <c r="K2" s="2" t="s">
        <v>8</v>
      </c>
      <c r="L2" s="24"/>
    </row>
    <row r="3" spans="1:12" s="3" customFormat="1" ht="29.25" customHeight="1" x14ac:dyDescent="0.25">
      <c r="A3" s="7" t="s">
        <v>11</v>
      </c>
      <c r="B3" s="13" t="s">
        <v>24</v>
      </c>
      <c r="C3" s="7">
        <v>20</v>
      </c>
      <c r="D3" s="8">
        <v>15</v>
      </c>
      <c r="E3" s="4" t="s">
        <v>12</v>
      </c>
      <c r="F3" s="4">
        <v>277.38</v>
      </c>
      <c r="G3" s="7">
        <v>2868</v>
      </c>
      <c r="H3" s="11">
        <v>0.90510000000000002</v>
      </c>
      <c r="I3" s="12" t="s">
        <v>13</v>
      </c>
      <c r="J3" s="8">
        <v>571</v>
      </c>
      <c r="K3" s="12"/>
      <c r="L3" s="20">
        <f>J3/G3</f>
        <v>0.1990934449093445</v>
      </c>
    </row>
    <row r="4" spans="1:12" s="3" customFormat="1" ht="32.25" customHeight="1" x14ac:dyDescent="0.25">
      <c r="A4" s="7" t="s">
        <v>23</v>
      </c>
      <c r="B4" s="5" t="s">
        <v>37</v>
      </c>
      <c r="C4" s="8">
        <v>20</v>
      </c>
      <c r="D4" s="8">
        <v>13</v>
      </c>
      <c r="E4" s="4" t="s">
        <v>26</v>
      </c>
      <c r="F4" s="4">
        <v>570.25149999999996</v>
      </c>
      <c r="G4" s="8">
        <v>4400</v>
      </c>
      <c r="H4" s="9">
        <v>0.9</v>
      </c>
      <c r="I4" s="12" t="s">
        <v>25</v>
      </c>
      <c r="J4" s="8">
        <v>958</v>
      </c>
      <c r="K4" s="12"/>
      <c r="L4" s="20">
        <f t="shared" ref="L4:L8" si="0">J4/G4</f>
        <v>0.21772727272727271</v>
      </c>
    </row>
    <row r="5" spans="1:12" s="3" customFormat="1" ht="30.75" customHeight="1" x14ac:dyDescent="0.25">
      <c r="A5" s="7" t="s">
        <v>28</v>
      </c>
      <c r="B5" s="15" t="s">
        <v>31</v>
      </c>
      <c r="C5" s="8">
        <v>27</v>
      </c>
      <c r="D5" s="8">
        <v>6</v>
      </c>
      <c r="E5" s="4" t="s">
        <v>12</v>
      </c>
      <c r="F5" s="4">
        <v>611.23209999999995</v>
      </c>
      <c r="G5" s="8">
        <v>2550</v>
      </c>
      <c r="H5" s="11">
        <v>0.84199999999999997</v>
      </c>
      <c r="I5" s="12" t="s">
        <v>33</v>
      </c>
      <c r="J5" s="8">
        <v>704</v>
      </c>
      <c r="K5" s="12"/>
      <c r="L5" s="20">
        <f t="shared" si="0"/>
        <v>0.276078431372549</v>
      </c>
    </row>
    <row r="6" spans="1:12" s="3" customFormat="1" ht="36.75" customHeight="1" x14ac:dyDescent="0.25">
      <c r="A6" s="7" t="s">
        <v>29</v>
      </c>
      <c r="B6" s="16" t="s">
        <v>42</v>
      </c>
      <c r="C6" s="8">
        <v>20</v>
      </c>
      <c r="D6" s="8">
        <v>13</v>
      </c>
      <c r="E6" s="4" t="s">
        <v>26</v>
      </c>
      <c r="F6" s="4">
        <v>573.78039999999999</v>
      </c>
      <c r="G6" s="8">
        <v>5200</v>
      </c>
      <c r="H6" s="11">
        <v>0.79039999999999999</v>
      </c>
      <c r="I6" s="12" t="s">
        <v>34</v>
      </c>
      <c r="J6" s="8">
        <v>1845</v>
      </c>
      <c r="K6" s="12"/>
      <c r="L6" s="20">
        <f t="shared" si="0"/>
        <v>0.35480769230769232</v>
      </c>
    </row>
    <row r="7" spans="1:12" s="3" customFormat="1" ht="46.5" customHeight="1" x14ac:dyDescent="0.25">
      <c r="A7" s="7" t="s">
        <v>35</v>
      </c>
      <c r="B7" s="16" t="s">
        <v>41</v>
      </c>
      <c r="C7" s="8">
        <v>20</v>
      </c>
      <c r="D7" s="8">
        <v>19</v>
      </c>
      <c r="E7" s="4" t="s">
        <v>36</v>
      </c>
      <c r="F7" s="4">
        <v>28.218499999999999</v>
      </c>
      <c r="G7" s="18">
        <v>398</v>
      </c>
      <c r="H7" s="19">
        <v>1</v>
      </c>
      <c r="I7" s="17" t="s">
        <v>20</v>
      </c>
      <c r="J7" s="18">
        <v>183</v>
      </c>
      <c r="K7" s="17"/>
      <c r="L7" s="21">
        <f t="shared" si="0"/>
        <v>0.45979899497487436</v>
      </c>
    </row>
    <row r="8" spans="1:12" ht="36.75" customHeight="1" x14ac:dyDescent="0.25">
      <c r="A8" s="4" t="s">
        <v>38</v>
      </c>
      <c r="B8" s="16" t="s">
        <v>39</v>
      </c>
      <c r="C8" s="7">
        <v>16</v>
      </c>
      <c r="D8" s="12">
        <v>15</v>
      </c>
      <c r="E8" s="4" t="s">
        <v>36</v>
      </c>
      <c r="F8" s="7">
        <v>29.08</v>
      </c>
      <c r="G8" s="7">
        <v>320</v>
      </c>
      <c r="H8" s="11">
        <v>0.89690000000000003</v>
      </c>
      <c r="I8" s="12" t="s">
        <v>40</v>
      </c>
      <c r="J8" s="8">
        <v>72</v>
      </c>
      <c r="K8" s="10"/>
      <c r="L8" s="20">
        <f t="shared" si="0"/>
        <v>0.22500000000000001</v>
      </c>
    </row>
  </sheetData>
  <mergeCells count="8">
    <mergeCell ref="G1:I1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ef60a8d8dc72134137ec46e1834a01ac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63264a9be7be55594568aa9b88f4808a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Props1.xml><?xml version="1.0" encoding="utf-8"?>
<ds:datastoreItem xmlns:ds="http://schemas.openxmlformats.org/officeDocument/2006/customXml" ds:itemID="{D496BEEB-6D62-4F32-B81D-E0ED7E5078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C38F02-105A-47EC-8773-6972B96B39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81784-eb1d-4399-bb11-6e20c62c25a6"/>
    <ds:schemaRef ds:uri="9b65a21d-a0af-4271-ba34-c61e5c992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ED6616-30AF-4CE2-B185-4F3D863C3C26}">
  <ds:schemaRefs>
    <ds:schemaRef ds:uri="http://schemas.microsoft.com/office/2006/metadata/properties"/>
    <ds:schemaRef ds:uri="http://schemas.microsoft.com/office/infopath/2007/PartnerControls"/>
    <ds:schemaRef ds:uri="61081784-eb1d-4399-bb11-6e20c62c25a6"/>
    <ds:schemaRef ds:uri="9b65a21d-a0af-4271-ba34-c61e5c9924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SiRNA</vt:lpstr>
      <vt:lpstr>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Ge</dc:creator>
  <cp:lastModifiedBy>Sijin Guo</cp:lastModifiedBy>
  <dcterms:created xsi:type="dcterms:W3CDTF">2015-06-05T18:17:20Z</dcterms:created>
  <dcterms:modified xsi:type="dcterms:W3CDTF">2025-06-12T16:54:01Z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