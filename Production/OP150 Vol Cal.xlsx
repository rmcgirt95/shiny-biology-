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ynoligo.sharepoint.com/sites/SynoligoFolder/Shared Documents/General/7, Production/Synthesis Lab/"/>
    </mc:Choice>
  </mc:AlternateContent>
  <xr:revisionPtr revIDLastSave="729" documentId="13_ncr:1_{2B25BDD9-2E26-49A0-9DF5-8575BDC25A2B}" xr6:coauthVersionLast="47" xr6:coauthVersionMax="47" xr10:uidLastSave="{F3744C26-8288-4DAA-B505-F0CDDEAFCAF7}"/>
  <bookViews>
    <workbookView xWindow="-120" yWindow="-120" windowWidth="29040" windowHeight="15720" tabRatio="909" firstSheet="2" activeTab="2" xr2:uid="{00000000-000D-0000-FFFF-FFFF00000000}"/>
  </bookViews>
  <sheets>
    <sheet name="Drop Down" sheetId="33" state="hidden" r:id="rId1"/>
    <sheet name="SYN Scale" sheetId="58" state="hidden" r:id="rId2"/>
    <sheet name="Consumption" sheetId="56" r:id="rId3"/>
    <sheet name="4mmol, 6.69mmol" sheetId="59" r:id="rId4"/>
  </sheets>
  <definedNames>
    <definedName name="_xlnm.Print_Area" localSheetId="0">'Drop Down'!$A$1:$Q$53</definedName>
    <definedName name="_xlnm.Print_Area" localSheetId="1">'SYN Scale'!$A$1:$K$79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58" l="1"/>
  <c r="I3" i="58" s="1"/>
  <c r="H3" i="58" s="1"/>
  <c r="F4" i="58"/>
  <c r="I4" i="58" s="1"/>
  <c r="H4" i="58" s="1"/>
  <c r="F5" i="58"/>
  <c r="I5" i="58" s="1"/>
  <c r="H5" i="58" s="1"/>
  <c r="F6" i="58"/>
  <c r="I6" i="58" s="1"/>
  <c r="H6" i="58" s="1"/>
  <c r="F7" i="58"/>
  <c r="I7" i="58" s="1"/>
  <c r="H7" i="58" s="1"/>
  <c r="F8" i="58"/>
  <c r="I8" i="58" s="1"/>
  <c r="H8" i="58" s="1"/>
  <c r="F9" i="58"/>
  <c r="I9" i="58" s="1"/>
  <c r="H9" i="58" s="1"/>
  <c r="F10" i="58"/>
  <c r="I10" i="58" s="1"/>
  <c r="H10" i="58" s="1"/>
  <c r="F11" i="58"/>
  <c r="I11" i="58" s="1"/>
  <c r="H11" i="58" s="1"/>
  <c r="F12" i="58"/>
  <c r="I12" i="58" s="1"/>
  <c r="H12" i="58" s="1"/>
  <c r="F13" i="58"/>
  <c r="I13" i="58" s="1"/>
  <c r="H13" i="58" s="1"/>
  <c r="F14" i="58"/>
  <c r="I14" i="58" s="1"/>
  <c r="H14" i="58" s="1"/>
  <c r="F15" i="58"/>
  <c r="I15" i="58" s="1"/>
  <c r="H15" i="58" s="1"/>
  <c r="F16" i="58"/>
  <c r="I16" i="58" s="1"/>
  <c r="H16" i="58" s="1"/>
  <c r="F17" i="58"/>
  <c r="I17" i="58" s="1"/>
  <c r="H17" i="58" s="1"/>
  <c r="F18" i="58"/>
  <c r="I18" i="58" s="1"/>
  <c r="H18" i="58" s="1"/>
  <c r="F19" i="58"/>
  <c r="I19" i="58" s="1"/>
  <c r="H19" i="58" s="1"/>
  <c r="F20" i="58"/>
  <c r="I20" i="58" s="1"/>
  <c r="H20" i="58" s="1"/>
  <c r="F21" i="58"/>
  <c r="I21" i="58" s="1"/>
  <c r="H21" i="58" s="1"/>
  <c r="F22" i="58"/>
  <c r="I22" i="58" s="1"/>
  <c r="H22" i="58" s="1"/>
  <c r="F23" i="58"/>
  <c r="I23" i="58" s="1"/>
  <c r="H23" i="58" s="1"/>
  <c r="F24" i="58"/>
  <c r="I24" i="58" s="1"/>
  <c r="H24" i="58" s="1"/>
  <c r="F25" i="58"/>
  <c r="I25" i="58" s="1"/>
  <c r="H25" i="58" s="1"/>
  <c r="F26" i="58"/>
  <c r="I26" i="58" s="1"/>
  <c r="H26" i="58" s="1"/>
  <c r="F27" i="58"/>
  <c r="I27" i="58" s="1"/>
  <c r="H27" i="58" s="1"/>
  <c r="F28" i="58"/>
  <c r="I28" i="58" s="1"/>
  <c r="H28" i="58" s="1"/>
  <c r="F29" i="58"/>
  <c r="I29" i="58" s="1"/>
  <c r="H29" i="58" s="1"/>
  <c r="F30" i="58"/>
  <c r="I30" i="58" s="1"/>
  <c r="H30" i="58" s="1"/>
  <c r="F31" i="58"/>
  <c r="I31" i="58" s="1"/>
  <c r="H31" i="58" s="1"/>
  <c r="F32" i="58"/>
  <c r="I32" i="58" s="1"/>
  <c r="H32" i="58" s="1"/>
  <c r="F33" i="58"/>
  <c r="I33" i="58" s="1"/>
  <c r="H33" i="58" s="1"/>
  <c r="F34" i="58"/>
  <c r="I34" i="58" s="1"/>
  <c r="H34" i="58" s="1"/>
  <c r="F35" i="58"/>
  <c r="I35" i="58" s="1"/>
  <c r="H35" i="58" s="1"/>
  <c r="F36" i="58"/>
  <c r="I36" i="58" s="1"/>
  <c r="H36" i="58" s="1"/>
  <c r="F37" i="58"/>
  <c r="I37" i="58" s="1"/>
  <c r="H37" i="58" s="1"/>
  <c r="F38" i="58"/>
  <c r="I38" i="58" s="1"/>
  <c r="H38" i="58" s="1"/>
  <c r="F39" i="58"/>
  <c r="I39" i="58" s="1"/>
  <c r="H39" i="58" s="1"/>
  <c r="F40" i="58"/>
  <c r="I40" i="58" s="1"/>
  <c r="H40" i="58" s="1"/>
  <c r="F79" i="58" l="1"/>
  <c r="I79" i="58" s="1"/>
  <c r="F64" i="58"/>
  <c r="I64" i="58" s="1"/>
  <c r="H64" i="58" s="1"/>
  <c r="F65" i="58"/>
  <c r="I65" i="58" s="1"/>
  <c r="H65" i="58" s="1"/>
  <c r="F66" i="58"/>
  <c r="I66" i="58" s="1"/>
  <c r="H66" i="58" s="1"/>
  <c r="F67" i="58"/>
  <c r="F68" i="58"/>
  <c r="I68" i="58" s="1"/>
  <c r="H68" i="58" s="1"/>
  <c r="F69" i="58"/>
  <c r="I69" i="58" s="1"/>
  <c r="H69" i="58" s="1"/>
  <c r="F70" i="58"/>
  <c r="I70" i="58" s="1"/>
  <c r="F71" i="58"/>
  <c r="I71" i="58" s="1"/>
  <c r="H71" i="58" s="1"/>
  <c r="F72" i="58"/>
  <c r="I72" i="58" s="1"/>
  <c r="H72" i="58" s="1"/>
  <c r="F73" i="58"/>
  <c r="I73" i="58" s="1"/>
  <c r="H73" i="58" s="1"/>
  <c r="F74" i="58"/>
  <c r="I74" i="58" s="1"/>
  <c r="H74" i="58" s="1"/>
  <c r="F75" i="58"/>
  <c r="F76" i="58"/>
  <c r="I76" i="58" s="1"/>
  <c r="H76" i="58" s="1"/>
  <c r="F77" i="58"/>
  <c r="I77" i="58" s="1"/>
  <c r="H77" i="58" s="1"/>
  <c r="F78" i="58"/>
  <c r="I78" i="58" s="1"/>
  <c r="F63" i="58"/>
  <c r="I63" i="58" s="1"/>
  <c r="H63" i="58" s="1"/>
  <c r="F62" i="58"/>
  <c r="I62" i="58" s="1"/>
  <c r="H62" i="58" s="1"/>
  <c r="F58" i="58"/>
  <c r="I58" i="58" s="1"/>
  <c r="F59" i="58"/>
  <c r="I59" i="58" s="1"/>
  <c r="H59" i="58" s="1"/>
  <c r="F60" i="58"/>
  <c r="I60" i="58" s="1"/>
  <c r="F61" i="58"/>
  <c r="I61" i="58" s="1"/>
  <c r="H61" i="58" s="1"/>
  <c r="F57" i="58"/>
  <c r="I57" i="58" s="1"/>
  <c r="H57" i="58" s="1"/>
  <c r="F56" i="58"/>
  <c r="I56" i="58" s="1"/>
  <c r="H56" i="58" s="1"/>
  <c r="F55" i="58"/>
  <c r="I55" i="58" s="1"/>
  <c r="H55" i="58" s="1"/>
  <c r="F42" i="58"/>
  <c r="I42" i="58" s="1"/>
  <c r="H42" i="58" s="1"/>
  <c r="F43" i="58"/>
  <c r="F44" i="58"/>
  <c r="I44" i="58" s="1"/>
  <c r="H44" i="58" s="1"/>
  <c r="F45" i="58"/>
  <c r="I45" i="58" s="1"/>
  <c r="H45" i="58" s="1"/>
  <c r="F46" i="58"/>
  <c r="F47" i="58"/>
  <c r="F48" i="58"/>
  <c r="F49" i="58"/>
  <c r="F50" i="58"/>
  <c r="I50" i="58" s="1"/>
  <c r="H50" i="58" s="1"/>
  <c r="F51" i="58"/>
  <c r="F52" i="58"/>
  <c r="I52" i="58" s="1"/>
  <c r="H52" i="58" s="1"/>
  <c r="F53" i="58"/>
  <c r="I53" i="58" s="1"/>
  <c r="H53" i="58" s="1"/>
  <c r="F54" i="58"/>
  <c r="I54" i="58" s="1"/>
  <c r="F41" i="58"/>
  <c r="I41" i="58" s="1"/>
  <c r="H41" i="58" s="1"/>
  <c r="H63" i="56"/>
  <c r="H57" i="56"/>
  <c r="C61" i="56"/>
  <c r="C63" i="56"/>
  <c r="C26" i="56"/>
  <c r="C60" i="56" s="1"/>
  <c r="H45" i="56"/>
  <c r="H44" i="56"/>
  <c r="H38" i="56"/>
  <c r="H62" i="56" s="1"/>
  <c r="H39" i="56"/>
  <c r="H32" i="56"/>
  <c r="H61" i="56" s="1"/>
  <c r="C56" i="56"/>
  <c r="C44" i="56"/>
  <c r="C38" i="56"/>
  <c r="C62" i="56" s="1"/>
  <c r="C32" i="56"/>
  <c r="H58" i="58" l="1"/>
  <c r="I51" i="58"/>
  <c r="H51" i="58" s="1"/>
  <c r="I43" i="58"/>
  <c r="H43" i="58" s="1"/>
  <c r="I48" i="58"/>
  <c r="H48" i="58" s="1"/>
  <c r="I49" i="58"/>
  <c r="H49" i="58" s="1"/>
  <c r="I47" i="58"/>
  <c r="H47" i="58" s="1"/>
  <c r="I75" i="58"/>
  <c r="H75" i="58" s="1"/>
  <c r="I67" i="58"/>
  <c r="H67" i="58" s="1"/>
  <c r="H54" i="58"/>
  <c r="I46" i="58"/>
  <c r="H46" i="58" s="1"/>
  <c r="H60" i="58"/>
  <c r="H79" i="58"/>
  <c r="H78" i="58"/>
  <c r="H70" i="58"/>
  <c r="H54" i="56"/>
  <c r="H53" i="56"/>
  <c r="H66" i="56" s="1"/>
  <c r="H50" i="56"/>
  <c r="H49" i="56"/>
  <c r="H65" i="56" s="1"/>
  <c r="H33" i="56"/>
  <c r="H27" i="56"/>
  <c r="H26" i="56"/>
  <c r="H60" i="56" s="1"/>
  <c r="H22" i="56"/>
  <c r="H19" i="56"/>
  <c r="H58" i="56" s="1"/>
  <c r="H59" i="56" s="1"/>
  <c r="H16" i="56"/>
  <c r="H12" i="56"/>
  <c r="C49" i="56"/>
  <c r="C65" i="56" s="1"/>
  <c r="C58" i="56"/>
  <c r="C59" i="56" s="1"/>
  <c r="C66" i="56"/>
  <c r="C57" i="56"/>
  <c r="H56" i="56" l="1"/>
  <c r="H64" i="56"/>
  <c r="C64" i="56"/>
  <c r="C67" i="56" s="1"/>
  <c r="H67" i="56" l="1"/>
</calcChain>
</file>

<file path=xl/sharedStrings.xml><?xml version="1.0" encoding="utf-8"?>
<sst xmlns="http://schemas.openxmlformats.org/spreadsheetml/2006/main" count="357" uniqueCount="109">
  <si>
    <t>ACN</t>
  </si>
  <si>
    <t>Thiolation</t>
  </si>
  <si>
    <t>Amine</t>
  </si>
  <si>
    <t>CV</t>
  </si>
  <si>
    <t>mL</t>
  </si>
  <si>
    <t>Scale</t>
  </si>
  <si>
    <t>Final Detritylation</t>
  </si>
  <si>
    <t>M</t>
  </si>
  <si>
    <t>Amidite Eq</t>
  </si>
  <si>
    <t>Amidite Conc</t>
  </si>
  <si>
    <t>Amine Treatment</t>
  </si>
  <si>
    <t>ACT</t>
  </si>
  <si>
    <t>Coupling</t>
  </si>
  <si>
    <t>eq</t>
  </si>
  <si>
    <t>PN1</t>
  </si>
  <si>
    <t>Auto Zero Wash</t>
  </si>
  <si>
    <t>System Wash</t>
  </si>
  <si>
    <t>Post-SYN Column Wash</t>
  </si>
  <si>
    <t>Cycle</t>
  </si>
  <si>
    <t>1 or 0</t>
  </si>
  <si>
    <t>Auto Zero</t>
  </si>
  <si>
    <t>Detritylation wash</t>
  </si>
  <si>
    <t>Coupling Wash</t>
  </si>
  <si>
    <t>Oxidation Conc</t>
  </si>
  <si>
    <t>Oxidation</t>
  </si>
  <si>
    <t>Oxidation Chase + Wash</t>
  </si>
  <si>
    <t>ps</t>
  </si>
  <si>
    <t>Thiolation Conc</t>
  </si>
  <si>
    <t>Thiolation Chase + Wash</t>
  </si>
  <si>
    <t>Capping Conc</t>
  </si>
  <si>
    <t>Capping</t>
  </si>
  <si>
    <t>Capping Chase + Wash</t>
  </si>
  <si>
    <t>Amine Purge</t>
  </si>
  <si>
    <t>L</t>
  </si>
  <si>
    <t>3%DCA in DCM</t>
  </si>
  <si>
    <t>Ox</t>
  </si>
  <si>
    <t>0.2 M XH</t>
  </si>
  <si>
    <t>CapA</t>
  </si>
  <si>
    <t>CapB</t>
  </si>
  <si>
    <t>Total Waste</t>
  </si>
  <si>
    <t>Detritylation</t>
  </si>
  <si>
    <t>Setting</t>
  </si>
  <si>
    <t>Consumption</t>
  </si>
  <si>
    <t>Ave. Detritylation (4.2 CV)</t>
  </si>
  <si>
    <t>Detritylation wash (4 - 8 CV)</t>
  </si>
  <si>
    <t>Pre-SYN Column Wash (leakage check)</t>
  </si>
  <si>
    <t>Coupling Port Wash + Chase (each cycle)</t>
  </si>
  <si>
    <t>Amidite/Reagent Purge Wash (ave. 8+6)</t>
  </si>
  <si>
    <t>Post-SYN Column Wash (4 - 6 CV)</t>
  </si>
  <si>
    <t>Amidite Eq (2.0 - 4.0)</t>
  </si>
  <si>
    <t>Coupling Wash (0.5 -1.0 CV)</t>
  </si>
  <si>
    <t>Oxidation Chase + Wash (2.2 - 7.0 CV)</t>
  </si>
  <si>
    <t>Thiolation Eq (6.0 - 40.0)</t>
  </si>
  <si>
    <t>Oxidation Eq (2.5 - 10.0)</t>
  </si>
  <si>
    <t>Thiolation Chase + Wash (1.7 - 5.0 CV)</t>
  </si>
  <si>
    <t>Capping Eq (15.0 - 70.0)</t>
  </si>
  <si>
    <t>Capping Chase + Wash (1.7 - 13.0 CV)</t>
  </si>
  <si>
    <t>Amine (5.0 - 10.0)</t>
  </si>
  <si>
    <t>Amine 2 min ACN chase (1.5 - 6.7 CV)</t>
  </si>
  <si>
    <t>Consumption CV</t>
  </si>
  <si>
    <t>FL35</t>
  </si>
  <si>
    <t>Agar6</t>
  </si>
  <si>
    <t>Amine 2 min ACN chase</t>
  </si>
  <si>
    <t>Reagent Consumption and Waste Calculator (Base Eq)</t>
  </si>
  <si>
    <t>0.12 M Amidite per cycle</t>
  </si>
  <si>
    <t>Act %vol</t>
  </si>
  <si>
    <t>umol</t>
  </si>
  <si>
    <t>NA</t>
  </si>
  <si>
    <t>Mesylation</t>
  </si>
  <si>
    <t>mspa</t>
  </si>
  <si>
    <t>MsN3 Conc</t>
  </si>
  <si>
    <t>Mesylation Chase + Wash (2.7 - 7.6 CV)</t>
  </si>
  <si>
    <t>pn1</t>
  </si>
  <si>
    <t>ADMP Conc</t>
  </si>
  <si>
    <t>ADMP Eq (? - 37.9)</t>
  </si>
  <si>
    <t>MsN3 Eq (? - 117.1)</t>
  </si>
  <si>
    <t>Capping Chase + Wash (? - 7.0 CV)</t>
  </si>
  <si>
    <t>PN1 Chase + Wash (? - 7.6 CV)</t>
  </si>
  <si>
    <t>0.5 M MsN3</t>
  </si>
  <si>
    <t>0.2 M ADMP</t>
  </si>
  <si>
    <t>Mesylation Chase + Wash</t>
  </si>
  <si>
    <t>PN1 Chase + Wash</t>
  </si>
  <si>
    <t>mesyl</t>
  </si>
  <si>
    <t>Reagent Vol Calculator</t>
  </si>
  <si>
    <t xml:space="preserve">Scale </t>
  </si>
  <si>
    <t>Solid Support 
Pore Size</t>
  </si>
  <si>
    <t>Solid Support 
Loading</t>
  </si>
  <si>
    <t>Solid Support 
Density</t>
  </si>
  <si>
    <t>Solid Support 
Weight</t>
  </si>
  <si>
    <t>Column
I.D.</t>
  </si>
  <si>
    <t xml:space="preserve">BH </t>
  </si>
  <si>
    <t xml:space="preserve">CV </t>
  </si>
  <si>
    <t>Column</t>
  </si>
  <si>
    <t>Note</t>
  </si>
  <si>
    <t>Å</t>
  </si>
  <si>
    <t>umol/g</t>
  </si>
  <si>
    <t>g/ml</t>
  </si>
  <si>
    <t>cm</t>
  </si>
  <si>
    <t>0.2 M Amidite</t>
  </si>
  <si>
    <t>0.12 M Amidite</t>
  </si>
  <si>
    <t>g</t>
  </si>
  <si>
    <t>Update</t>
  </si>
  <si>
    <t>0.5 M MsN3/BsN3</t>
  </si>
  <si>
    <t>4.0 mmol</t>
  </si>
  <si>
    <t>S21392</t>
  </si>
  <si>
    <t>6.69 mmol</t>
  </si>
  <si>
    <t>S21393</t>
  </si>
  <si>
    <t>0.6 M ACT</t>
  </si>
  <si>
    <t>0.2 M Amidite per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</si>
</sst>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B9B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indexed="64"/>
      </right>
      <top/>
      <bottom style="thin">
        <color rgb="FFB2B2B2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indexed="64"/>
      </right>
      <top/>
      <bottom/>
      <diagonal/>
    </border>
    <border>
      <left style="thin">
        <color rgb="FFB2B2B2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98474074526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0" tint="-0.14999847407452621"/>
      </bottom>
      <diagonal/>
    </border>
    <border>
      <left style="thin">
        <color rgb="FFB2B2B2"/>
      </left>
      <right style="thin">
        <color rgb="FFB2B2B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14999847407452621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</borders>
  <cellStyleXfs count="6">
    <xf numFmtId="0" fontId="0" fillId="0" borderId="0"/>
    <xf numFmtId="0" fontId="6" fillId="2" borderId="6" applyNumberFormat="0" applyAlignment="0" applyProtection="0"/>
    <xf numFmtId="0" fontId="7" fillId="3" borderId="7" applyNumberFormat="0" applyAlignment="0" applyProtection="0"/>
    <xf numFmtId="0" fontId="4" fillId="4" borderId="10" applyNumberFormat="0" applyFont="0" applyAlignment="0" applyProtection="0"/>
    <xf numFmtId="0" fontId="5" fillId="0" borderId="0"/>
    <xf numFmtId="9" fontId="4" fillId="0" borderId="0" applyFont="0" applyFill="0" applyBorder="0" applyAlignment="0" applyProtection="0"/>
  </cellStyleXfs>
  <cellXfs count="127">
    <xf numFmtId="0" fontId="0" fillId="0" borderId="0" xfId="0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9" xfId="0" applyFont="1" applyBorder="1" applyProtection="1">
      <protection hidden="1"/>
    </xf>
    <xf numFmtId="0" fontId="0" fillId="0" borderId="0" xfId="0" applyAlignment="1" applyProtection="1">
      <alignment horizontal="left" vertical="center"/>
      <protection hidden="1"/>
    </xf>
    <xf numFmtId="164" fontId="6" fillId="2" borderId="6" xfId="1" applyNumberFormat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2" fontId="0" fillId="0" borderId="0" xfId="0" applyNumberFormat="1" applyAlignment="1" applyProtection="1">
      <alignment horizontal="center" vertical="center"/>
      <protection hidden="1"/>
    </xf>
    <xf numFmtId="2" fontId="8" fillId="4" borderId="10" xfId="3" applyNumberFormat="1" applyFont="1" applyAlignment="1" applyProtection="1">
      <alignment horizontal="center" vertical="center"/>
      <protection hidden="1"/>
    </xf>
    <xf numFmtId="2" fontId="6" fillId="2" borderId="6" xfId="1" applyNumberFormat="1" applyAlignment="1" applyProtection="1">
      <alignment horizontal="center" vertical="center"/>
      <protection hidden="1"/>
    </xf>
    <xf numFmtId="2" fontId="6" fillId="4" borderId="10" xfId="3" applyNumberFormat="1" applyFont="1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1" fillId="0" borderId="2" xfId="0" applyFont="1" applyBorder="1" applyProtection="1">
      <protection hidden="1"/>
    </xf>
    <xf numFmtId="0" fontId="0" fillId="0" borderId="12" xfId="0" applyBorder="1" applyProtection="1"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2" fontId="8" fillId="3" borderId="7" xfId="2" applyNumberFormat="1" applyFont="1" applyAlignment="1" applyProtection="1">
      <alignment horizontal="center" vertical="center"/>
      <protection hidden="1"/>
    </xf>
    <xf numFmtId="2" fontId="8" fillId="3" borderId="17" xfId="2" applyNumberFormat="1" applyFont="1" applyBorder="1" applyAlignment="1" applyProtection="1">
      <alignment horizontal="center" vertical="center"/>
      <protection hidden="1"/>
    </xf>
    <xf numFmtId="2" fontId="7" fillId="3" borderId="7" xfId="2" applyNumberFormat="1" applyAlignment="1" applyProtection="1">
      <alignment horizontal="center" vertical="center"/>
      <protection hidden="1"/>
    </xf>
    <xf numFmtId="0" fontId="1" fillId="0" borderId="11" xfId="0" applyFont="1" applyBorder="1" applyProtection="1">
      <protection hidden="1"/>
    </xf>
    <xf numFmtId="0" fontId="0" fillId="0" borderId="5" xfId="0" applyBorder="1" applyProtection="1">
      <protection hidden="1"/>
    </xf>
    <xf numFmtId="0" fontId="0" fillId="0" borderId="4" xfId="0" applyBorder="1" applyProtection="1">
      <protection hidden="1"/>
    </xf>
    <xf numFmtId="0" fontId="1" fillId="0" borderId="0" xfId="0" applyFont="1" applyProtection="1">
      <protection hidden="1"/>
    </xf>
    <xf numFmtId="0" fontId="6" fillId="2" borderId="6" xfId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164" fontId="6" fillId="4" borderId="10" xfId="3" applyNumberFormat="1" applyFont="1" applyAlignment="1" applyProtection="1">
      <alignment horizontal="center" vertical="center"/>
      <protection hidden="1"/>
    </xf>
    <xf numFmtId="0" fontId="0" fillId="0" borderId="0" xfId="0" quotePrefix="1" applyProtection="1">
      <protection hidden="1"/>
    </xf>
    <xf numFmtId="9" fontId="6" fillId="2" borderId="6" xfId="5" applyFont="1" applyFill="1" applyBorder="1" applyAlignment="1" applyProtection="1">
      <alignment horizontal="center" vertical="center"/>
      <protection hidden="1"/>
    </xf>
    <xf numFmtId="1" fontId="6" fillId="2" borderId="8" xfId="1" applyNumberFormat="1" applyBorder="1" applyAlignment="1" applyProtection="1">
      <alignment horizontal="center" vertical="center"/>
      <protection hidden="1"/>
    </xf>
    <xf numFmtId="0" fontId="1" fillId="0" borderId="3" xfId="0" applyFont="1" applyBorder="1" applyProtection="1">
      <protection hidden="1"/>
    </xf>
    <xf numFmtId="1" fontId="6" fillId="2" borderId="8" xfId="1" applyNumberFormat="1" applyBorder="1" applyAlignment="1" applyProtection="1">
      <alignment horizontal="center" vertical="center"/>
      <protection locked="0"/>
    </xf>
    <xf numFmtId="164" fontId="6" fillId="2" borderId="6" xfId="1" applyNumberFormat="1" applyAlignment="1" applyProtection="1">
      <alignment horizontal="center" vertical="center"/>
      <protection locked="0"/>
    </xf>
    <xf numFmtId="0" fontId="6" fillId="2" borderId="6" xfId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8" xfId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4" borderId="22" xfId="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0" fillId="4" borderId="24" xfId="3" applyNumberFormat="1" applyFon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6" fillId="2" borderId="25" xfId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4" fontId="0" fillId="4" borderId="26" xfId="3" applyNumberFormat="1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164" fontId="3" fillId="0" borderId="30" xfId="0" applyNumberFormat="1" applyFon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0" fontId="6" fillId="2" borderId="32" xfId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2" fontId="0" fillId="4" borderId="21" xfId="3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" fontId="0" fillId="4" borderId="26" xfId="3" applyNumberFormat="1" applyFont="1" applyBorder="1" applyAlignment="1">
      <alignment horizontal="center" vertical="center"/>
    </xf>
    <xf numFmtId="2" fontId="0" fillId="4" borderId="33" xfId="3" applyNumberFormat="1" applyFon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6" fillId="2" borderId="6" xfId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4" borderId="10" xfId="3" applyNumberFormat="1" applyFont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2" fontId="0" fillId="4" borderId="10" xfId="3" applyNumberFormat="1" applyFont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6" fillId="2" borderId="41" xfId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4" borderId="42" xfId="3" applyNumberFormat="1" applyFont="1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3" fillId="0" borderId="23" xfId="0" applyNumberFormat="1" applyFont="1" applyBorder="1" applyAlignment="1">
      <alignment horizontal="center" vertical="center"/>
    </xf>
    <xf numFmtId="2" fontId="13" fillId="0" borderId="23" xfId="0" applyNumberFormat="1" applyFont="1" applyBorder="1" applyAlignment="1">
      <alignment horizontal="center" vertical="center"/>
    </xf>
    <xf numFmtId="2" fontId="13" fillId="0" borderId="27" xfId="0" applyNumberFormat="1" applyFont="1" applyBorder="1" applyAlignment="1">
      <alignment horizontal="center" vertical="center"/>
    </xf>
    <xf numFmtId="164" fontId="13" fillId="0" borderId="31" xfId="0" applyNumberFormat="1" applyFont="1" applyBorder="1" applyAlignment="1">
      <alignment horizontal="center" vertical="center"/>
    </xf>
    <xf numFmtId="164" fontId="13" fillId="0" borderId="27" xfId="0" applyNumberFormat="1" applyFont="1" applyBorder="1" applyAlignment="1">
      <alignment horizontal="center" vertical="center"/>
    </xf>
    <xf numFmtId="2" fontId="13" fillId="0" borderId="44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2" fontId="0" fillId="4" borderId="42" xfId="3" applyNumberFormat="1" applyFont="1" applyBorder="1" applyAlignment="1">
      <alignment horizontal="center" vertical="center"/>
    </xf>
    <xf numFmtId="0" fontId="0" fillId="6" borderId="16" xfId="0" applyFill="1" applyBorder="1" applyAlignment="1">
      <alignment horizontal="center" vertical="center" wrapText="1"/>
    </xf>
    <xf numFmtId="0" fontId="0" fillId="6" borderId="45" xfId="0" applyFill="1" applyBorder="1" applyAlignment="1">
      <alignment horizontal="center" vertical="center" wrapText="1"/>
    </xf>
    <xf numFmtId="0" fontId="7" fillId="6" borderId="46" xfId="2" applyFill="1" applyBorder="1" applyAlignment="1">
      <alignment horizontal="center" vertical="center" wrapText="1"/>
    </xf>
    <xf numFmtId="0" fontId="7" fillId="6" borderId="36" xfId="2" applyFill="1" applyBorder="1" applyAlignment="1">
      <alignment horizontal="center" vertical="center" wrapText="1"/>
    </xf>
    <xf numFmtId="0" fontId="7" fillId="6" borderId="47" xfId="2" applyFill="1" applyBorder="1" applyAlignment="1">
      <alignment horizontal="center" vertical="center" wrapText="1"/>
    </xf>
    <xf numFmtId="0" fontId="0" fillId="6" borderId="48" xfId="0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2" borderId="51" xfId="1" applyFont="1" applyBorder="1" applyAlignment="1">
      <alignment horizontal="center" vertical="center"/>
    </xf>
    <xf numFmtId="0" fontId="11" fillId="2" borderId="52" xfId="1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2" borderId="53" xfId="1" applyFont="1" applyBorder="1" applyAlignment="1">
      <alignment horizontal="center" vertical="center"/>
    </xf>
    <xf numFmtId="0" fontId="14" fillId="6" borderId="37" xfId="2" applyFont="1" applyFill="1" applyBorder="1" applyAlignment="1">
      <alignment horizontal="center" vertical="center" wrapText="1"/>
    </xf>
    <xf numFmtId="0" fontId="14" fillId="6" borderId="38" xfId="2" applyFont="1" applyFill="1" applyBorder="1" applyAlignment="1">
      <alignment horizontal="center" vertical="center" wrapText="1"/>
    </xf>
    <xf numFmtId="0" fontId="14" fillId="6" borderId="39" xfId="2" applyFont="1" applyFill="1" applyBorder="1" applyAlignment="1">
      <alignment horizontal="center" vertical="center" wrapText="1"/>
    </xf>
    <xf numFmtId="0" fontId="12" fillId="6" borderId="40" xfId="0" applyFont="1" applyFill="1" applyBorder="1" applyAlignment="1">
      <alignment horizontal="center" vertical="center" wrapText="1"/>
    </xf>
    <xf numFmtId="0" fontId="1" fillId="0" borderId="0" xfId="0" applyFont="1"/>
    <xf numFmtId="164" fontId="0" fillId="0" borderId="0" xfId="0" applyNumberFormat="1"/>
    <xf numFmtId="0" fontId="15" fillId="0" borderId="0" xfId="0" applyFont="1"/>
    <xf numFmtId="0" fontId="11" fillId="0" borderId="16" xfId="0" applyFont="1" applyBorder="1" applyAlignment="1" applyProtection="1">
      <alignment horizontal="center"/>
      <protection hidden="1"/>
    </xf>
    <xf numFmtId="0" fontId="11" fillId="0" borderId="14" xfId="0" applyFont="1" applyBorder="1" applyAlignment="1" applyProtection="1">
      <alignment horizontal="center"/>
      <protection hidden="1"/>
    </xf>
    <xf numFmtId="0" fontId="11" fillId="0" borderId="15" xfId="0" applyFont="1" applyBorder="1" applyAlignment="1" applyProtection="1">
      <alignment horizontal="center"/>
      <protection hidden="1"/>
    </xf>
    <xf numFmtId="0" fontId="3" fillId="0" borderId="16" xfId="0" applyFont="1" applyBorder="1" applyAlignment="1" applyProtection="1">
      <alignment horizontal="center"/>
      <protection hidden="1"/>
    </xf>
    <xf numFmtId="0" fontId="3" fillId="0" borderId="14" xfId="0" applyFont="1" applyBorder="1" applyAlignment="1" applyProtection="1">
      <alignment horizontal="center"/>
      <protection hidden="1"/>
    </xf>
    <xf numFmtId="0" fontId="3" fillId="0" borderId="15" xfId="0" applyFont="1" applyBorder="1" applyAlignment="1" applyProtection="1">
      <alignment horizontal="center"/>
      <protection hidden="1"/>
    </xf>
  </cellXfs>
  <cellStyles count="6">
    <cellStyle name="Input" xfId="1" builtinId="20"/>
    <cellStyle name="Normal" xfId="0" builtinId="0"/>
    <cellStyle name="Normal 2" xfId="4" xr:uid="{8546F1B7-9BAE-4FE7-86F9-F111B0D8C21F}"/>
    <cellStyle name="Note" xfId="3" builtinId="10"/>
    <cellStyle name="Output" xfId="2" builtinId="21"/>
    <cellStyle name="Percent" xfId="5" builtinId="5"/>
  </cellStyles>
  <dxfs count="0"/>
  <tableStyles count="0" defaultTableStyle="TableStyleMedium2" defaultPivotStyle="PivotStyleLight16"/>
  <colors>
    <mruColors>
      <color rgb="FFFECF72"/>
      <color rgb="FFFFB9B9"/>
      <color rgb="FFB4FEB8"/>
      <color rgb="FFC1F9FF"/>
      <color rgb="FFFBFE94"/>
      <color rgb="FFC8C5FF"/>
      <color rgb="FF9093FE"/>
      <color rgb="FFFFCDCD"/>
      <color rgb="FFFCFEB0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ED3D-A7D2-4794-9F87-AB9D41CF5050}">
  <sheetPr>
    <tabColor theme="1"/>
  </sheetPr>
  <dimension ref="A1:T47"/>
  <sheetViews>
    <sheetView view="pageBreakPreview" zoomScale="85" zoomScaleNormal="85" zoomScaleSheetLayoutView="85" workbookViewId="0">
      <selection activeCell="A8" sqref="A8:XFD8"/>
    </sheetView>
  </sheetViews>
  <sheetFormatPr defaultColWidth="9.140625" defaultRowHeight="15" x14ac:dyDescent="0.25"/>
  <cols>
    <col min="1" max="1" width="15.140625" style="1" customWidth="1"/>
    <col min="2" max="2" width="20.5703125" style="1" customWidth="1"/>
    <col min="3" max="3" width="16.140625" style="1" bestFit="1" customWidth="1"/>
    <col min="4" max="4" width="9.85546875" style="1" bestFit="1" customWidth="1"/>
    <col min="5" max="5" width="13.42578125" style="1" bestFit="1" customWidth="1"/>
    <col min="6" max="6" width="8.85546875" style="1" bestFit="1" customWidth="1"/>
    <col min="7" max="7" width="20.140625" style="1" customWidth="1"/>
    <col min="8" max="8" width="9.140625" style="1"/>
    <col min="9" max="9" width="20.7109375" style="1" customWidth="1"/>
    <col min="10" max="10" width="10" style="1" bestFit="1" customWidth="1"/>
    <col min="11" max="11" width="20.7109375" style="1" customWidth="1"/>
    <col min="12" max="12" width="5.140625" style="1" bestFit="1" customWidth="1"/>
    <col min="13" max="13" width="16.42578125" style="1" bestFit="1" customWidth="1"/>
    <col min="14" max="14" width="7.5703125" style="1" bestFit="1" customWidth="1"/>
    <col min="15" max="15" width="19.85546875" style="1" bestFit="1" customWidth="1"/>
    <col min="16" max="16" width="6.140625" style="1" bestFit="1" customWidth="1"/>
    <col min="17" max="17" width="20.140625" style="1" customWidth="1"/>
    <col min="18" max="16384" width="9.140625" style="1"/>
  </cols>
  <sheetData>
    <row r="1" spans="1:20" s="3" customFormat="1" x14ac:dyDescent="0.25"/>
    <row r="2" spans="1:20" s="2" customFormat="1" x14ac:dyDescent="0.25">
      <c r="A2" s="4" t="s">
        <v>59</v>
      </c>
      <c r="B2" s="4" t="s">
        <v>17</v>
      </c>
      <c r="C2" s="4" t="s">
        <v>21</v>
      </c>
      <c r="D2" s="4" t="s">
        <v>8</v>
      </c>
      <c r="E2" s="4" t="s">
        <v>22</v>
      </c>
      <c r="F2" s="4" t="s">
        <v>24</v>
      </c>
      <c r="G2" s="4" t="s">
        <v>25</v>
      </c>
      <c r="H2" s="4" t="s">
        <v>1</v>
      </c>
      <c r="I2" s="4" t="s">
        <v>28</v>
      </c>
      <c r="J2" s="4" t="s">
        <v>68</v>
      </c>
      <c r="K2" s="4" t="s">
        <v>80</v>
      </c>
      <c r="L2" s="4" t="s">
        <v>14</v>
      </c>
      <c r="M2" s="4" t="s">
        <v>81</v>
      </c>
      <c r="N2" s="4" t="s">
        <v>30</v>
      </c>
      <c r="O2" s="4" t="s">
        <v>31</v>
      </c>
      <c r="P2" s="4" t="s">
        <v>2</v>
      </c>
      <c r="Q2" s="4" t="s">
        <v>62</v>
      </c>
      <c r="R2" s="4"/>
      <c r="S2" s="4"/>
      <c r="T2" s="4"/>
    </row>
    <row r="3" spans="1:20" s="2" customFormat="1" x14ac:dyDescent="0.25">
      <c r="A3" s="4">
        <v>1.2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s="2" customFormat="1" x14ac:dyDescent="0.25">
      <c r="A4" s="4">
        <v>2.4</v>
      </c>
      <c r="B4" s="4">
        <v>12</v>
      </c>
      <c r="C4" s="4">
        <v>10</v>
      </c>
      <c r="D4" s="4">
        <v>4</v>
      </c>
      <c r="E4" s="4">
        <v>1.5</v>
      </c>
      <c r="F4" s="4">
        <v>3.57</v>
      </c>
      <c r="G4" s="4">
        <v>9</v>
      </c>
      <c r="H4" s="4">
        <v>3.34</v>
      </c>
      <c r="I4" s="4">
        <v>7</v>
      </c>
      <c r="J4" s="4"/>
      <c r="K4" s="4"/>
      <c r="L4" s="4"/>
      <c r="M4" s="4"/>
      <c r="N4" s="4">
        <v>1.1200000000000001</v>
      </c>
      <c r="O4" s="4">
        <v>16</v>
      </c>
      <c r="P4" s="4">
        <v>12.5</v>
      </c>
      <c r="Q4" s="4">
        <v>8.89</v>
      </c>
      <c r="R4" s="4"/>
      <c r="S4" s="4"/>
      <c r="T4" s="4"/>
    </row>
    <row r="5" spans="1:20" s="2" customFormat="1" x14ac:dyDescent="0.25">
      <c r="A5" s="4">
        <v>3.1</v>
      </c>
      <c r="B5" s="4">
        <v>12</v>
      </c>
      <c r="C5" s="4">
        <v>8</v>
      </c>
      <c r="D5" s="4">
        <v>4</v>
      </c>
      <c r="E5" s="4">
        <v>1</v>
      </c>
      <c r="F5" s="4">
        <v>2.86</v>
      </c>
      <c r="G5" s="4">
        <v>7</v>
      </c>
      <c r="H5" s="4">
        <v>2.86</v>
      </c>
      <c r="I5" s="4">
        <v>5</v>
      </c>
      <c r="J5" s="4">
        <v>3.4</v>
      </c>
      <c r="K5" s="4">
        <v>7.6</v>
      </c>
      <c r="L5" s="4">
        <v>2.75</v>
      </c>
      <c r="M5" s="4">
        <v>7</v>
      </c>
      <c r="N5" s="4">
        <v>0.95</v>
      </c>
      <c r="O5" s="4">
        <v>13</v>
      </c>
      <c r="P5" s="4">
        <v>10</v>
      </c>
      <c r="Q5" s="4">
        <v>6.67</v>
      </c>
      <c r="R5" s="4"/>
      <c r="S5" s="4"/>
      <c r="T5" s="4"/>
    </row>
    <row r="6" spans="1:20" x14ac:dyDescent="0.25">
      <c r="A6" s="4">
        <v>3.9</v>
      </c>
      <c r="B6" s="4">
        <v>12</v>
      </c>
      <c r="C6" s="4">
        <v>8</v>
      </c>
      <c r="D6" s="4">
        <v>3.5</v>
      </c>
      <c r="E6" s="4">
        <v>1</v>
      </c>
      <c r="F6" s="4">
        <v>2.2400000000000002</v>
      </c>
      <c r="G6" s="4">
        <v>7</v>
      </c>
      <c r="H6" s="4">
        <v>2.4500000000000002</v>
      </c>
      <c r="I6" s="4">
        <v>5</v>
      </c>
      <c r="J6" s="4"/>
      <c r="K6" s="4"/>
      <c r="L6" s="4"/>
      <c r="M6" s="4"/>
      <c r="N6" s="4">
        <v>0.79</v>
      </c>
      <c r="O6" s="4">
        <v>13</v>
      </c>
      <c r="P6" s="4">
        <v>10</v>
      </c>
      <c r="Q6" s="4">
        <v>5.33</v>
      </c>
      <c r="R6" s="4"/>
      <c r="S6" s="4"/>
      <c r="T6" s="4"/>
    </row>
    <row r="7" spans="1:20" x14ac:dyDescent="0.25">
      <c r="A7" s="4">
        <v>6.3</v>
      </c>
      <c r="B7" s="4">
        <v>6</v>
      </c>
      <c r="C7" s="4">
        <v>6</v>
      </c>
      <c r="D7" s="4">
        <v>3</v>
      </c>
      <c r="E7" s="4">
        <v>0.5</v>
      </c>
      <c r="F7" s="4">
        <v>1.62</v>
      </c>
      <c r="G7" s="4">
        <v>3.5</v>
      </c>
      <c r="H7" s="4">
        <v>1.62</v>
      </c>
      <c r="I7" s="4">
        <v>2.5</v>
      </c>
      <c r="J7" s="4">
        <v>3</v>
      </c>
      <c r="K7" s="4">
        <v>4.7</v>
      </c>
      <c r="L7" s="4">
        <v>2.25</v>
      </c>
      <c r="M7" s="4">
        <v>4.5</v>
      </c>
      <c r="N7" s="4">
        <v>0.51</v>
      </c>
      <c r="O7" s="4">
        <v>5.5</v>
      </c>
      <c r="P7" s="4">
        <v>7.5</v>
      </c>
      <c r="Q7" s="4">
        <v>6.67</v>
      </c>
      <c r="R7" s="4"/>
      <c r="S7" s="4"/>
      <c r="T7" s="4"/>
    </row>
    <row r="8" spans="1:20" x14ac:dyDescent="0.25">
      <c r="A8" s="4">
        <v>12</v>
      </c>
      <c r="B8" s="4">
        <v>6</v>
      </c>
      <c r="C8" s="4">
        <v>4</v>
      </c>
      <c r="D8" s="4">
        <v>2.5</v>
      </c>
      <c r="E8" s="4">
        <v>0.5</v>
      </c>
      <c r="F8" s="4">
        <v>1.33</v>
      </c>
      <c r="G8" s="4">
        <v>2.7</v>
      </c>
      <c r="H8" s="4">
        <v>1.06</v>
      </c>
      <c r="I8" s="4">
        <v>1.7</v>
      </c>
      <c r="J8" s="4">
        <v>2.4</v>
      </c>
      <c r="K8" s="4">
        <v>4.2</v>
      </c>
      <c r="L8" s="4"/>
      <c r="M8" s="4"/>
      <c r="N8" s="4">
        <v>0.38</v>
      </c>
      <c r="O8" s="4">
        <v>2.7</v>
      </c>
      <c r="P8" s="4">
        <v>5</v>
      </c>
      <c r="Q8" s="4">
        <v>6.35</v>
      </c>
      <c r="R8" s="4"/>
      <c r="S8" s="4"/>
      <c r="T8" s="4"/>
    </row>
    <row r="9" spans="1:20" x14ac:dyDescent="0.25">
      <c r="A9" s="4">
        <v>17.2</v>
      </c>
      <c r="B9" s="4">
        <v>6</v>
      </c>
      <c r="C9" s="4">
        <v>4</v>
      </c>
      <c r="D9" s="4">
        <v>2</v>
      </c>
      <c r="E9" s="4">
        <v>0.5</v>
      </c>
      <c r="F9" s="4">
        <v>1.31</v>
      </c>
      <c r="G9" s="4">
        <v>2.7</v>
      </c>
      <c r="H9" s="4">
        <v>1.05</v>
      </c>
      <c r="I9" s="4">
        <v>1.7</v>
      </c>
      <c r="J9" s="4"/>
      <c r="K9" s="4"/>
      <c r="L9" s="4"/>
      <c r="M9" s="4"/>
      <c r="N9" s="4">
        <v>0.37</v>
      </c>
      <c r="O9" s="4">
        <v>2.7</v>
      </c>
      <c r="P9" s="4">
        <v>5</v>
      </c>
      <c r="Q9" s="4">
        <v>4.45</v>
      </c>
      <c r="R9" s="4"/>
      <c r="S9" s="4"/>
      <c r="T9" s="4"/>
    </row>
    <row r="10" spans="1:20" x14ac:dyDescent="0.25">
      <c r="A10" s="4">
        <v>22.9</v>
      </c>
      <c r="B10" s="4">
        <v>6</v>
      </c>
      <c r="C10" s="4">
        <v>4</v>
      </c>
      <c r="D10" s="4">
        <v>2</v>
      </c>
      <c r="E10" s="4">
        <v>0.5</v>
      </c>
      <c r="F10" s="4">
        <v>1.31</v>
      </c>
      <c r="G10" s="4">
        <v>2.7</v>
      </c>
      <c r="H10" s="4">
        <v>1.05</v>
      </c>
      <c r="I10" s="4">
        <v>1.7</v>
      </c>
      <c r="J10" s="4"/>
      <c r="K10" s="4"/>
      <c r="L10" s="4"/>
      <c r="M10" s="4"/>
      <c r="N10" s="4">
        <v>0.37</v>
      </c>
      <c r="O10" s="4">
        <v>2.7</v>
      </c>
      <c r="P10" s="4">
        <v>5</v>
      </c>
      <c r="Q10" s="4">
        <v>3.34</v>
      </c>
      <c r="R10" s="4"/>
      <c r="S10" s="4"/>
      <c r="T10" s="4"/>
    </row>
    <row r="11" spans="1:20" x14ac:dyDescent="0.25">
      <c r="A11" s="4">
        <v>28.6</v>
      </c>
      <c r="B11" s="4">
        <v>6</v>
      </c>
      <c r="C11" s="4">
        <v>4</v>
      </c>
      <c r="D11" s="4">
        <v>2</v>
      </c>
      <c r="E11" s="4">
        <v>0.5</v>
      </c>
      <c r="F11" s="4">
        <v>1.31</v>
      </c>
      <c r="G11" s="4">
        <v>2.7</v>
      </c>
      <c r="H11" s="4">
        <v>1.05</v>
      </c>
      <c r="I11" s="4">
        <v>1.7</v>
      </c>
      <c r="J11" s="4"/>
      <c r="K11" s="4"/>
      <c r="L11" s="4"/>
      <c r="M11" s="4"/>
      <c r="N11" s="4">
        <v>0.37</v>
      </c>
      <c r="O11" s="4">
        <v>2.7</v>
      </c>
      <c r="P11" s="4">
        <v>5</v>
      </c>
      <c r="Q11" s="4"/>
      <c r="R11" s="4"/>
      <c r="S11" s="4"/>
      <c r="T11" s="4"/>
    </row>
    <row r="12" spans="1:20" x14ac:dyDescent="0.25">
      <c r="A12" s="4">
        <v>34.4</v>
      </c>
      <c r="B12" s="4">
        <v>4</v>
      </c>
      <c r="C12" s="4">
        <v>4</v>
      </c>
      <c r="D12" s="4">
        <v>2</v>
      </c>
      <c r="E12" s="4">
        <v>0.5</v>
      </c>
      <c r="F12" s="4">
        <v>1.31</v>
      </c>
      <c r="G12" s="4">
        <v>2.2000000000000002</v>
      </c>
      <c r="H12" s="4">
        <v>1.05</v>
      </c>
      <c r="I12" s="4">
        <v>1.7</v>
      </c>
      <c r="J12" s="4"/>
      <c r="K12" s="4"/>
      <c r="L12" s="4"/>
      <c r="M12" s="4"/>
      <c r="N12" s="4">
        <v>0.37</v>
      </c>
      <c r="O12" s="4">
        <v>1.7</v>
      </c>
      <c r="P12" s="4">
        <v>5</v>
      </c>
      <c r="Q12" s="4"/>
      <c r="R12" s="4"/>
      <c r="S12" s="4"/>
      <c r="T12" s="4"/>
    </row>
    <row r="13" spans="1:20" x14ac:dyDescent="0.25">
      <c r="A13" s="4">
        <v>40.1</v>
      </c>
      <c r="B13" s="4">
        <v>4</v>
      </c>
      <c r="C13" s="4">
        <v>4</v>
      </c>
      <c r="D13" s="4">
        <v>2</v>
      </c>
      <c r="E13" s="4">
        <v>0.5</v>
      </c>
      <c r="F13" s="4">
        <v>1.31</v>
      </c>
      <c r="G13" s="4">
        <v>2.2000000000000002</v>
      </c>
      <c r="H13" s="4">
        <v>1.05</v>
      </c>
      <c r="I13" s="4">
        <v>1.7</v>
      </c>
      <c r="J13" s="4"/>
      <c r="K13" s="4"/>
      <c r="L13" s="4"/>
      <c r="M13" s="4"/>
      <c r="N13" s="4">
        <v>0.37</v>
      </c>
      <c r="O13" s="4">
        <v>1.7</v>
      </c>
      <c r="P13" s="4">
        <v>5</v>
      </c>
      <c r="Q13" s="4"/>
      <c r="R13" s="4"/>
      <c r="S13" s="4"/>
      <c r="T13" s="4"/>
    </row>
    <row r="14" spans="1:20" x14ac:dyDescent="0.25">
      <c r="A14" s="4">
        <v>45.8</v>
      </c>
      <c r="B14" s="4">
        <v>4</v>
      </c>
      <c r="C14" s="4">
        <v>4</v>
      </c>
      <c r="D14" s="4">
        <v>2</v>
      </c>
      <c r="E14" s="4">
        <v>0.5</v>
      </c>
      <c r="F14" s="4">
        <v>1.31</v>
      </c>
      <c r="G14" s="4">
        <v>2.2000000000000002</v>
      </c>
      <c r="H14" s="4">
        <v>1.05</v>
      </c>
      <c r="I14" s="4">
        <v>1.7</v>
      </c>
      <c r="J14" s="4"/>
      <c r="K14" s="4"/>
      <c r="L14" s="4"/>
      <c r="M14" s="4"/>
      <c r="N14" s="4">
        <v>0.37</v>
      </c>
      <c r="O14" s="4">
        <v>1.7</v>
      </c>
      <c r="P14" s="4">
        <v>5</v>
      </c>
      <c r="Q14" s="4"/>
      <c r="R14" s="4"/>
      <c r="S14" s="4"/>
      <c r="T14" s="4"/>
    </row>
    <row r="15" spans="1:20" x14ac:dyDescent="0.25">
      <c r="A15" s="4">
        <v>51.5</v>
      </c>
      <c r="B15" s="4">
        <v>4</v>
      </c>
      <c r="C15" s="4">
        <v>4</v>
      </c>
      <c r="D15" s="4">
        <v>2</v>
      </c>
      <c r="E15" s="4">
        <v>0.5</v>
      </c>
      <c r="F15" s="4">
        <v>1.31</v>
      </c>
      <c r="G15" s="4">
        <v>2.2000000000000002</v>
      </c>
      <c r="H15" s="4">
        <v>1.05</v>
      </c>
      <c r="I15" s="4">
        <v>1.7</v>
      </c>
      <c r="J15" s="4"/>
      <c r="K15" s="4"/>
      <c r="L15" s="4"/>
      <c r="M15" s="4"/>
      <c r="N15" s="4">
        <v>0.37</v>
      </c>
      <c r="O15" s="4">
        <v>1.7</v>
      </c>
      <c r="P15" s="4">
        <v>5</v>
      </c>
      <c r="Q15" s="4"/>
      <c r="R15" s="4"/>
      <c r="S15" s="4"/>
      <c r="T15" s="4"/>
    </row>
    <row r="16" spans="1:20" x14ac:dyDescent="0.25">
      <c r="A16" s="4">
        <v>24</v>
      </c>
      <c r="B16" s="4">
        <v>6</v>
      </c>
      <c r="C16" s="4">
        <v>4</v>
      </c>
      <c r="D16" s="4">
        <v>2</v>
      </c>
      <c r="E16" s="4">
        <v>0.5</v>
      </c>
      <c r="F16" s="4">
        <v>1.33</v>
      </c>
      <c r="G16" s="4">
        <v>2.7</v>
      </c>
      <c r="H16" s="4">
        <v>1.06</v>
      </c>
      <c r="I16" s="4">
        <v>1.7</v>
      </c>
      <c r="J16" s="4"/>
      <c r="K16" s="4"/>
      <c r="L16" s="4"/>
      <c r="M16" s="4"/>
      <c r="N16" s="4">
        <v>0.38</v>
      </c>
      <c r="O16" s="4">
        <v>1.7</v>
      </c>
      <c r="P16" s="4">
        <v>5</v>
      </c>
      <c r="Q16" s="4">
        <v>5.33</v>
      </c>
      <c r="R16" s="4"/>
      <c r="S16" s="4"/>
      <c r="T16" s="4"/>
    </row>
    <row r="17" spans="1:20" x14ac:dyDescent="0.25">
      <c r="A17" s="4">
        <v>48</v>
      </c>
      <c r="B17" s="4">
        <v>4</v>
      </c>
      <c r="C17" s="4">
        <v>4</v>
      </c>
      <c r="D17" s="4">
        <v>2</v>
      </c>
      <c r="E17" s="4">
        <v>0.5</v>
      </c>
      <c r="F17" s="4">
        <v>1.33</v>
      </c>
      <c r="G17" s="4">
        <v>2.2000000000000002</v>
      </c>
      <c r="H17" s="4">
        <v>0.8</v>
      </c>
      <c r="I17" s="4">
        <v>1.7</v>
      </c>
      <c r="J17" s="4">
        <v>1.4</v>
      </c>
      <c r="K17" s="4">
        <v>2.7</v>
      </c>
      <c r="L17" s="4"/>
      <c r="M17" s="4"/>
      <c r="N17" s="4">
        <v>0.38</v>
      </c>
      <c r="O17" s="4">
        <v>1.7</v>
      </c>
      <c r="P17" s="4">
        <v>5</v>
      </c>
      <c r="Q17" s="4">
        <v>4.22</v>
      </c>
      <c r="R17" s="4"/>
      <c r="S17" s="4"/>
      <c r="T17" s="4"/>
    </row>
    <row r="18" spans="1:20" x14ac:dyDescent="0.25">
      <c r="A18" s="5" t="s">
        <v>60</v>
      </c>
      <c r="B18" s="4">
        <v>4</v>
      </c>
      <c r="C18" s="4">
        <v>4</v>
      </c>
      <c r="D18" s="4">
        <v>2</v>
      </c>
      <c r="E18" s="4">
        <v>0.5</v>
      </c>
      <c r="F18" s="4">
        <v>1.35</v>
      </c>
      <c r="G18" s="4">
        <v>2.2000000000000002</v>
      </c>
      <c r="H18" s="4">
        <v>0.8</v>
      </c>
      <c r="I18" s="4">
        <v>1.7</v>
      </c>
      <c r="J18" s="4"/>
      <c r="K18" s="4"/>
      <c r="L18" s="4"/>
      <c r="M18" s="4"/>
      <c r="N18" s="4">
        <v>0.38</v>
      </c>
      <c r="O18" s="4">
        <v>1.7</v>
      </c>
      <c r="P18" s="4">
        <v>5</v>
      </c>
      <c r="Q18" s="4">
        <v>2.42</v>
      </c>
      <c r="R18" s="4"/>
      <c r="S18" s="4"/>
      <c r="T18" s="4"/>
    </row>
    <row r="19" spans="1:20" x14ac:dyDescent="0.25">
      <c r="A19" s="5" t="s">
        <v>61</v>
      </c>
      <c r="B19" s="4">
        <v>4</v>
      </c>
      <c r="C19" s="4">
        <v>4</v>
      </c>
      <c r="D19" s="4">
        <v>2</v>
      </c>
      <c r="E19" s="4">
        <v>0.5</v>
      </c>
      <c r="F19" s="4">
        <v>1.35</v>
      </c>
      <c r="G19" s="4">
        <v>2.2000000000000002</v>
      </c>
      <c r="H19" s="4">
        <v>0.8</v>
      </c>
      <c r="I19" s="4">
        <v>1.7</v>
      </c>
      <c r="J19" s="4"/>
      <c r="K19" s="4"/>
      <c r="L19" s="4"/>
      <c r="M19" s="4"/>
      <c r="N19" s="4">
        <v>0.38</v>
      </c>
      <c r="O19" s="4">
        <v>1.7</v>
      </c>
      <c r="P19" s="4">
        <v>5</v>
      </c>
      <c r="Q19" s="4"/>
      <c r="R19" s="4"/>
      <c r="S19" s="4"/>
      <c r="T19" s="4"/>
    </row>
    <row r="20" spans="1:20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2:20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2:20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2:20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2:20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2:20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2:20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2:20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2:20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2:20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2:20" x14ac:dyDescent="0.2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2:20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2:20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2:20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2:20" x14ac:dyDescent="0.2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2:20" x14ac:dyDescent="0.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</sheetData>
  <phoneticPr fontId="10" type="noConversion"/>
  <pageMargins left="0.7" right="0.7" top="0.75" bottom="0.75" header="0.3" footer="0.3"/>
  <pageSetup scale="1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F7AC-81A9-43EB-BA35-A141AB3B314F}">
  <sheetPr>
    <tabColor theme="1"/>
    <pageSetUpPr fitToPage="1"/>
  </sheetPr>
  <dimension ref="A1:K79"/>
  <sheetViews>
    <sheetView zoomScaleNormal="100" workbookViewId="0">
      <pane xSplit="10" ySplit="2" topLeftCell="K3" activePane="bottomRight" state="frozen"/>
      <selection pane="topRight" activeCell="K1" sqref="K1"/>
      <selection pane="bottomLeft" activeCell="A3" sqref="A3"/>
      <selection pane="bottomRight" activeCell="O18" sqref="O18"/>
    </sheetView>
  </sheetViews>
  <sheetFormatPr defaultColWidth="8.7109375" defaultRowHeight="15.75" x14ac:dyDescent="0.25"/>
  <cols>
    <col min="1" max="1" width="8.85546875" style="41" hidden="1" customWidth="1"/>
    <col min="2" max="2" width="12.5703125" style="90" customWidth="1"/>
    <col min="3" max="4" width="12.5703125" style="41" customWidth="1"/>
    <col min="5" max="5" width="12.5703125" style="41" hidden="1" customWidth="1"/>
    <col min="6" max="6" width="12.5703125" style="43" customWidth="1"/>
    <col min="7" max="8" width="12.5703125" style="41" customWidth="1"/>
    <col min="9" max="9" width="12.5703125" style="40" hidden="1" customWidth="1"/>
    <col min="10" max="10" width="12.5703125" style="97" customWidth="1"/>
    <col min="11" max="11" width="19.85546875" style="45" customWidth="1"/>
    <col min="12" max="16384" width="8.7109375" style="41"/>
  </cols>
  <sheetData>
    <row r="1" spans="1:11" s="38" customFormat="1" ht="47.25" x14ac:dyDescent="0.25">
      <c r="A1" s="99" t="s">
        <v>101</v>
      </c>
      <c r="B1" s="114" t="s">
        <v>84</v>
      </c>
      <c r="C1" s="115" t="s">
        <v>85</v>
      </c>
      <c r="D1" s="115" t="s">
        <v>86</v>
      </c>
      <c r="E1" s="115" t="s">
        <v>87</v>
      </c>
      <c r="F1" s="115" t="s">
        <v>88</v>
      </c>
      <c r="G1" s="115" t="s">
        <v>89</v>
      </c>
      <c r="H1" s="115" t="s">
        <v>90</v>
      </c>
      <c r="I1" s="115" t="s">
        <v>91</v>
      </c>
      <c r="J1" s="116" t="s">
        <v>92</v>
      </c>
      <c r="K1" s="117" t="s">
        <v>93</v>
      </c>
    </row>
    <row r="2" spans="1:11" s="39" customFormat="1" thickBot="1" x14ac:dyDescent="0.3">
      <c r="A2" s="100"/>
      <c r="B2" s="101" t="s">
        <v>66</v>
      </c>
      <c r="C2" s="102" t="s">
        <v>94</v>
      </c>
      <c r="D2" s="102" t="s">
        <v>95</v>
      </c>
      <c r="E2" s="102" t="s">
        <v>96</v>
      </c>
      <c r="F2" s="102" t="s">
        <v>100</v>
      </c>
      <c r="G2" s="102" t="s">
        <v>97</v>
      </c>
      <c r="H2" s="102" t="s">
        <v>97</v>
      </c>
      <c r="I2" s="102" t="s">
        <v>4</v>
      </c>
      <c r="J2" s="103" t="s">
        <v>4</v>
      </c>
      <c r="K2" s="104"/>
    </row>
    <row r="3" spans="1:11" x14ac:dyDescent="0.25">
      <c r="A3" s="76">
        <v>20250414</v>
      </c>
      <c r="B3" s="108">
        <v>80</v>
      </c>
      <c r="C3" s="70">
        <v>500</v>
      </c>
      <c r="D3" s="42">
        <v>85</v>
      </c>
      <c r="E3" s="72">
        <v>0.3</v>
      </c>
      <c r="F3" s="66">
        <f>B3/D3</f>
        <v>0.94117647058823528</v>
      </c>
      <c r="G3" s="73">
        <v>1</v>
      </c>
      <c r="H3" s="43">
        <f>I3/PI()/(G3/2)^2</f>
        <v>3.9944770030907066</v>
      </c>
      <c r="I3" s="44">
        <f>F3/E3</f>
        <v>3.1372549019607843</v>
      </c>
      <c r="J3" s="91">
        <v>3.1</v>
      </c>
      <c r="K3" s="67"/>
    </row>
    <row r="4" spans="1:11" x14ac:dyDescent="0.25">
      <c r="A4" s="76"/>
      <c r="B4" s="108">
        <v>100</v>
      </c>
      <c r="C4" s="70">
        <v>500</v>
      </c>
      <c r="D4" s="71">
        <v>85</v>
      </c>
      <c r="E4" s="72">
        <v>0.3</v>
      </c>
      <c r="F4" s="81">
        <f>B4/D4</f>
        <v>1.1764705882352942</v>
      </c>
      <c r="G4" s="73">
        <v>1</v>
      </c>
      <c r="H4" s="43">
        <f t="shared" ref="H4:H59" si="0">I4/PI()/(G4/2)^2</f>
        <v>4.9930962538633841</v>
      </c>
      <c r="I4" s="46">
        <f>F4/E4</f>
        <v>3.9215686274509807</v>
      </c>
      <c r="J4" s="91">
        <v>3.9</v>
      </c>
      <c r="K4" s="67"/>
    </row>
    <row r="5" spans="1:11" x14ac:dyDescent="0.25">
      <c r="A5" s="76">
        <v>20250403</v>
      </c>
      <c r="B5" s="108">
        <v>160</v>
      </c>
      <c r="C5" s="70">
        <v>500</v>
      </c>
      <c r="D5" s="71">
        <v>85</v>
      </c>
      <c r="E5" s="72">
        <v>0.3</v>
      </c>
      <c r="F5" s="81">
        <f t="shared" ref="F5:F23" si="1">B5/D5</f>
        <v>1.8823529411764706</v>
      </c>
      <c r="G5" s="73">
        <v>2</v>
      </c>
      <c r="H5" s="43">
        <f t="shared" si="0"/>
        <v>1.9972385015453533</v>
      </c>
      <c r="I5" s="46">
        <f t="shared" ref="I5:I15" si="2">F5/E5</f>
        <v>6.2745098039215685</v>
      </c>
      <c r="J5" s="91">
        <v>6.3</v>
      </c>
      <c r="K5" s="67"/>
    </row>
    <row r="6" spans="1:11" x14ac:dyDescent="0.25">
      <c r="A6" s="76">
        <v>20240824</v>
      </c>
      <c r="B6" s="108">
        <v>305</v>
      </c>
      <c r="C6" s="70">
        <v>500</v>
      </c>
      <c r="D6" s="71">
        <v>85</v>
      </c>
      <c r="E6" s="72">
        <v>0.3</v>
      </c>
      <c r="F6" s="81">
        <f t="shared" si="1"/>
        <v>3.5882352941176472</v>
      </c>
      <c r="G6" s="74">
        <v>2.7</v>
      </c>
      <c r="H6" s="43">
        <f t="shared" si="0"/>
        <v>2.089018322946957</v>
      </c>
      <c r="I6" s="46">
        <f t="shared" si="2"/>
        <v>11.96078431372549</v>
      </c>
      <c r="J6" s="91">
        <v>12</v>
      </c>
      <c r="K6" s="67"/>
    </row>
    <row r="7" spans="1:11" x14ac:dyDescent="0.25">
      <c r="A7" s="76">
        <v>20240824</v>
      </c>
      <c r="B7" s="108">
        <v>440</v>
      </c>
      <c r="C7" s="70">
        <v>500</v>
      </c>
      <c r="D7" s="71">
        <v>85</v>
      </c>
      <c r="E7" s="72">
        <v>0.3</v>
      </c>
      <c r="F7" s="81">
        <f t="shared" si="1"/>
        <v>5.1764705882352944</v>
      </c>
      <c r="G7" s="74">
        <v>2.7</v>
      </c>
      <c r="H7" s="43">
        <f t="shared" si="0"/>
        <v>3.0136657773661026</v>
      </c>
      <c r="I7" s="46">
        <f t="shared" si="2"/>
        <v>17.254901960784316</v>
      </c>
      <c r="J7" s="91">
        <v>17.2</v>
      </c>
      <c r="K7" s="67"/>
    </row>
    <row r="8" spans="1:11" x14ac:dyDescent="0.25">
      <c r="A8" s="76">
        <v>20240824</v>
      </c>
      <c r="B8" s="108">
        <v>585</v>
      </c>
      <c r="C8" s="70">
        <v>500</v>
      </c>
      <c r="D8" s="71">
        <v>85</v>
      </c>
      <c r="E8" s="72">
        <v>0.3</v>
      </c>
      <c r="F8" s="81">
        <f t="shared" si="1"/>
        <v>6.882352941176471</v>
      </c>
      <c r="G8" s="74">
        <v>2.7</v>
      </c>
      <c r="H8" s="43">
        <f t="shared" si="0"/>
        <v>4.0068056358162956</v>
      </c>
      <c r="I8" s="46">
        <f t="shared" si="2"/>
        <v>22.941176470588239</v>
      </c>
      <c r="J8" s="91">
        <v>22.9</v>
      </c>
      <c r="K8" s="67"/>
    </row>
    <row r="9" spans="1:11" x14ac:dyDescent="0.25">
      <c r="A9" s="76">
        <v>20241219</v>
      </c>
      <c r="B9" s="108">
        <v>730</v>
      </c>
      <c r="C9" s="70">
        <v>500</v>
      </c>
      <c r="D9" s="71">
        <v>85</v>
      </c>
      <c r="E9" s="72">
        <v>0.3</v>
      </c>
      <c r="F9" s="81">
        <f t="shared" si="1"/>
        <v>8.5882352941176467</v>
      </c>
      <c r="G9" s="74">
        <v>2.7</v>
      </c>
      <c r="H9" s="43">
        <f t="shared" si="0"/>
        <v>4.9999454942664885</v>
      </c>
      <c r="I9" s="46">
        <f t="shared" si="2"/>
        <v>28.627450980392158</v>
      </c>
      <c r="J9" s="91">
        <v>28.6</v>
      </c>
      <c r="K9" s="67"/>
    </row>
    <row r="10" spans="1:11" x14ac:dyDescent="0.25">
      <c r="A10" s="76">
        <v>20241206</v>
      </c>
      <c r="B10" s="108">
        <v>875</v>
      </c>
      <c r="C10" s="70">
        <v>500</v>
      </c>
      <c r="D10" s="71">
        <v>85</v>
      </c>
      <c r="E10" s="72">
        <v>0.3</v>
      </c>
      <c r="F10" s="81">
        <f t="shared" si="1"/>
        <v>10.294117647058824</v>
      </c>
      <c r="G10" s="74">
        <v>2.7</v>
      </c>
      <c r="H10" s="43">
        <f t="shared" si="0"/>
        <v>5.9930853527166814</v>
      </c>
      <c r="I10" s="46">
        <f t="shared" si="2"/>
        <v>34.313725490196084</v>
      </c>
      <c r="J10" s="91">
        <v>34.4</v>
      </c>
      <c r="K10" s="67"/>
    </row>
    <row r="11" spans="1:11" x14ac:dyDescent="0.25">
      <c r="A11" s="76">
        <v>20241223</v>
      </c>
      <c r="B11" s="108">
        <v>1020</v>
      </c>
      <c r="C11" s="70">
        <v>500</v>
      </c>
      <c r="D11" s="71">
        <v>85</v>
      </c>
      <c r="E11" s="72">
        <v>0.3</v>
      </c>
      <c r="F11" s="81">
        <f t="shared" si="1"/>
        <v>12</v>
      </c>
      <c r="G11" s="74">
        <v>2.7</v>
      </c>
      <c r="H11" s="43">
        <f t="shared" si="0"/>
        <v>6.9862252111668734</v>
      </c>
      <c r="I11" s="46">
        <f t="shared" si="2"/>
        <v>40</v>
      </c>
      <c r="J11" s="91">
        <v>40.1</v>
      </c>
      <c r="K11" s="67"/>
    </row>
    <row r="12" spans="1:11" x14ac:dyDescent="0.25">
      <c r="A12" s="76"/>
      <c r="B12" s="108">
        <v>1170</v>
      </c>
      <c r="C12" s="70">
        <v>500</v>
      </c>
      <c r="D12" s="71">
        <v>85</v>
      </c>
      <c r="E12" s="72">
        <v>0.3</v>
      </c>
      <c r="F12" s="81">
        <f t="shared" si="1"/>
        <v>13.764705882352942</v>
      </c>
      <c r="G12" s="74">
        <v>2.7</v>
      </c>
      <c r="H12" s="43">
        <f t="shared" si="0"/>
        <v>8.0136112716325911</v>
      </c>
      <c r="I12" s="46">
        <f t="shared" si="2"/>
        <v>45.882352941176478</v>
      </c>
      <c r="J12" s="91">
        <v>45.8</v>
      </c>
      <c r="K12" s="67"/>
    </row>
    <row r="13" spans="1:11" x14ac:dyDescent="0.25">
      <c r="A13" s="76"/>
      <c r="B13" s="108">
        <v>1315</v>
      </c>
      <c r="C13" s="70">
        <v>500</v>
      </c>
      <c r="D13" s="71">
        <v>85</v>
      </c>
      <c r="E13" s="72">
        <v>0.3</v>
      </c>
      <c r="F13" s="81">
        <f t="shared" si="1"/>
        <v>15.470588235294118</v>
      </c>
      <c r="G13" s="74">
        <v>2.7</v>
      </c>
      <c r="H13" s="43">
        <f t="shared" si="0"/>
        <v>9.0067511300827814</v>
      </c>
      <c r="I13" s="46">
        <f t="shared" si="2"/>
        <v>51.568627450980394</v>
      </c>
      <c r="J13" s="91">
        <v>51.5</v>
      </c>
      <c r="K13" s="67"/>
    </row>
    <row r="14" spans="1:11" x14ac:dyDescent="0.25">
      <c r="A14" s="76">
        <v>20240824</v>
      </c>
      <c r="B14" s="108">
        <v>615</v>
      </c>
      <c r="C14" s="70">
        <v>500</v>
      </c>
      <c r="D14" s="71">
        <v>85</v>
      </c>
      <c r="E14" s="72">
        <v>0.3</v>
      </c>
      <c r="F14" s="81">
        <f t="shared" si="1"/>
        <v>7.2352941176470589</v>
      </c>
      <c r="G14" s="73">
        <v>3.5</v>
      </c>
      <c r="H14" s="43">
        <f t="shared" si="0"/>
        <v>2.5067381192865148</v>
      </c>
      <c r="I14" s="46">
        <f t="shared" si="2"/>
        <v>24.117647058823529</v>
      </c>
      <c r="J14" s="91">
        <v>24</v>
      </c>
      <c r="K14" s="67"/>
    </row>
    <row r="15" spans="1:11" x14ac:dyDescent="0.25">
      <c r="A15" s="76">
        <v>20240824</v>
      </c>
      <c r="B15" s="108">
        <v>1225</v>
      </c>
      <c r="C15" s="70">
        <v>500</v>
      </c>
      <c r="D15" s="71">
        <v>85</v>
      </c>
      <c r="E15" s="72">
        <v>0.3</v>
      </c>
      <c r="F15" s="81">
        <f t="shared" si="1"/>
        <v>14.411764705882353</v>
      </c>
      <c r="G15" s="73">
        <v>4.4000000000000004</v>
      </c>
      <c r="H15" s="43">
        <f t="shared" si="0"/>
        <v>3.1593713383174813</v>
      </c>
      <c r="I15" s="46">
        <f t="shared" si="2"/>
        <v>48.03921568627451</v>
      </c>
      <c r="J15" s="91">
        <v>48</v>
      </c>
      <c r="K15" s="67"/>
    </row>
    <row r="16" spans="1:11" x14ac:dyDescent="0.25">
      <c r="A16" s="76"/>
      <c r="B16" s="108">
        <v>1400</v>
      </c>
      <c r="C16" s="70">
        <v>500</v>
      </c>
      <c r="D16" s="71">
        <v>85</v>
      </c>
      <c r="E16" s="72">
        <v>0.3</v>
      </c>
      <c r="F16" s="81">
        <f t="shared" si="1"/>
        <v>16.470588235294116</v>
      </c>
      <c r="G16" s="73">
        <v>3.5</v>
      </c>
      <c r="H16" s="75">
        <f t="shared" si="0"/>
        <v>5.7063957187010095</v>
      </c>
      <c r="I16" s="47">
        <f>F16/E16</f>
        <v>54.901960784313722</v>
      </c>
      <c r="J16" s="92" t="s">
        <v>60</v>
      </c>
      <c r="K16" s="67"/>
    </row>
    <row r="17" spans="1:11" x14ac:dyDescent="0.25">
      <c r="A17" s="76">
        <v>20241219</v>
      </c>
      <c r="B17" s="108">
        <v>1500</v>
      </c>
      <c r="C17" s="70">
        <v>500</v>
      </c>
      <c r="D17" s="71">
        <v>85</v>
      </c>
      <c r="E17" s="72">
        <v>0.3</v>
      </c>
      <c r="F17" s="81">
        <f t="shared" si="1"/>
        <v>17.647058823529413</v>
      </c>
      <c r="G17" s="73">
        <v>3.5</v>
      </c>
      <c r="H17" s="75">
        <f t="shared" si="0"/>
        <v>6.1139954128939396</v>
      </c>
      <c r="I17" s="47">
        <f t="shared" ref="I17:I23" si="3">F17/E17</f>
        <v>58.82352941176471</v>
      </c>
      <c r="J17" s="92" t="s">
        <v>60</v>
      </c>
      <c r="K17" s="67"/>
    </row>
    <row r="18" spans="1:11" x14ac:dyDescent="0.25">
      <c r="A18" s="76"/>
      <c r="B18" s="108">
        <v>1600</v>
      </c>
      <c r="C18" s="70">
        <v>500</v>
      </c>
      <c r="D18" s="71">
        <v>85</v>
      </c>
      <c r="E18" s="72">
        <v>0.3</v>
      </c>
      <c r="F18" s="81">
        <f t="shared" si="1"/>
        <v>18.823529411764707</v>
      </c>
      <c r="G18" s="73">
        <v>3.5</v>
      </c>
      <c r="H18" s="75">
        <f t="shared" si="0"/>
        <v>6.5215951070868687</v>
      </c>
      <c r="I18" s="47">
        <f t="shared" si="3"/>
        <v>62.745098039215691</v>
      </c>
      <c r="J18" s="92" t="s">
        <v>60</v>
      </c>
      <c r="K18" s="67"/>
    </row>
    <row r="19" spans="1:11" x14ac:dyDescent="0.25">
      <c r="A19" s="76"/>
      <c r="B19" s="108">
        <v>1800</v>
      </c>
      <c r="C19" s="70">
        <v>500</v>
      </c>
      <c r="D19" s="71">
        <v>85</v>
      </c>
      <c r="E19" s="72">
        <v>0.3</v>
      </c>
      <c r="F19" s="81">
        <f t="shared" si="1"/>
        <v>21.176470588235293</v>
      </c>
      <c r="G19" s="73">
        <v>3.5</v>
      </c>
      <c r="H19" s="75">
        <f t="shared" si="0"/>
        <v>7.3367944954727262</v>
      </c>
      <c r="I19" s="47">
        <f t="shared" si="3"/>
        <v>70.588235294117652</v>
      </c>
      <c r="J19" s="92" t="s">
        <v>60</v>
      </c>
      <c r="K19" s="67"/>
    </row>
    <row r="20" spans="1:11" x14ac:dyDescent="0.25">
      <c r="A20" s="76"/>
      <c r="B20" s="108">
        <v>2000</v>
      </c>
      <c r="C20" s="70">
        <v>500</v>
      </c>
      <c r="D20" s="71">
        <v>85</v>
      </c>
      <c r="E20" s="72">
        <v>0.3</v>
      </c>
      <c r="F20" s="81">
        <f t="shared" si="1"/>
        <v>23.529411764705884</v>
      </c>
      <c r="G20" s="73">
        <v>3.5</v>
      </c>
      <c r="H20" s="75">
        <f t="shared" si="0"/>
        <v>8.1519938838585855</v>
      </c>
      <c r="I20" s="47">
        <f t="shared" si="3"/>
        <v>78.431372549019613</v>
      </c>
      <c r="J20" s="92" t="s">
        <v>60</v>
      </c>
      <c r="K20" s="67"/>
    </row>
    <row r="21" spans="1:11" x14ac:dyDescent="0.25">
      <c r="A21" s="76"/>
      <c r="B21" s="108">
        <v>2200</v>
      </c>
      <c r="C21" s="70">
        <v>500</v>
      </c>
      <c r="D21" s="71">
        <v>85</v>
      </c>
      <c r="E21" s="72">
        <v>0.3</v>
      </c>
      <c r="F21" s="81">
        <f t="shared" si="1"/>
        <v>25.882352941176471</v>
      </c>
      <c r="G21" s="73">
        <v>3.5</v>
      </c>
      <c r="H21" s="75">
        <f t="shared" si="0"/>
        <v>8.9671932722444438</v>
      </c>
      <c r="I21" s="47">
        <f t="shared" si="3"/>
        <v>86.274509803921575</v>
      </c>
      <c r="J21" s="92" t="s">
        <v>60</v>
      </c>
      <c r="K21" s="67"/>
    </row>
    <row r="22" spans="1:11" x14ac:dyDescent="0.25">
      <c r="A22" s="76"/>
      <c r="B22" s="108">
        <v>2400</v>
      </c>
      <c r="C22" s="70">
        <v>500</v>
      </c>
      <c r="D22" s="71">
        <v>85</v>
      </c>
      <c r="E22" s="72">
        <v>0.3</v>
      </c>
      <c r="F22" s="81">
        <f t="shared" si="1"/>
        <v>28.235294117647058</v>
      </c>
      <c r="G22" s="73">
        <v>3.5</v>
      </c>
      <c r="H22" s="75">
        <f t="shared" si="0"/>
        <v>9.7823926606303022</v>
      </c>
      <c r="I22" s="47">
        <f t="shared" si="3"/>
        <v>94.117647058823536</v>
      </c>
      <c r="J22" s="92" t="s">
        <v>60</v>
      </c>
      <c r="K22" s="67"/>
    </row>
    <row r="23" spans="1:11" x14ac:dyDescent="0.25">
      <c r="A23" s="76"/>
      <c r="B23" s="109">
        <v>2450</v>
      </c>
      <c r="C23" s="70">
        <v>500</v>
      </c>
      <c r="D23" s="71">
        <v>85</v>
      </c>
      <c r="E23" s="72">
        <v>0.3</v>
      </c>
      <c r="F23" s="81">
        <f t="shared" si="1"/>
        <v>28.823529411764707</v>
      </c>
      <c r="G23" s="73">
        <v>3.5</v>
      </c>
      <c r="H23" s="75">
        <f t="shared" si="0"/>
        <v>9.9861925077267664</v>
      </c>
      <c r="I23" s="47">
        <f t="shared" si="3"/>
        <v>96.078431372549019</v>
      </c>
      <c r="J23" s="92" t="s">
        <v>60</v>
      </c>
      <c r="K23" s="67"/>
    </row>
    <row r="24" spans="1:11" s="54" customFormat="1" x14ac:dyDescent="0.25">
      <c r="A24" s="105"/>
      <c r="B24" s="110">
        <v>7210</v>
      </c>
      <c r="C24" s="49">
        <v>500</v>
      </c>
      <c r="D24" s="48">
        <v>85</v>
      </c>
      <c r="E24" s="50">
        <v>0.3</v>
      </c>
      <c r="F24" s="68">
        <f>B24/D24</f>
        <v>84.82352941176471</v>
      </c>
      <c r="G24" s="52">
        <v>6</v>
      </c>
      <c r="H24" s="51">
        <f t="shared" si="0"/>
        <v>10.000062219543054</v>
      </c>
      <c r="I24" s="53">
        <f>F24/E24</f>
        <v>282.74509803921569</v>
      </c>
      <c r="J24" s="93" t="s">
        <v>61</v>
      </c>
      <c r="K24" s="77"/>
    </row>
    <row r="25" spans="1:11" x14ac:dyDescent="0.25">
      <c r="A25" s="76">
        <v>20241207</v>
      </c>
      <c r="B25" s="108">
        <v>45</v>
      </c>
      <c r="C25" s="78">
        <v>1000</v>
      </c>
      <c r="D25" s="71">
        <v>45</v>
      </c>
      <c r="E25" s="72">
        <v>0.28999999999999998</v>
      </c>
      <c r="F25" s="81">
        <f>B25/D25</f>
        <v>1</v>
      </c>
      <c r="G25" s="73">
        <v>1</v>
      </c>
      <c r="H25" s="43">
        <f t="shared" si="0"/>
        <v>4.3904811887419406</v>
      </c>
      <c r="I25" s="46">
        <f>F25/E25</f>
        <v>3.4482758620689657</v>
      </c>
      <c r="J25" s="91">
        <v>3.1</v>
      </c>
      <c r="K25" s="67"/>
    </row>
    <row r="26" spans="1:11" x14ac:dyDescent="0.25">
      <c r="A26" s="76">
        <v>20240824</v>
      </c>
      <c r="B26" s="108">
        <v>55</v>
      </c>
      <c r="C26" s="78">
        <v>1000</v>
      </c>
      <c r="D26" s="71">
        <v>45</v>
      </c>
      <c r="E26" s="72">
        <v>0.28999999999999998</v>
      </c>
      <c r="F26" s="81">
        <f t="shared" ref="F26:F39" si="4">B26/D26</f>
        <v>1.2222222222222223</v>
      </c>
      <c r="G26" s="73">
        <v>1</v>
      </c>
      <c r="H26" s="43">
        <f t="shared" si="0"/>
        <v>5.3661436751290399</v>
      </c>
      <c r="I26" s="46">
        <f>F26/E26</f>
        <v>4.214559386973181</v>
      </c>
      <c r="J26" s="91">
        <v>3.9</v>
      </c>
      <c r="K26" s="67"/>
    </row>
    <row r="27" spans="1:11" x14ac:dyDescent="0.25">
      <c r="A27" s="76">
        <v>20240824</v>
      </c>
      <c r="B27" s="108">
        <v>85</v>
      </c>
      <c r="C27" s="78">
        <v>1000</v>
      </c>
      <c r="D27" s="71">
        <v>45</v>
      </c>
      <c r="E27" s="72">
        <v>0.28999999999999998</v>
      </c>
      <c r="F27" s="81">
        <f t="shared" si="4"/>
        <v>1.8888888888888888</v>
      </c>
      <c r="G27" s="73">
        <v>2</v>
      </c>
      <c r="H27" s="43">
        <f t="shared" si="0"/>
        <v>2.0732827835725831</v>
      </c>
      <c r="I27" s="46">
        <f t="shared" ref="I27:I36" si="5">F27/E27</f>
        <v>6.5134099616858236</v>
      </c>
      <c r="J27" s="91">
        <v>6.3</v>
      </c>
      <c r="K27" s="67"/>
    </row>
    <row r="28" spans="1:11" x14ac:dyDescent="0.25">
      <c r="A28" s="76">
        <v>20240824</v>
      </c>
      <c r="B28" s="108">
        <v>160</v>
      </c>
      <c r="C28" s="78">
        <v>1000</v>
      </c>
      <c r="D28" s="71">
        <v>45</v>
      </c>
      <c r="E28" s="72">
        <v>0.28999999999999998</v>
      </c>
      <c r="F28" s="81">
        <f t="shared" si="4"/>
        <v>3.5555555555555554</v>
      </c>
      <c r="G28" s="74">
        <v>2.7</v>
      </c>
      <c r="H28" s="43">
        <f t="shared" si="0"/>
        <v>2.1413717122350571</v>
      </c>
      <c r="I28" s="46">
        <f t="shared" si="5"/>
        <v>12.260536398467433</v>
      </c>
      <c r="J28" s="91">
        <v>12</v>
      </c>
      <c r="K28" s="67"/>
    </row>
    <row r="29" spans="1:11" x14ac:dyDescent="0.25">
      <c r="A29" s="76">
        <v>20240824</v>
      </c>
      <c r="B29" s="108">
        <v>225</v>
      </c>
      <c r="C29" s="78">
        <v>1000</v>
      </c>
      <c r="D29" s="71">
        <v>45</v>
      </c>
      <c r="E29" s="72">
        <v>0.28999999999999998</v>
      </c>
      <c r="F29" s="81">
        <f t="shared" si="4"/>
        <v>5</v>
      </c>
      <c r="G29" s="74">
        <v>2.7</v>
      </c>
      <c r="H29" s="43">
        <f t="shared" si="0"/>
        <v>3.0113039703305486</v>
      </c>
      <c r="I29" s="46">
        <f t="shared" si="5"/>
        <v>17.241379310344829</v>
      </c>
      <c r="J29" s="91">
        <v>17.2</v>
      </c>
      <c r="K29" s="67"/>
    </row>
    <row r="30" spans="1:11" x14ac:dyDescent="0.25">
      <c r="A30" s="76">
        <v>20250815</v>
      </c>
      <c r="B30" s="108">
        <v>300</v>
      </c>
      <c r="C30" s="78">
        <v>1000</v>
      </c>
      <c r="D30" s="71">
        <v>45</v>
      </c>
      <c r="E30" s="72">
        <v>0.28999999999999998</v>
      </c>
      <c r="F30" s="81">
        <f t="shared" si="4"/>
        <v>6.666666666666667</v>
      </c>
      <c r="G30" s="74">
        <v>2.7</v>
      </c>
      <c r="H30" s="43">
        <f t="shared" si="0"/>
        <v>4.0150719604407321</v>
      </c>
      <c r="I30" s="46">
        <f t="shared" si="5"/>
        <v>22.988505747126439</v>
      </c>
      <c r="J30" s="91">
        <v>22.9</v>
      </c>
      <c r="K30" s="67"/>
    </row>
    <row r="31" spans="1:11" x14ac:dyDescent="0.25">
      <c r="A31" s="76"/>
      <c r="B31" s="108">
        <v>375</v>
      </c>
      <c r="C31" s="78">
        <v>1000</v>
      </c>
      <c r="D31" s="71">
        <v>45</v>
      </c>
      <c r="E31" s="72">
        <v>0.28999999999999998</v>
      </c>
      <c r="F31" s="81">
        <f t="shared" si="4"/>
        <v>8.3333333333333339</v>
      </c>
      <c r="G31" s="74">
        <v>2.7</v>
      </c>
      <c r="H31" s="43">
        <f t="shared" si="0"/>
        <v>5.0188399505509151</v>
      </c>
      <c r="I31" s="46">
        <f t="shared" si="5"/>
        <v>28.735632183908049</v>
      </c>
      <c r="J31" s="91">
        <v>28.6</v>
      </c>
      <c r="K31" s="67"/>
    </row>
    <row r="32" spans="1:11" x14ac:dyDescent="0.25">
      <c r="A32" s="76">
        <v>2024</v>
      </c>
      <c r="B32" s="108">
        <v>450</v>
      </c>
      <c r="C32" s="78">
        <v>1000</v>
      </c>
      <c r="D32" s="71">
        <v>45</v>
      </c>
      <c r="E32" s="72">
        <v>0.28999999999999998</v>
      </c>
      <c r="F32" s="81">
        <f t="shared" si="4"/>
        <v>10</v>
      </c>
      <c r="G32" s="74">
        <v>2.7</v>
      </c>
      <c r="H32" s="43">
        <f t="shared" si="0"/>
        <v>6.0226079406610973</v>
      </c>
      <c r="I32" s="46">
        <f t="shared" si="5"/>
        <v>34.482758620689658</v>
      </c>
      <c r="J32" s="91">
        <v>34.4</v>
      </c>
      <c r="K32" s="67"/>
    </row>
    <row r="33" spans="1:11" x14ac:dyDescent="0.25">
      <c r="A33" s="76"/>
      <c r="B33" s="108">
        <v>525</v>
      </c>
      <c r="C33" s="78">
        <v>1000</v>
      </c>
      <c r="D33" s="71">
        <v>45</v>
      </c>
      <c r="E33" s="72">
        <v>0.28999999999999998</v>
      </c>
      <c r="F33" s="81">
        <f t="shared" si="4"/>
        <v>11.666666666666666</v>
      </c>
      <c r="G33" s="74">
        <v>2.7</v>
      </c>
      <c r="H33" s="43">
        <f t="shared" si="0"/>
        <v>7.0263759307712803</v>
      </c>
      <c r="I33" s="46">
        <f t="shared" si="5"/>
        <v>40.229885057471265</v>
      </c>
      <c r="J33" s="91">
        <v>40.1</v>
      </c>
      <c r="K33" s="67"/>
    </row>
    <row r="34" spans="1:11" x14ac:dyDescent="0.25">
      <c r="A34" s="76"/>
      <c r="B34" s="108">
        <v>600</v>
      </c>
      <c r="C34" s="78">
        <v>1000</v>
      </c>
      <c r="D34" s="71">
        <v>45</v>
      </c>
      <c r="E34" s="72">
        <v>0.28999999999999998</v>
      </c>
      <c r="F34" s="81">
        <f t="shared" si="4"/>
        <v>13.333333333333334</v>
      </c>
      <c r="G34" s="74">
        <v>2.7</v>
      </c>
      <c r="H34" s="43">
        <f t="shared" si="0"/>
        <v>8.0301439208814642</v>
      </c>
      <c r="I34" s="46">
        <f t="shared" si="5"/>
        <v>45.977011494252878</v>
      </c>
      <c r="J34" s="91">
        <v>45.8</v>
      </c>
      <c r="K34" s="67"/>
    </row>
    <row r="35" spans="1:11" x14ac:dyDescent="0.25">
      <c r="A35" s="76"/>
      <c r="B35" s="108">
        <v>675</v>
      </c>
      <c r="C35" s="78">
        <v>1000</v>
      </c>
      <c r="D35" s="71">
        <v>45</v>
      </c>
      <c r="E35" s="72">
        <v>0.28999999999999998</v>
      </c>
      <c r="F35" s="81">
        <f t="shared" si="4"/>
        <v>15</v>
      </c>
      <c r="G35" s="74">
        <v>2.7</v>
      </c>
      <c r="H35" s="43">
        <f t="shared" si="0"/>
        <v>9.0339119109916464</v>
      </c>
      <c r="I35" s="46">
        <f t="shared" si="5"/>
        <v>51.724137931034484</v>
      </c>
      <c r="J35" s="91">
        <v>51.5</v>
      </c>
      <c r="K35" s="67"/>
    </row>
    <row r="36" spans="1:11" x14ac:dyDescent="0.25">
      <c r="A36" s="76">
        <v>20240824</v>
      </c>
      <c r="B36" s="108">
        <v>320</v>
      </c>
      <c r="C36" s="78">
        <v>1000</v>
      </c>
      <c r="D36" s="71">
        <v>45</v>
      </c>
      <c r="E36" s="72">
        <v>0.28999999999999998</v>
      </c>
      <c r="F36" s="81">
        <f t="shared" si="4"/>
        <v>7.1111111111111107</v>
      </c>
      <c r="G36" s="73">
        <v>3.5</v>
      </c>
      <c r="H36" s="43">
        <f t="shared" si="0"/>
        <v>2.5486693521948682</v>
      </c>
      <c r="I36" s="46">
        <f t="shared" si="5"/>
        <v>24.521072796934867</v>
      </c>
      <c r="J36" s="91">
        <v>24</v>
      </c>
      <c r="K36" s="67"/>
    </row>
    <row r="37" spans="1:11" x14ac:dyDescent="0.25">
      <c r="A37" s="76">
        <v>20240824</v>
      </c>
      <c r="B37" s="108">
        <v>640</v>
      </c>
      <c r="C37" s="78">
        <v>1000</v>
      </c>
      <c r="D37" s="71">
        <v>45</v>
      </c>
      <c r="E37" s="72">
        <v>0.28999999999999998</v>
      </c>
      <c r="F37" s="81">
        <f t="shared" si="4"/>
        <v>14.222222222222221</v>
      </c>
      <c r="G37" s="73">
        <v>4.4000000000000004</v>
      </c>
      <c r="H37" s="43">
        <f t="shared" si="0"/>
        <v>3.2253305335110674</v>
      </c>
      <c r="I37" s="46">
        <f>F37/E37</f>
        <v>49.042145593869733</v>
      </c>
      <c r="J37" s="91">
        <v>48</v>
      </c>
      <c r="K37" s="67"/>
    </row>
    <row r="38" spans="1:11" x14ac:dyDescent="0.25">
      <c r="A38" s="76">
        <v>20240824</v>
      </c>
      <c r="B38" s="108">
        <v>1000</v>
      </c>
      <c r="C38" s="78">
        <v>1000</v>
      </c>
      <c r="D38" s="71">
        <v>45</v>
      </c>
      <c r="E38" s="72">
        <v>0.28999999999999998</v>
      </c>
      <c r="F38" s="81">
        <f t="shared" si="4"/>
        <v>22.222222222222221</v>
      </c>
      <c r="G38" s="73">
        <v>3.5</v>
      </c>
      <c r="H38" s="75">
        <f t="shared" si="0"/>
        <v>7.9645917256089627</v>
      </c>
      <c r="I38" s="55">
        <f>F38/E38</f>
        <v>76.628352490421463</v>
      </c>
      <c r="J38" s="92" t="s">
        <v>60</v>
      </c>
      <c r="K38" s="67"/>
    </row>
    <row r="39" spans="1:11" x14ac:dyDescent="0.25">
      <c r="A39" s="76"/>
      <c r="B39" s="109">
        <v>1255</v>
      </c>
      <c r="C39" s="78">
        <v>1000</v>
      </c>
      <c r="D39" s="71">
        <v>45</v>
      </c>
      <c r="E39" s="72">
        <v>0.28999999999999998</v>
      </c>
      <c r="F39" s="81">
        <f t="shared" si="4"/>
        <v>27.888888888888889</v>
      </c>
      <c r="G39" s="73">
        <v>3.5</v>
      </c>
      <c r="H39" s="75">
        <f t="shared" si="0"/>
        <v>9.9955626156392494</v>
      </c>
      <c r="I39" s="47">
        <f>F39/E39</f>
        <v>96.168582375478934</v>
      </c>
      <c r="J39" s="92" t="s">
        <v>60</v>
      </c>
      <c r="K39" s="67"/>
    </row>
    <row r="40" spans="1:11" s="54" customFormat="1" x14ac:dyDescent="0.25">
      <c r="A40" s="105"/>
      <c r="B40" s="110">
        <v>3690</v>
      </c>
      <c r="C40" s="56">
        <v>1000</v>
      </c>
      <c r="D40" s="48">
        <v>45</v>
      </c>
      <c r="E40" s="50">
        <v>0.28999999999999998</v>
      </c>
      <c r="F40" s="68">
        <f>B40/D40</f>
        <v>82</v>
      </c>
      <c r="G40" s="52">
        <v>6</v>
      </c>
      <c r="H40" s="51">
        <f t="shared" si="0"/>
        <v>10.000540485467754</v>
      </c>
      <c r="I40" s="57">
        <f>F40/E40</f>
        <v>282.75862068965517</v>
      </c>
      <c r="J40" s="93" t="s">
        <v>61</v>
      </c>
      <c r="K40" s="77"/>
    </row>
    <row r="41" spans="1:11" x14ac:dyDescent="0.25">
      <c r="A41" s="76"/>
      <c r="B41" s="108">
        <v>23</v>
      </c>
      <c r="C41" s="79">
        <v>2000</v>
      </c>
      <c r="D41" s="71">
        <v>25</v>
      </c>
      <c r="E41" s="72">
        <v>0.28499999999999998</v>
      </c>
      <c r="F41" s="81">
        <f>B41/D41</f>
        <v>0.92</v>
      </c>
      <c r="G41" s="73">
        <v>1</v>
      </c>
      <c r="H41" s="43">
        <f t="shared" si="0"/>
        <v>4.1101066005485958</v>
      </c>
      <c r="I41" s="46">
        <f>F41/E41</f>
        <v>3.2280701754385968</v>
      </c>
      <c r="J41" s="91">
        <v>3.1</v>
      </c>
      <c r="K41" s="67"/>
    </row>
    <row r="42" spans="1:11" x14ac:dyDescent="0.25">
      <c r="A42" s="76"/>
      <c r="B42" s="108">
        <v>28</v>
      </c>
      <c r="C42" s="79">
        <v>2000</v>
      </c>
      <c r="D42" s="71">
        <v>25</v>
      </c>
      <c r="E42" s="72">
        <v>0.28499999999999998</v>
      </c>
      <c r="F42" s="81">
        <f t="shared" ref="F42:F54" si="6">B42/D42</f>
        <v>1.1200000000000001</v>
      </c>
      <c r="G42" s="73">
        <v>1</v>
      </c>
      <c r="H42" s="43">
        <f t="shared" si="0"/>
        <v>5.0036080354504646</v>
      </c>
      <c r="I42" s="46">
        <f t="shared" ref="I42:I53" si="7">F42/E42</f>
        <v>3.9298245614035094</v>
      </c>
      <c r="J42" s="91">
        <v>3.9</v>
      </c>
      <c r="K42" s="67"/>
    </row>
    <row r="43" spans="1:11" x14ac:dyDescent="0.25">
      <c r="A43" s="76"/>
      <c r="B43" s="108">
        <v>45</v>
      </c>
      <c r="C43" s="79">
        <v>2000</v>
      </c>
      <c r="D43" s="42">
        <v>25</v>
      </c>
      <c r="E43" s="72">
        <v>0.28499999999999998</v>
      </c>
      <c r="F43" s="81">
        <f t="shared" si="6"/>
        <v>1.8</v>
      </c>
      <c r="G43" s="73">
        <v>2</v>
      </c>
      <c r="H43" s="43">
        <f t="shared" si="0"/>
        <v>2.0103782285292047</v>
      </c>
      <c r="I43" s="46">
        <f t="shared" si="7"/>
        <v>6.3157894736842115</v>
      </c>
      <c r="J43" s="91">
        <v>6.3</v>
      </c>
      <c r="K43" s="67"/>
    </row>
    <row r="44" spans="1:11" x14ac:dyDescent="0.25">
      <c r="A44" s="76">
        <v>20250414</v>
      </c>
      <c r="B44" s="108">
        <v>85</v>
      </c>
      <c r="C44" s="79">
        <v>2000</v>
      </c>
      <c r="D44" s="71">
        <v>25</v>
      </c>
      <c r="E44" s="72">
        <v>0.28499999999999998</v>
      </c>
      <c r="F44" s="81">
        <f t="shared" si="6"/>
        <v>3.4</v>
      </c>
      <c r="G44" s="74">
        <v>2.7</v>
      </c>
      <c r="H44" s="43">
        <f t="shared" si="0"/>
        <v>2.0836110278918745</v>
      </c>
      <c r="I44" s="46">
        <f t="shared" si="7"/>
        <v>11.92982456140351</v>
      </c>
      <c r="J44" s="91">
        <v>12</v>
      </c>
      <c r="K44" s="67"/>
    </row>
    <row r="45" spans="1:11" x14ac:dyDescent="0.25">
      <c r="A45" s="76"/>
      <c r="B45" s="108">
        <v>125</v>
      </c>
      <c r="C45" s="79">
        <v>2000</v>
      </c>
      <c r="D45" s="42">
        <v>25</v>
      </c>
      <c r="E45" s="72">
        <v>0.28499999999999998</v>
      </c>
      <c r="F45" s="81">
        <f t="shared" si="6"/>
        <v>5</v>
      </c>
      <c r="G45" s="74">
        <v>2.7</v>
      </c>
      <c r="H45" s="43">
        <f t="shared" si="0"/>
        <v>3.0641338645468745</v>
      </c>
      <c r="I45" s="46">
        <f t="shared" si="7"/>
        <v>17.543859649122808</v>
      </c>
      <c r="J45" s="91">
        <v>17.2</v>
      </c>
      <c r="K45" s="67"/>
    </row>
    <row r="46" spans="1:11" x14ac:dyDescent="0.25">
      <c r="A46" s="76"/>
      <c r="B46" s="108">
        <v>165</v>
      </c>
      <c r="C46" s="79">
        <v>2000</v>
      </c>
      <c r="D46" s="71">
        <v>25</v>
      </c>
      <c r="E46" s="72">
        <v>0.28499999999999998</v>
      </c>
      <c r="F46" s="81">
        <f t="shared" si="6"/>
        <v>6.6</v>
      </c>
      <c r="G46" s="74">
        <v>2.7</v>
      </c>
      <c r="H46" s="43">
        <f t="shared" si="0"/>
        <v>4.0446567012018741</v>
      </c>
      <c r="I46" s="46">
        <f t="shared" si="7"/>
        <v>23.157894736842106</v>
      </c>
      <c r="J46" s="91">
        <v>22.9</v>
      </c>
      <c r="K46" s="67"/>
    </row>
    <row r="47" spans="1:11" x14ac:dyDescent="0.25">
      <c r="A47" s="76"/>
      <c r="B47" s="108">
        <v>205</v>
      </c>
      <c r="C47" s="79">
        <v>2000</v>
      </c>
      <c r="D47" s="42">
        <v>25</v>
      </c>
      <c r="E47" s="72">
        <v>0.28499999999999998</v>
      </c>
      <c r="F47" s="81">
        <f t="shared" si="6"/>
        <v>8.1999999999999993</v>
      </c>
      <c r="G47" s="74">
        <v>2.7</v>
      </c>
      <c r="H47" s="43">
        <f t="shared" si="0"/>
        <v>5.0251795378568733</v>
      </c>
      <c r="I47" s="46">
        <f t="shared" si="7"/>
        <v>28.771929824561404</v>
      </c>
      <c r="J47" s="91">
        <v>28.6</v>
      </c>
      <c r="K47" s="67"/>
    </row>
    <row r="48" spans="1:11" x14ac:dyDescent="0.25">
      <c r="A48" s="76"/>
      <c r="B48" s="108">
        <v>245</v>
      </c>
      <c r="C48" s="79">
        <v>2000</v>
      </c>
      <c r="D48" s="71">
        <v>25</v>
      </c>
      <c r="E48" s="72">
        <v>0.28499999999999998</v>
      </c>
      <c r="F48" s="81">
        <f t="shared" si="6"/>
        <v>9.8000000000000007</v>
      </c>
      <c r="G48" s="74">
        <v>2.7</v>
      </c>
      <c r="H48" s="43">
        <f t="shared" si="0"/>
        <v>6.0057023745118743</v>
      </c>
      <c r="I48" s="46">
        <f t="shared" si="7"/>
        <v>34.385964912280706</v>
      </c>
      <c r="J48" s="91">
        <v>34.4</v>
      </c>
      <c r="K48" s="67"/>
    </row>
    <row r="49" spans="1:11" x14ac:dyDescent="0.25">
      <c r="A49" s="76"/>
      <c r="B49" s="108">
        <v>285</v>
      </c>
      <c r="C49" s="79">
        <v>2000</v>
      </c>
      <c r="D49" s="42">
        <v>25</v>
      </c>
      <c r="E49" s="72">
        <v>0.28499999999999998</v>
      </c>
      <c r="F49" s="81">
        <f t="shared" si="6"/>
        <v>11.4</v>
      </c>
      <c r="G49" s="74">
        <v>2.7</v>
      </c>
      <c r="H49" s="43">
        <f t="shared" si="0"/>
        <v>6.9862252111668743</v>
      </c>
      <c r="I49" s="46">
        <f t="shared" si="7"/>
        <v>40.000000000000007</v>
      </c>
      <c r="J49" s="91">
        <v>40.1</v>
      </c>
      <c r="K49" s="67"/>
    </row>
    <row r="50" spans="1:11" x14ac:dyDescent="0.25">
      <c r="A50" s="76"/>
      <c r="B50" s="108">
        <v>325</v>
      </c>
      <c r="C50" s="79">
        <v>2000</v>
      </c>
      <c r="D50" s="71">
        <v>25</v>
      </c>
      <c r="E50" s="72">
        <v>0.28499999999999998</v>
      </c>
      <c r="F50" s="81">
        <f t="shared" si="6"/>
        <v>13</v>
      </c>
      <c r="G50" s="74">
        <v>2.7</v>
      </c>
      <c r="H50" s="43">
        <f t="shared" si="0"/>
        <v>7.9667480478218735</v>
      </c>
      <c r="I50" s="46">
        <f t="shared" si="7"/>
        <v>45.614035087719301</v>
      </c>
      <c r="J50" s="91">
        <v>45.8</v>
      </c>
      <c r="K50" s="67"/>
    </row>
    <row r="51" spans="1:11" x14ac:dyDescent="0.25">
      <c r="A51" s="76"/>
      <c r="B51" s="108">
        <v>365</v>
      </c>
      <c r="C51" s="79">
        <v>2000</v>
      </c>
      <c r="D51" s="42">
        <v>25</v>
      </c>
      <c r="E51" s="72">
        <v>0.28499999999999998</v>
      </c>
      <c r="F51" s="81">
        <f t="shared" si="6"/>
        <v>14.6</v>
      </c>
      <c r="G51" s="74">
        <v>2.7</v>
      </c>
      <c r="H51" s="43">
        <f t="shared" si="0"/>
        <v>8.9472708844768736</v>
      </c>
      <c r="I51" s="46">
        <f t="shared" si="7"/>
        <v>51.228070175438603</v>
      </c>
      <c r="J51" s="91">
        <v>51.5</v>
      </c>
      <c r="K51" s="67"/>
    </row>
    <row r="52" spans="1:11" x14ac:dyDescent="0.25">
      <c r="A52" s="76"/>
      <c r="B52" s="108">
        <v>170</v>
      </c>
      <c r="C52" s="79">
        <v>2000</v>
      </c>
      <c r="D52" s="71">
        <v>25</v>
      </c>
      <c r="E52" s="72">
        <v>0.28499999999999998</v>
      </c>
      <c r="F52" s="81">
        <f t="shared" si="6"/>
        <v>6.8</v>
      </c>
      <c r="G52" s="73">
        <v>3.5</v>
      </c>
      <c r="H52" s="43">
        <f t="shared" si="0"/>
        <v>2.4799223499317171</v>
      </c>
      <c r="I52" s="46">
        <f t="shared" si="7"/>
        <v>23.859649122807021</v>
      </c>
      <c r="J52" s="91">
        <v>24</v>
      </c>
      <c r="K52" s="67"/>
    </row>
    <row r="53" spans="1:11" x14ac:dyDescent="0.25">
      <c r="A53" s="76"/>
      <c r="B53" s="108">
        <v>340</v>
      </c>
      <c r="C53" s="79">
        <v>2000</v>
      </c>
      <c r="D53" s="71">
        <v>25</v>
      </c>
      <c r="E53" s="72">
        <v>0.28499999999999998</v>
      </c>
      <c r="F53" s="81">
        <f t="shared" si="6"/>
        <v>13.6</v>
      </c>
      <c r="G53" s="73">
        <v>4.4000000000000004</v>
      </c>
      <c r="H53" s="43">
        <f t="shared" si="0"/>
        <v>3.1383314862255713</v>
      </c>
      <c r="I53" s="46">
        <f t="shared" si="7"/>
        <v>47.719298245614041</v>
      </c>
      <c r="J53" s="91">
        <v>48</v>
      </c>
      <c r="K53" s="67"/>
    </row>
    <row r="54" spans="1:11" x14ac:dyDescent="0.25">
      <c r="A54" s="76"/>
      <c r="B54" s="109">
        <v>685</v>
      </c>
      <c r="C54" s="79">
        <v>2000</v>
      </c>
      <c r="D54" s="71">
        <v>25</v>
      </c>
      <c r="E54" s="72">
        <v>0.28499999999999998</v>
      </c>
      <c r="F54" s="81">
        <f t="shared" si="6"/>
        <v>27.4</v>
      </c>
      <c r="G54" s="73">
        <v>3.5</v>
      </c>
      <c r="H54" s="75">
        <f t="shared" si="0"/>
        <v>9.9926282923719185</v>
      </c>
      <c r="I54" s="47">
        <f>F54/E54</f>
        <v>96.140350877192986</v>
      </c>
      <c r="J54" s="92" t="s">
        <v>60</v>
      </c>
      <c r="K54" s="67"/>
    </row>
    <row r="55" spans="1:11" s="54" customFormat="1" x14ac:dyDescent="0.25">
      <c r="A55" s="105"/>
      <c r="B55" s="110">
        <v>2015</v>
      </c>
      <c r="C55" s="58">
        <v>2000</v>
      </c>
      <c r="D55" s="48">
        <v>25</v>
      </c>
      <c r="E55" s="50">
        <v>0.28499999999999998</v>
      </c>
      <c r="F55" s="68">
        <f>B55/D55</f>
        <v>80.599999999999994</v>
      </c>
      <c r="G55" s="52">
        <v>6</v>
      </c>
      <c r="H55" s="51">
        <f t="shared" si="0"/>
        <v>10.002252174040363</v>
      </c>
      <c r="I55" s="57">
        <f>F55/E55</f>
        <v>282.80701754385967</v>
      </c>
      <c r="J55" s="93" t="s">
        <v>61</v>
      </c>
      <c r="K55" s="77"/>
    </row>
    <row r="56" spans="1:11" x14ac:dyDescent="0.25">
      <c r="A56" s="76">
        <v>20250305</v>
      </c>
      <c r="B56" s="108">
        <v>60</v>
      </c>
      <c r="C56" s="80">
        <v>450</v>
      </c>
      <c r="D56" s="42">
        <v>150</v>
      </c>
      <c r="E56" s="72">
        <v>0.1</v>
      </c>
      <c r="F56" s="81">
        <f>B56/D56</f>
        <v>0.4</v>
      </c>
      <c r="G56" s="73">
        <v>1</v>
      </c>
      <c r="H56" s="43">
        <f t="shared" si="0"/>
        <v>5.0929581789406511</v>
      </c>
      <c r="I56" s="46">
        <f>F56/E56</f>
        <v>4</v>
      </c>
      <c r="J56" s="91">
        <v>3.9</v>
      </c>
      <c r="K56" s="67" t="s">
        <v>98</v>
      </c>
    </row>
    <row r="57" spans="1:11" x14ac:dyDescent="0.25">
      <c r="A57" s="76"/>
      <c r="B57" s="108">
        <v>105</v>
      </c>
      <c r="C57" s="80">
        <v>450</v>
      </c>
      <c r="D57" s="71">
        <v>150</v>
      </c>
      <c r="E57" s="72">
        <v>0.1</v>
      </c>
      <c r="F57" s="66">
        <f>B57/D57</f>
        <v>0.7</v>
      </c>
      <c r="G57" s="73">
        <v>2</v>
      </c>
      <c r="H57" s="43">
        <f t="shared" si="0"/>
        <v>2.2281692032865346</v>
      </c>
      <c r="I57" s="81">
        <f>F57/E57</f>
        <v>6.9999999999999991</v>
      </c>
      <c r="J57" s="91">
        <v>6.3</v>
      </c>
      <c r="K57" s="67"/>
    </row>
    <row r="58" spans="1:11" s="59" customFormat="1" x14ac:dyDescent="0.25">
      <c r="A58" s="106">
        <v>20250305</v>
      </c>
      <c r="B58" s="111">
        <v>180</v>
      </c>
      <c r="C58" s="80">
        <v>450</v>
      </c>
      <c r="D58" s="71">
        <v>150</v>
      </c>
      <c r="E58" s="60">
        <v>0.1</v>
      </c>
      <c r="F58" s="66">
        <f t="shared" ref="F58:F62" si="8">B58/D58</f>
        <v>1.2</v>
      </c>
      <c r="G58" s="61">
        <v>2.7</v>
      </c>
      <c r="H58" s="62">
        <f t="shared" si="0"/>
        <v>2.0958675633500614</v>
      </c>
      <c r="I58" s="81">
        <f t="shared" ref="I58:I61" si="9">F58/E58</f>
        <v>11.999999999999998</v>
      </c>
      <c r="J58" s="94">
        <v>12</v>
      </c>
      <c r="K58" s="82" t="s">
        <v>98</v>
      </c>
    </row>
    <row r="59" spans="1:11" s="59" customFormat="1" x14ac:dyDescent="0.25">
      <c r="A59" s="106">
        <v>20250305</v>
      </c>
      <c r="B59" s="111">
        <v>180</v>
      </c>
      <c r="C59" s="80">
        <v>450</v>
      </c>
      <c r="D59" s="71">
        <v>150</v>
      </c>
      <c r="E59" s="60">
        <v>0.1</v>
      </c>
      <c r="F59" s="66">
        <f t="shared" si="8"/>
        <v>1.2</v>
      </c>
      <c r="G59" s="61">
        <v>2.7</v>
      </c>
      <c r="H59" s="62">
        <f t="shared" si="0"/>
        <v>2.0958675633500614</v>
      </c>
      <c r="I59" s="81">
        <f t="shared" si="9"/>
        <v>11.999999999999998</v>
      </c>
      <c r="J59" s="94">
        <v>12</v>
      </c>
      <c r="K59" s="82" t="s">
        <v>99</v>
      </c>
    </row>
    <row r="60" spans="1:11" s="59" customFormat="1" x14ac:dyDescent="0.25">
      <c r="A60" s="106">
        <v>20250405</v>
      </c>
      <c r="B60" s="111">
        <v>515</v>
      </c>
      <c r="C60" s="80">
        <v>450</v>
      </c>
      <c r="D60" s="63">
        <v>150</v>
      </c>
      <c r="E60" s="60">
        <v>0.1</v>
      </c>
      <c r="F60" s="66">
        <f t="shared" si="8"/>
        <v>3.4333333333333331</v>
      </c>
      <c r="G60" s="61">
        <v>2.7</v>
      </c>
      <c r="H60" s="62">
        <f>I60/PI()/(G60/2)^2</f>
        <v>5.9965099729182318</v>
      </c>
      <c r="I60" s="81">
        <f t="shared" si="9"/>
        <v>34.333333333333329</v>
      </c>
      <c r="J60" s="94">
        <v>34.4</v>
      </c>
      <c r="K60" s="82" t="s">
        <v>99</v>
      </c>
    </row>
    <row r="61" spans="1:11" s="59" customFormat="1" x14ac:dyDescent="0.25">
      <c r="A61" s="106">
        <v>20250409</v>
      </c>
      <c r="B61" s="111">
        <v>360</v>
      </c>
      <c r="C61" s="80">
        <v>450</v>
      </c>
      <c r="D61" s="71">
        <v>150</v>
      </c>
      <c r="E61" s="60">
        <v>0.1</v>
      </c>
      <c r="F61" s="66">
        <f t="shared" si="8"/>
        <v>2.4</v>
      </c>
      <c r="G61" s="64">
        <v>3.5</v>
      </c>
      <c r="H61" s="62">
        <f t="shared" ref="H61" si="10">I61/PI()/(G61/2)^2</f>
        <v>2.4945101284607265</v>
      </c>
      <c r="I61" s="81">
        <f t="shared" si="9"/>
        <v>23.999999999999996</v>
      </c>
      <c r="J61" s="94">
        <v>24</v>
      </c>
      <c r="K61" s="82" t="s">
        <v>99</v>
      </c>
    </row>
    <row r="62" spans="1:11" s="54" customFormat="1" x14ac:dyDescent="0.25">
      <c r="A62" s="105">
        <v>20250817</v>
      </c>
      <c r="B62" s="112">
        <v>1000</v>
      </c>
      <c r="C62" s="65">
        <v>450</v>
      </c>
      <c r="D62" s="48">
        <v>150</v>
      </c>
      <c r="E62" s="50">
        <v>0.1</v>
      </c>
      <c r="F62" s="69">
        <f t="shared" si="8"/>
        <v>6.666666666666667</v>
      </c>
      <c r="G62" s="52">
        <v>3.5</v>
      </c>
      <c r="H62" s="51">
        <f t="shared" ref="H62" si="11">I62/PI()/(G62/2)^2</f>
        <v>6.929194801279797</v>
      </c>
      <c r="I62" s="57">
        <f>F62/E62</f>
        <v>66.666666666666671</v>
      </c>
      <c r="J62" s="95" t="s">
        <v>60</v>
      </c>
      <c r="K62" s="77"/>
    </row>
    <row r="63" spans="1:11" x14ac:dyDescent="0.25">
      <c r="A63" s="76"/>
      <c r="B63" s="108">
        <v>120</v>
      </c>
      <c r="C63" s="80">
        <v>450</v>
      </c>
      <c r="D63" s="71">
        <v>350</v>
      </c>
      <c r="E63" s="72">
        <v>0.109</v>
      </c>
      <c r="F63" s="81">
        <f>B63/D63</f>
        <v>0.34285714285714286</v>
      </c>
      <c r="G63" s="73">
        <v>1</v>
      </c>
      <c r="H63" s="43">
        <f t="shared" ref="H63:H79" si="12">I63/PI()/(G63/2)^2</f>
        <v>4.0049474539507086</v>
      </c>
      <c r="I63" s="81">
        <f>F63/E63</f>
        <v>3.145478374836173</v>
      </c>
      <c r="J63" s="91">
        <v>3.1</v>
      </c>
      <c r="K63" s="67"/>
    </row>
    <row r="64" spans="1:11" x14ac:dyDescent="0.25">
      <c r="A64" s="76"/>
      <c r="B64" s="108">
        <v>150</v>
      </c>
      <c r="C64" s="80">
        <v>450</v>
      </c>
      <c r="D64" s="42">
        <v>350</v>
      </c>
      <c r="E64" s="72">
        <v>0.109</v>
      </c>
      <c r="F64" s="81">
        <f t="shared" ref="F64:F78" si="13">B64/D64</f>
        <v>0.42857142857142855</v>
      </c>
      <c r="G64" s="73">
        <v>1</v>
      </c>
      <c r="H64" s="43">
        <f t="shared" si="12"/>
        <v>5.0061843174383851</v>
      </c>
      <c r="I64" s="81">
        <f t="shared" ref="I64:I75" si="14">F64/E64</f>
        <v>3.9318479685452159</v>
      </c>
      <c r="J64" s="91">
        <v>3.9</v>
      </c>
      <c r="K64" s="67"/>
    </row>
    <row r="65" spans="1:11" x14ac:dyDescent="0.25">
      <c r="A65" s="76"/>
      <c r="B65" s="108">
        <v>240</v>
      </c>
      <c r="C65" s="80">
        <v>450</v>
      </c>
      <c r="D65" s="42">
        <v>350</v>
      </c>
      <c r="E65" s="72">
        <v>0.109</v>
      </c>
      <c r="F65" s="81">
        <f t="shared" si="13"/>
        <v>0.68571428571428572</v>
      </c>
      <c r="G65" s="73">
        <v>2</v>
      </c>
      <c r="H65" s="43">
        <f t="shared" si="12"/>
        <v>2.0024737269753543</v>
      </c>
      <c r="I65" s="81">
        <f t="shared" si="14"/>
        <v>6.290956749672346</v>
      </c>
      <c r="J65" s="91">
        <v>6.3</v>
      </c>
      <c r="K65" s="67"/>
    </row>
    <row r="66" spans="1:11" x14ac:dyDescent="0.25">
      <c r="A66" s="76">
        <v>20250405</v>
      </c>
      <c r="B66" s="108">
        <v>460</v>
      </c>
      <c r="C66" s="80">
        <v>450</v>
      </c>
      <c r="D66" s="71">
        <v>350</v>
      </c>
      <c r="E66" s="72">
        <v>0.109</v>
      </c>
      <c r="F66" s="81">
        <f t="shared" si="13"/>
        <v>1.3142857142857143</v>
      </c>
      <c r="G66" s="74">
        <v>2.7</v>
      </c>
      <c r="H66" s="43">
        <f t="shared" si="12"/>
        <v>2.1059394476649813</v>
      </c>
      <c r="I66" s="81">
        <f t="shared" si="14"/>
        <v>12.057667103538662</v>
      </c>
      <c r="J66" s="91">
        <v>12</v>
      </c>
      <c r="K66" s="67" t="s">
        <v>99</v>
      </c>
    </row>
    <row r="67" spans="1:11" x14ac:dyDescent="0.25">
      <c r="A67" s="76"/>
      <c r="B67" s="108">
        <v>655</v>
      </c>
      <c r="C67" s="80">
        <v>450</v>
      </c>
      <c r="D67" s="71">
        <v>350</v>
      </c>
      <c r="E67" s="72">
        <v>0.109</v>
      </c>
      <c r="F67" s="81">
        <f t="shared" si="13"/>
        <v>1.8714285714285714</v>
      </c>
      <c r="G67" s="74">
        <v>2.7</v>
      </c>
      <c r="H67" s="43">
        <f t="shared" si="12"/>
        <v>2.9986746483055713</v>
      </c>
      <c r="I67" s="81">
        <f t="shared" si="14"/>
        <v>17.169069462647446</v>
      </c>
      <c r="J67" s="91">
        <v>17.2</v>
      </c>
      <c r="K67" s="67"/>
    </row>
    <row r="68" spans="1:11" x14ac:dyDescent="0.25">
      <c r="A68" s="76"/>
      <c r="B68" s="108">
        <v>875</v>
      </c>
      <c r="C68" s="80">
        <v>450</v>
      </c>
      <c r="D68" s="71">
        <v>350</v>
      </c>
      <c r="E68" s="72">
        <v>0.109</v>
      </c>
      <c r="F68" s="81">
        <f t="shared" si="13"/>
        <v>2.5</v>
      </c>
      <c r="G68" s="74">
        <v>2.7</v>
      </c>
      <c r="H68" s="43">
        <f t="shared" si="12"/>
        <v>4.0058630797975194</v>
      </c>
      <c r="I68" s="81">
        <f t="shared" si="14"/>
        <v>22.935779816513762</v>
      </c>
      <c r="J68" s="91">
        <v>22.9</v>
      </c>
      <c r="K68" s="67"/>
    </row>
    <row r="69" spans="1:11" x14ac:dyDescent="0.25">
      <c r="A69" s="76"/>
      <c r="B69" s="108">
        <v>1095</v>
      </c>
      <c r="C69" s="80">
        <v>450</v>
      </c>
      <c r="D69" s="71">
        <v>350</v>
      </c>
      <c r="E69" s="72">
        <v>0.109</v>
      </c>
      <c r="F69" s="81">
        <f t="shared" si="13"/>
        <v>3.1285714285714286</v>
      </c>
      <c r="G69" s="74">
        <v>2.7</v>
      </c>
      <c r="H69" s="43">
        <f t="shared" si="12"/>
        <v>5.0130515112894658</v>
      </c>
      <c r="I69" s="81">
        <f t="shared" si="14"/>
        <v>28.702490170380077</v>
      </c>
      <c r="J69" s="91">
        <v>28.6</v>
      </c>
      <c r="K69" s="67"/>
    </row>
    <row r="70" spans="1:11" x14ac:dyDescent="0.25">
      <c r="A70" s="76"/>
      <c r="B70" s="108">
        <v>1310</v>
      </c>
      <c r="C70" s="80">
        <v>450</v>
      </c>
      <c r="D70" s="71">
        <v>350</v>
      </c>
      <c r="E70" s="72">
        <v>0.109</v>
      </c>
      <c r="F70" s="81">
        <f t="shared" si="13"/>
        <v>3.7428571428571429</v>
      </c>
      <c r="G70" s="74">
        <v>2.7</v>
      </c>
      <c r="H70" s="43">
        <f t="shared" si="12"/>
        <v>5.9973492966111426</v>
      </c>
      <c r="I70" s="81">
        <f t="shared" si="14"/>
        <v>34.338138925294892</v>
      </c>
      <c r="J70" s="91">
        <v>34.4</v>
      </c>
      <c r="K70" s="67"/>
    </row>
    <row r="71" spans="1:11" x14ac:dyDescent="0.25">
      <c r="A71" s="76"/>
      <c r="B71" s="108">
        <v>1530</v>
      </c>
      <c r="C71" s="80">
        <v>450</v>
      </c>
      <c r="D71" s="71">
        <v>350</v>
      </c>
      <c r="E71" s="72">
        <v>0.109</v>
      </c>
      <c r="F71" s="81">
        <f t="shared" si="13"/>
        <v>4.371428571428571</v>
      </c>
      <c r="G71" s="74">
        <v>2.7</v>
      </c>
      <c r="H71" s="43">
        <f t="shared" si="12"/>
        <v>7.0045377281030898</v>
      </c>
      <c r="I71" s="81">
        <f t="shared" si="14"/>
        <v>40.104849279161201</v>
      </c>
      <c r="J71" s="91">
        <v>40.1</v>
      </c>
      <c r="K71" s="67"/>
    </row>
    <row r="72" spans="1:11" x14ac:dyDescent="0.25">
      <c r="A72" s="76"/>
      <c r="B72" s="108">
        <v>1750</v>
      </c>
      <c r="C72" s="80">
        <v>450</v>
      </c>
      <c r="D72" s="71">
        <v>350</v>
      </c>
      <c r="E72" s="72">
        <v>0.109</v>
      </c>
      <c r="F72" s="81">
        <f t="shared" si="13"/>
        <v>5</v>
      </c>
      <c r="G72" s="74">
        <v>2.7</v>
      </c>
      <c r="H72" s="43">
        <f t="shared" si="12"/>
        <v>8.0117261595950389</v>
      </c>
      <c r="I72" s="81">
        <f t="shared" si="14"/>
        <v>45.871559633027523</v>
      </c>
      <c r="J72" s="91">
        <v>45.8</v>
      </c>
      <c r="K72" s="67"/>
    </row>
    <row r="73" spans="1:11" x14ac:dyDescent="0.25">
      <c r="A73" s="76"/>
      <c r="B73" s="108">
        <v>1965</v>
      </c>
      <c r="C73" s="80">
        <v>450</v>
      </c>
      <c r="D73" s="71">
        <v>350</v>
      </c>
      <c r="E73" s="72">
        <v>0.109</v>
      </c>
      <c r="F73" s="81">
        <f t="shared" si="13"/>
        <v>5.6142857142857139</v>
      </c>
      <c r="G73" s="74">
        <v>2.7</v>
      </c>
      <c r="H73" s="43">
        <f t="shared" si="12"/>
        <v>8.996023944916713</v>
      </c>
      <c r="I73" s="81">
        <f t="shared" si="14"/>
        <v>51.507208387942327</v>
      </c>
      <c r="J73" s="91">
        <v>51.5</v>
      </c>
      <c r="K73" s="67"/>
    </row>
    <row r="74" spans="1:11" x14ac:dyDescent="0.25">
      <c r="A74" s="76"/>
      <c r="B74" s="108">
        <v>920</v>
      </c>
      <c r="C74" s="80">
        <v>450</v>
      </c>
      <c r="D74" s="71">
        <v>350</v>
      </c>
      <c r="E74" s="72">
        <v>0.109</v>
      </c>
      <c r="F74" s="81">
        <f t="shared" si="13"/>
        <v>2.6285714285714286</v>
      </c>
      <c r="G74" s="73">
        <v>3.5</v>
      </c>
      <c r="H74" s="43">
        <f t="shared" si="12"/>
        <v>2.5064977262820758</v>
      </c>
      <c r="I74" s="81">
        <f t="shared" si="14"/>
        <v>24.115334207077325</v>
      </c>
      <c r="J74" s="91">
        <v>24</v>
      </c>
      <c r="K74" s="67"/>
    </row>
    <row r="75" spans="1:11" x14ac:dyDescent="0.25">
      <c r="A75" s="76"/>
      <c r="B75" s="108">
        <v>1835</v>
      </c>
      <c r="C75" s="80">
        <v>450</v>
      </c>
      <c r="D75" s="71">
        <v>350</v>
      </c>
      <c r="E75" s="72">
        <v>0.109</v>
      </c>
      <c r="F75" s="81">
        <f t="shared" si="13"/>
        <v>5.2428571428571429</v>
      </c>
      <c r="G75" s="73">
        <v>4.4000000000000004</v>
      </c>
      <c r="H75" s="43">
        <f t="shared" si="12"/>
        <v>3.1633430518248749</v>
      </c>
      <c r="I75" s="81">
        <f t="shared" si="14"/>
        <v>48.099606815203146</v>
      </c>
      <c r="J75" s="91">
        <v>48</v>
      </c>
      <c r="K75" s="67"/>
    </row>
    <row r="76" spans="1:11" x14ac:dyDescent="0.25">
      <c r="A76" s="76">
        <v>20250306</v>
      </c>
      <c r="B76" s="108">
        <v>2000</v>
      </c>
      <c r="C76" s="80">
        <v>450</v>
      </c>
      <c r="D76" s="71">
        <v>350</v>
      </c>
      <c r="E76" s="72">
        <v>0.105</v>
      </c>
      <c r="F76" s="81">
        <f t="shared" si="13"/>
        <v>5.7142857142857144</v>
      </c>
      <c r="G76" s="73">
        <v>3.5</v>
      </c>
      <c r="H76" s="75">
        <f t="shared" si="12"/>
        <v>5.6564855520651411</v>
      </c>
      <c r="I76" s="55">
        <f>F76/E76</f>
        <v>54.421768707482997</v>
      </c>
      <c r="J76" s="92" t="s">
        <v>60</v>
      </c>
      <c r="K76" s="67" t="s">
        <v>98</v>
      </c>
    </row>
    <row r="77" spans="1:11" x14ac:dyDescent="0.25">
      <c r="A77" s="76">
        <v>20250306</v>
      </c>
      <c r="B77" s="108">
        <v>2400</v>
      </c>
      <c r="C77" s="80">
        <v>450</v>
      </c>
      <c r="D77" s="71">
        <v>350</v>
      </c>
      <c r="E77" s="72">
        <v>0.109</v>
      </c>
      <c r="F77" s="81">
        <f t="shared" si="13"/>
        <v>6.8571428571428568</v>
      </c>
      <c r="G77" s="73">
        <v>3.5</v>
      </c>
      <c r="H77" s="75">
        <f t="shared" si="12"/>
        <v>6.5386897207358503</v>
      </c>
      <c r="I77" s="55">
        <f>F77/E77</f>
        <v>62.909567496723454</v>
      </c>
      <c r="J77" s="92" t="s">
        <v>60</v>
      </c>
      <c r="K77" s="67" t="s">
        <v>98</v>
      </c>
    </row>
    <row r="78" spans="1:11" x14ac:dyDescent="0.25">
      <c r="A78" s="76"/>
      <c r="B78" s="109">
        <v>3333</v>
      </c>
      <c r="C78" s="80">
        <v>450</v>
      </c>
      <c r="D78" s="71">
        <v>350</v>
      </c>
      <c r="E78" s="72">
        <v>0.109</v>
      </c>
      <c r="F78" s="81">
        <f t="shared" si="13"/>
        <v>9.5228571428571431</v>
      </c>
      <c r="G78" s="73">
        <v>3.5</v>
      </c>
      <c r="H78" s="75">
        <f>I78/PI()/(G78/2)^2</f>
        <v>9.080605349671913</v>
      </c>
      <c r="I78" s="47">
        <f>F78/E78</f>
        <v>87.365661861074713</v>
      </c>
      <c r="J78" s="92" t="s">
        <v>60</v>
      </c>
      <c r="K78" s="67"/>
    </row>
    <row r="79" spans="1:11" s="54" customFormat="1" ht="16.5" thickBot="1" x14ac:dyDescent="0.3">
      <c r="A79" s="107"/>
      <c r="B79" s="113">
        <v>10000</v>
      </c>
      <c r="C79" s="83">
        <v>450</v>
      </c>
      <c r="D79" s="84">
        <v>350</v>
      </c>
      <c r="E79" s="85">
        <v>0.109</v>
      </c>
      <c r="F79" s="98">
        <f>B79/D79</f>
        <v>28.571428571428573</v>
      </c>
      <c r="G79" s="86">
        <v>6</v>
      </c>
      <c r="H79" s="87">
        <f t="shared" si="12"/>
        <v>9.2707116989599747</v>
      </c>
      <c r="I79" s="88">
        <f>F79/E79</f>
        <v>262.12319790301444</v>
      </c>
      <c r="J79" s="96" t="s">
        <v>61</v>
      </c>
      <c r="K79" s="89"/>
    </row>
  </sheetData>
  <pageMargins left="0.25" right="0.25" top="0.75" bottom="0.75" header="0.3" footer="0.3"/>
  <pageSetup scale="95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B262-482F-48D7-B237-62BF4BDAE516}">
  <sheetPr>
    <tabColor rgb="FFFECF72"/>
  </sheetPr>
  <dimension ref="A1:M69"/>
  <sheetViews>
    <sheetView tabSelected="1" topLeftCell="F2" zoomScale="130" zoomScaleNormal="130" workbookViewId="0">
      <selection activeCell="H4" sqref="H4"/>
    </sheetView>
  </sheetViews>
  <sheetFormatPr defaultColWidth="0" defaultRowHeight="15" zeroHeight="1" x14ac:dyDescent="0.25"/>
  <cols>
    <col min="1" max="1" width="15.5703125" style="27" hidden="1" customWidth="1"/>
    <col min="2" max="2" width="34.7109375" style="10" hidden="1" customWidth="1"/>
    <col min="3" max="3" width="5.85546875" style="10" hidden="1" customWidth="1"/>
    <col min="4" max="4" width="5.5703125" style="10" hidden="1" customWidth="1"/>
    <col min="5" max="5" width="0" style="10" hidden="1" customWidth="1"/>
    <col min="6" max="6" width="15.5703125" style="27" bestFit="1" customWidth="1"/>
    <col min="7" max="7" width="24.140625" style="10" customWidth="1"/>
    <col min="8" max="8" width="10" style="10" customWidth="1"/>
    <col min="9" max="9" width="7.5703125" style="10" customWidth="1"/>
    <col min="10" max="10" width="8.7109375" style="10" customWidth="1"/>
    <col min="11" max="13" width="0" style="10" hidden="1" customWidth="1"/>
    <col min="14" max="16384" width="8.7109375" style="10" hidden="1"/>
  </cols>
  <sheetData>
    <row r="1" spans="1:9" ht="15.75" hidden="1" thickBot="1" x14ac:dyDescent="0.3"/>
    <row r="2" spans="1:9" ht="15.75" x14ac:dyDescent="0.25">
      <c r="A2" s="124" t="s">
        <v>63</v>
      </c>
      <c r="B2" s="125"/>
      <c r="C2" s="125"/>
      <c r="D2" s="126"/>
      <c r="F2" s="121" t="s">
        <v>83</v>
      </c>
      <c r="G2" s="122"/>
      <c r="H2" s="122"/>
      <c r="I2" s="123"/>
    </row>
    <row r="3" spans="1:9" x14ac:dyDescent="0.25">
      <c r="A3" s="6" t="s">
        <v>41</v>
      </c>
      <c r="B3" s="7" t="s">
        <v>5</v>
      </c>
      <c r="C3" s="33">
        <v>45</v>
      </c>
      <c r="D3" s="9" t="s">
        <v>66</v>
      </c>
      <c r="F3" s="34" t="s">
        <v>41</v>
      </c>
      <c r="G3" s="7" t="s">
        <v>5</v>
      </c>
      <c r="H3" s="35">
        <v>510</v>
      </c>
      <c r="I3" s="9" t="s">
        <v>66</v>
      </c>
    </row>
    <row r="4" spans="1:9" x14ac:dyDescent="0.25">
      <c r="A4" s="6"/>
      <c r="B4" s="7" t="s">
        <v>3</v>
      </c>
      <c r="C4" s="8">
        <v>3.1</v>
      </c>
      <c r="D4" s="9" t="s">
        <v>4</v>
      </c>
      <c r="F4" s="6"/>
      <c r="G4" s="7" t="s">
        <v>3</v>
      </c>
      <c r="H4" s="36">
        <v>34.4</v>
      </c>
      <c r="I4" s="9" t="s">
        <v>4</v>
      </c>
    </row>
    <row r="5" spans="1:9" x14ac:dyDescent="0.25">
      <c r="A5" s="6"/>
      <c r="B5" s="7" t="s">
        <v>18</v>
      </c>
      <c r="C5" s="28">
        <v>19</v>
      </c>
      <c r="D5" s="9"/>
      <c r="F5" s="6"/>
      <c r="G5" s="7" t="s">
        <v>18</v>
      </c>
      <c r="H5" s="37">
        <v>24</v>
      </c>
      <c r="I5" s="9"/>
    </row>
    <row r="6" spans="1:9" x14ac:dyDescent="0.25">
      <c r="A6" s="6"/>
      <c r="B6" s="7" t="s">
        <v>6</v>
      </c>
      <c r="C6" s="28">
        <v>1</v>
      </c>
      <c r="D6" s="9" t="s">
        <v>19</v>
      </c>
      <c r="F6" s="6"/>
      <c r="G6" s="7" t="s">
        <v>6</v>
      </c>
      <c r="H6" s="37">
        <v>1</v>
      </c>
      <c r="I6" s="9" t="s">
        <v>19</v>
      </c>
    </row>
    <row r="7" spans="1:9" x14ac:dyDescent="0.25">
      <c r="A7" s="6"/>
      <c r="B7" s="7"/>
      <c r="C7" s="7"/>
      <c r="D7" s="29"/>
      <c r="F7" s="6"/>
      <c r="G7" s="7"/>
      <c r="H7" s="7"/>
      <c r="I7" s="29"/>
    </row>
    <row r="8" spans="1:9" hidden="1" x14ac:dyDescent="0.25">
      <c r="A8" s="6" t="s">
        <v>0</v>
      </c>
      <c r="B8" s="7" t="s">
        <v>45</v>
      </c>
      <c r="C8" s="12">
        <v>5</v>
      </c>
      <c r="D8" s="9" t="s">
        <v>3</v>
      </c>
      <c r="F8" s="6" t="s">
        <v>0</v>
      </c>
      <c r="G8" s="7" t="s">
        <v>45</v>
      </c>
      <c r="H8" s="12">
        <v>5</v>
      </c>
      <c r="I8" s="9" t="s">
        <v>3</v>
      </c>
    </row>
    <row r="9" spans="1:9" hidden="1" x14ac:dyDescent="0.25">
      <c r="A9" s="6"/>
      <c r="B9" s="7" t="s">
        <v>15</v>
      </c>
      <c r="C9" s="16">
        <v>25</v>
      </c>
      <c r="D9" s="9" t="s">
        <v>4</v>
      </c>
      <c r="F9" s="6"/>
      <c r="G9" s="7" t="s">
        <v>15</v>
      </c>
      <c r="H9" s="16">
        <v>25</v>
      </c>
      <c r="I9" s="9" t="s">
        <v>4</v>
      </c>
    </row>
    <row r="10" spans="1:9" hidden="1" x14ac:dyDescent="0.25">
      <c r="A10" s="6"/>
      <c r="B10" s="7" t="s">
        <v>16</v>
      </c>
      <c r="C10" s="16">
        <v>40</v>
      </c>
      <c r="D10" s="9" t="s">
        <v>4</v>
      </c>
      <c r="F10" s="6"/>
      <c r="G10" s="10" t="s">
        <v>16</v>
      </c>
      <c r="H10" s="16">
        <v>40</v>
      </c>
      <c r="I10" s="9" t="s">
        <v>4</v>
      </c>
    </row>
    <row r="11" spans="1:9" hidden="1" x14ac:dyDescent="0.25">
      <c r="A11" s="6"/>
      <c r="B11" s="7" t="s">
        <v>47</v>
      </c>
      <c r="C11" s="16">
        <v>140</v>
      </c>
      <c r="D11" s="9" t="s">
        <v>4</v>
      </c>
      <c r="F11" s="6"/>
      <c r="G11" s="10" t="s">
        <v>47</v>
      </c>
      <c r="H11" s="16">
        <v>140</v>
      </c>
      <c r="I11" s="9" t="s">
        <v>4</v>
      </c>
    </row>
    <row r="12" spans="1:9" hidden="1" x14ac:dyDescent="0.25">
      <c r="A12" s="6"/>
      <c r="B12" s="7" t="s">
        <v>48</v>
      </c>
      <c r="C12" s="14">
        <v>12</v>
      </c>
      <c r="D12" s="9" t="s">
        <v>3</v>
      </c>
      <c r="F12" s="6"/>
      <c r="G12" s="10" t="s">
        <v>48</v>
      </c>
      <c r="H12" s="15">
        <f>IFERROR(_xlfn.XLOOKUP(H4,'Drop Down'!A3:A53,'Drop Down'!B3:B53),"")</f>
        <v>4</v>
      </c>
      <c r="I12" s="9" t="s">
        <v>3</v>
      </c>
    </row>
    <row r="13" spans="1:9" hidden="1" x14ac:dyDescent="0.25">
      <c r="A13" s="6"/>
      <c r="B13" s="7"/>
      <c r="C13" s="11"/>
      <c r="D13" s="9"/>
      <c r="F13" s="6"/>
      <c r="H13" s="11"/>
      <c r="I13" s="9"/>
    </row>
    <row r="14" spans="1:9" hidden="1" x14ac:dyDescent="0.25">
      <c r="A14" s="6" t="s">
        <v>40</v>
      </c>
      <c r="B14" s="7" t="s">
        <v>20</v>
      </c>
      <c r="C14" s="16">
        <v>50</v>
      </c>
      <c r="D14" s="9" t="s">
        <v>4</v>
      </c>
      <c r="F14" s="6" t="s">
        <v>40</v>
      </c>
      <c r="G14" s="10" t="s">
        <v>20</v>
      </c>
      <c r="H14" s="16">
        <v>50</v>
      </c>
      <c r="I14" s="9" t="s">
        <v>4</v>
      </c>
    </row>
    <row r="15" spans="1:9" hidden="1" x14ac:dyDescent="0.25">
      <c r="A15" s="6"/>
      <c r="B15" s="7" t="s">
        <v>43</v>
      </c>
      <c r="C15" s="14">
        <v>4.5</v>
      </c>
      <c r="D15" s="9" t="s">
        <v>3</v>
      </c>
      <c r="F15" s="6"/>
      <c r="G15" s="10" t="s">
        <v>43</v>
      </c>
      <c r="H15" s="14">
        <v>4.5</v>
      </c>
      <c r="I15" s="9" t="s">
        <v>3</v>
      </c>
    </row>
    <row r="16" spans="1:9" hidden="1" x14ac:dyDescent="0.25">
      <c r="A16" s="6"/>
      <c r="B16" s="7" t="s">
        <v>44</v>
      </c>
      <c r="C16" s="14">
        <v>8</v>
      </c>
      <c r="D16" s="9" t="s">
        <v>3</v>
      </c>
      <c r="F16" s="6"/>
      <c r="G16" s="10" t="s">
        <v>44</v>
      </c>
      <c r="H16" s="15">
        <f>IFERROR(_xlfn.XLOOKUP(H4,'Drop Down'!A3:A53,'Drop Down'!C3:C53),"")</f>
        <v>4</v>
      </c>
      <c r="I16" s="9" t="s">
        <v>3</v>
      </c>
    </row>
    <row r="17" spans="1:13" hidden="1" x14ac:dyDescent="0.25">
      <c r="A17" s="6"/>
      <c r="B17" s="7"/>
      <c r="C17" s="11"/>
      <c r="D17" s="9"/>
      <c r="F17" s="6"/>
      <c r="H17" s="11"/>
      <c r="I17" s="9"/>
    </row>
    <row r="18" spans="1:13" hidden="1" x14ac:dyDescent="0.25">
      <c r="A18" s="6" t="s">
        <v>12</v>
      </c>
      <c r="B18" s="7" t="s">
        <v>46</v>
      </c>
      <c r="C18" s="16">
        <v>16</v>
      </c>
      <c r="D18" s="9" t="s">
        <v>4</v>
      </c>
      <c r="F18" s="6" t="s">
        <v>12</v>
      </c>
      <c r="G18" s="10" t="s">
        <v>46</v>
      </c>
      <c r="H18" s="16">
        <v>16</v>
      </c>
      <c r="I18" s="9" t="s">
        <v>4</v>
      </c>
    </row>
    <row r="19" spans="1:13" hidden="1" x14ac:dyDescent="0.25">
      <c r="A19" s="6"/>
      <c r="B19" s="7" t="s">
        <v>49</v>
      </c>
      <c r="C19" s="8">
        <v>4</v>
      </c>
      <c r="D19" s="9" t="s">
        <v>13</v>
      </c>
      <c r="F19" s="6"/>
      <c r="G19" s="10" t="s">
        <v>49</v>
      </c>
      <c r="H19" s="30">
        <f>IFERROR(_xlfn.XLOOKUP(H4,'Drop Down'!A3:A53,'Drop Down'!D3:D53),"")</f>
        <v>2</v>
      </c>
      <c r="I19" s="9" t="s">
        <v>13</v>
      </c>
      <c r="M19" s="31"/>
    </row>
    <row r="20" spans="1:13" hidden="1" x14ac:dyDescent="0.25">
      <c r="A20" s="6"/>
      <c r="B20" s="7" t="s">
        <v>9</v>
      </c>
      <c r="C20" s="14">
        <v>0.12</v>
      </c>
      <c r="D20" s="9" t="s">
        <v>7</v>
      </c>
      <c r="F20" s="6"/>
      <c r="G20" s="10" t="s">
        <v>9</v>
      </c>
      <c r="H20" s="14">
        <v>0.12</v>
      </c>
      <c r="I20" s="9" t="s">
        <v>7</v>
      </c>
      <c r="M20" s="31"/>
    </row>
    <row r="21" spans="1:13" hidden="1" x14ac:dyDescent="0.25">
      <c r="A21" s="6"/>
      <c r="B21" s="7" t="s">
        <v>65</v>
      </c>
      <c r="C21" s="32">
        <v>0.6</v>
      </c>
      <c r="D21" s="9"/>
      <c r="F21" s="6"/>
      <c r="G21" s="10" t="s">
        <v>65</v>
      </c>
      <c r="H21" s="32">
        <v>0.6</v>
      </c>
      <c r="I21" s="9"/>
      <c r="M21" s="31"/>
    </row>
    <row r="22" spans="1:13" hidden="1" x14ac:dyDescent="0.25">
      <c r="A22" s="6"/>
      <c r="B22" s="7" t="s">
        <v>50</v>
      </c>
      <c r="C22" s="14">
        <v>1</v>
      </c>
      <c r="D22" s="9" t="s">
        <v>3</v>
      </c>
      <c r="F22" s="6"/>
      <c r="G22" s="10" t="s">
        <v>50</v>
      </c>
      <c r="H22" s="15">
        <f>IFERROR(_xlfn.XLOOKUP(H4,'Drop Down'!A3:A53,'Drop Down'!E3:E53),"")</f>
        <v>0.5</v>
      </c>
      <c r="I22" s="9" t="s">
        <v>3</v>
      </c>
      <c r="M22" s="31"/>
    </row>
    <row r="23" spans="1:13" hidden="1" x14ac:dyDescent="0.25">
      <c r="A23" s="6"/>
      <c r="B23" s="7"/>
      <c r="C23" s="11"/>
      <c r="D23" s="9"/>
      <c r="F23" s="6"/>
      <c r="H23" s="11"/>
      <c r="I23" s="9"/>
    </row>
    <row r="24" spans="1:13" hidden="1" x14ac:dyDescent="0.25">
      <c r="A24" s="6" t="s">
        <v>24</v>
      </c>
      <c r="B24" s="7" t="s">
        <v>53</v>
      </c>
      <c r="C24" s="8">
        <v>10</v>
      </c>
      <c r="D24" s="9" t="s">
        <v>13</v>
      </c>
      <c r="F24" s="6" t="s">
        <v>24</v>
      </c>
      <c r="G24" s="10" t="s">
        <v>53</v>
      </c>
      <c r="H24" s="11" t="s">
        <v>67</v>
      </c>
      <c r="I24" s="9" t="s">
        <v>13</v>
      </c>
    </row>
    <row r="25" spans="1:13" hidden="1" x14ac:dyDescent="0.25">
      <c r="A25" s="6"/>
      <c r="B25" s="7" t="s">
        <v>23</v>
      </c>
      <c r="C25" s="12">
        <v>0.05</v>
      </c>
      <c r="D25" s="9" t="s">
        <v>7</v>
      </c>
      <c r="F25" s="6"/>
      <c r="G25" s="10" t="s">
        <v>23</v>
      </c>
      <c r="H25" s="12">
        <v>0.05</v>
      </c>
      <c r="I25" s="9" t="s">
        <v>7</v>
      </c>
    </row>
    <row r="26" spans="1:13" hidden="1" x14ac:dyDescent="0.25">
      <c r="A26" s="6"/>
      <c r="B26" s="7" t="s">
        <v>24</v>
      </c>
      <c r="C26" s="13">
        <f>C3/1000*C24/C25/C4</f>
        <v>2.9032258064516121</v>
      </c>
      <c r="D26" s="9" t="s">
        <v>3</v>
      </c>
      <c r="F26" s="6"/>
      <c r="G26" s="10" t="s">
        <v>24</v>
      </c>
      <c r="H26" s="13">
        <f>IFERROR(_xlfn.XLOOKUP(H4,'Drop Down'!A3:A53,'Drop Down'!F3:F53),"")</f>
        <v>1.31</v>
      </c>
      <c r="I26" s="9" t="s">
        <v>3</v>
      </c>
    </row>
    <row r="27" spans="1:13" hidden="1" x14ac:dyDescent="0.25">
      <c r="A27" s="6"/>
      <c r="B27" s="7" t="s">
        <v>51</v>
      </c>
      <c r="C27" s="14">
        <v>7</v>
      </c>
      <c r="D27" s="9" t="s">
        <v>3</v>
      </c>
      <c r="F27" s="6"/>
      <c r="G27" s="10" t="s">
        <v>51</v>
      </c>
      <c r="H27" s="15">
        <f>IFERROR(_xlfn.XLOOKUP(H4,'Drop Down'!A3:A53,'Drop Down'!G3:G53),"")</f>
        <v>2.2000000000000002</v>
      </c>
      <c r="I27" s="9" t="s">
        <v>3</v>
      </c>
    </row>
    <row r="28" spans="1:13" hidden="1" x14ac:dyDescent="0.25">
      <c r="A28" s="6"/>
      <c r="B28" s="7"/>
      <c r="C28" s="11"/>
      <c r="D28" s="9"/>
      <c r="F28" s="6"/>
      <c r="H28" s="11"/>
      <c r="I28" s="9"/>
    </row>
    <row r="29" spans="1:13" x14ac:dyDescent="0.25">
      <c r="A29" s="6" t="s">
        <v>1</v>
      </c>
      <c r="B29" s="7" t="s">
        <v>26</v>
      </c>
      <c r="C29" s="28">
        <v>0</v>
      </c>
      <c r="D29" s="9"/>
      <c r="F29" s="6" t="s">
        <v>1</v>
      </c>
      <c r="G29" s="10" t="s">
        <v>26</v>
      </c>
      <c r="H29" s="37">
        <v>4</v>
      </c>
      <c r="I29" s="9"/>
    </row>
    <row r="30" spans="1:13" hidden="1" x14ac:dyDescent="0.25">
      <c r="A30" s="6"/>
      <c r="B30" s="7" t="s">
        <v>52</v>
      </c>
      <c r="C30" s="8">
        <v>40</v>
      </c>
      <c r="D30" s="9" t="s">
        <v>13</v>
      </c>
      <c r="F30" s="6"/>
      <c r="G30" s="10" t="s">
        <v>52</v>
      </c>
      <c r="H30" s="11" t="s">
        <v>67</v>
      </c>
      <c r="I30" s="9" t="s">
        <v>13</v>
      </c>
    </row>
    <row r="31" spans="1:13" hidden="1" x14ac:dyDescent="0.25">
      <c r="A31" s="6"/>
      <c r="B31" s="7" t="s">
        <v>27</v>
      </c>
      <c r="C31" s="12">
        <v>0.2</v>
      </c>
      <c r="D31" s="9" t="s">
        <v>7</v>
      </c>
      <c r="F31" s="6"/>
      <c r="G31" s="10" t="s">
        <v>27</v>
      </c>
      <c r="H31" s="12">
        <v>0.2</v>
      </c>
      <c r="I31" s="9" t="s">
        <v>7</v>
      </c>
    </row>
    <row r="32" spans="1:13" hidden="1" x14ac:dyDescent="0.25">
      <c r="A32" s="6"/>
      <c r="B32" s="7" t="s">
        <v>1</v>
      </c>
      <c r="C32" s="13">
        <f>C3/1000*C30/C31/C4</f>
        <v>2.9032258064516121</v>
      </c>
      <c r="D32" s="9" t="s">
        <v>3</v>
      </c>
      <c r="F32" s="6"/>
      <c r="G32" s="10" t="s">
        <v>1</v>
      </c>
      <c r="H32" s="13">
        <f>IFERROR(_xlfn.XLOOKUP(H4,'Drop Down'!A3:A53,'Drop Down'!H3:H53),"")</f>
        <v>1.05</v>
      </c>
      <c r="I32" s="9" t="s">
        <v>3</v>
      </c>
    </row>
    <row r="33" spans="1:9" hidden="1" x14ac:dyDescent="0.25">
      <c r="A33" s="6"/>
      <c r="B33" s="7" t="s">
        <v>54</v>
      </c>
      <c r="C33" s="14">
        <v>5</v>
      </c>
      <c r="D33" s="9" t="s">
        <v>3</v>
      </c>
      <c r="F33" s="6"/>
      <c r="G33" s="10" t="s">
        <v>54</v>
      </c>
      <c r="H33" s="15">
        <f>IFERROR(_xlfn.XLOOKUP(H4,'Drop Down'!A3:A53,'Drop Down'!I3:I53),"")</f>
        <v>1.7</v>
      </c>
      <c r="I33" s="9" t="s">
        <v>3</v>
      </c>
    </row>
    <row r="34" spans="1:9" hidden="1" x14ac:dyDescent="0.25">
      <c r="A34" s="6"/>
      <c r="B34" s="7"/>
      <c r="C34" s="11"/>
      <c r="D34" s="9"/>
      <c r="F34" s="6"/>
      <c r="H34" s="11"/>
      <c r="I34" s="9"/>
    </row>
    <row r="35" spans="1:9" x14ac:dyDescent="0.25">
      <c r="A35" s="6" t="s">
        <v>68</v>
      </c>
      <c r="B35" s="7" t="s">
        <v>69</v>
      </c>
      <c r="C35" s="28">
        <v>2</v>
      </c>
      <c r="D35" s="9"/>
      <c r="F35" s="6" t="s">
        <v>68</v>
      </c>
      <c r="G35" s="7" t="s">
        <v>82</v>
      </c>
      <c r="H35" s="37">
        <v>0</v>
      </c>
      <c r="I35" s="9"/>
    </row>
    <row r="36" spans="1:9" hidden="1" x14ac:dyDescent="0.25">
      <c r="A36" s="6"/>
      <c r="B36" s="7" t="s">
        <v>75</v>
      </c>
      <c r="C36" s="8">
        <v>117.1</v>
      </c>
      <c r="D36" s="9" t="s">
        <v>13</v>
      </c>
      <c r="F36" s="6"/>
      <c r="G36" s="7" t="s">
        <v>75</v>
      </c>
      <c r="H36" s="11" t="s">
        <v>67</v>
      </c>
      <c r="I36" s="9" t="s">
        <v>13</v>
      </c>
    </row>
    <row r="37" spans="1:9" hidden="1" x14ac:dyDescent="0.25">
      <c r="A37" s="6"/>
      <c r="B37" s="7" t="s">
        <v>70</v>
      </c>
      <c r="C37" s="12">
        <v>0.5</v>
      </c>
      <c r="D37" s="9" t="s">
        <v>7</v>
      </c>
      <c r="F37" s="6"/>
      <c r="G37" s="7" t="s">
        <v>70</v>
      </c>
      <c r="H37" s="12">
        <v>0.5</v>
      </c>
      <c r="I37" s="9" t="s">
        <v>7</v>
      </c>
    </row>
    <row r="38" spans="1:9" hidden="1" x14ac:dyDescent="0.25">
      <c r="A38" s="6"/>
      <c r="B38" s="7" t="s">
        <v>68</v>
      </c>
      <c r="C38" s="13">
        <f>C3/1000*C36/C37/C4</f>
        <v>3.3996774193548385</v>
      </c>
      <c r="D38" s="9" t="s">
        <v>3</v>
      </c>
      <c r="F38" s="6"/>
      <c r="G38" s="7" t="s">
        <v>68</v>
      </c>
      <c r="H38" s="13">
        <f>IFERROR(_xlfn.XLOOKUP(H4,'Drop Down'!A3:A53,'Drop Down'!J3:J53),"")</f>
        <v>0</v>
      </c>
      <c r="I38" s="9" t="s">
        <v>3</v>
      </c>
    </row>
    <row r="39" spans="1:9" hidden="1" x14ac:dyDescent="0.25">
      <c r="A39" s="6"/>
      <c r="B39" s="7" t="s">
        <v>71</v>
      </c>
      <c r="C39" s="14">
        <v>7.6</v>
      </c>
      <c r="D39" s="9" t="s">
        <v>3</v>
      </c>
      <c r="F39" s="6"/>
      <c r="G39" s="7" t="s">
        <v>71</v>
      </c>
      <c r="H39" s="15">
        <f>IFERROR(_xlfn.XLOOKUP(H4,'Drop Down'!A3:A53,'Drop Down'!K3:K53),"")</f>
        <v>0</v>
      </c>
      <c r="I39" s="9" t="s">
        <v>3</v>
      </c>
    </row>
    <row r="40" spans="1:9" hidden="1" x14ac:dyDescent="0.25">
      <c r="A40" s="6"/>
      <c r="B40" s="7"/>
      <c r="C40" s="11"/>
      <c r="D40" s="9"/>
      <c r="F40" s="6"/>
      <c r="G40" s="7"/>
      <c r="H40" s="11"/>
      <c r="I40" s="9"/>
    </row>
    <row r="41" spans="1:9" x14ac:dyDescent="0.25">
      <c r="A41" s="6" t="s">
        <v>14</v>
      </c>
      <c r="B41" s="7" t="s">
        <v>72</v>
      </c>
      <c r="C41" s="28">
        <v>1</v>
      </c>
      <c r="D41" s="9"/>
      <c r="F41" s="6" t="s">
        <v>14</v>
      </c>
      <c r="G41" s="7" t="s">
        <v>72</v>
      </c>
      <c r="H41" s="37">
        <v>0</v>
      </c>
      <c r="I41" s="9"/>
    </row>
    <row r="42" spans="1:9" hidden="1" x14ac:dyDescent="0.25">
      <c r="A42" s="6"/>
      <c r="B42" s="7" t="s">
        <v>74</v>
      </c>
      <c r="C42" s="8">
        <v>37.9</v>
      </c>
      <c r="D42" s="9" t="s">
        <v>13</v>
      </c>
      <c r="F42" s="6"/>
      <c r="G42" s="7" t="s">
        <v>74</v>
      </c>
      <c r="H42" s="11" t="s">
        <v>67</v>
      </c>
      <c r="I42" s="9" t="s">
        <v>13</v>
      </c>
    </row>
    <row r="43" spans="1:9" hidden="1" x14ac:dyDescent="0.25">
      <c r="A43" s="6"/>
      <c r="B43" s="7" t="s">
        <v>73</v>
      </c>
      <c r="C43" s="12">
        <v>0.2</v>
      </c>
      <c r="D43" s="9" t="s">
        <v>7</v>
      </c>
      <c r="F43" s="6"/>
      <c r="G43" s="7" t="s">
        <v>73</v>
      </c>
      <c r="H43" s="12">
        <v>0.2</v>
      </c>
      <c r="I43" s="9" t="s">
        <v>7</v>
      </c>
    </row>
    <row r="44" spans="1:9" hidden="1" x14ac:dyDescent="0.25">
      <c r="A44" s="6"/>
      <c r="B44" s="7" t="s">
        <v>14</v>
      </c>
      <c r="C44" s="13">
        <f>C3/1000*C42/C43/C4</f>
        <v>2.7508064516129025</v>
      </c>
      <c r="D44" s="9" t="s">
        <v>3</v>
      </c>
      <c r="F44" s="6"/>
      <c r="G44" s="7" t="s">
        <v>14</v>
      </c>
      <c r="H44" s="13">
        <f>IFERROR(_xlfn.XLOOKUP(H4,'Drop Down'!A3:A53,'Drop Down'!L3:L53),"")</f>
        <v>0</v>
      </c>
      <c r="I44" s="9" t="s">
        <v>3</v>
      </c>
    </row>
    <row r="45" spans="1:9" hidden="1" x14ac:dyDescent="0.25">
      <c r="A45" s="6"/>
      <c r="B45" s="7" t="s">
        <v>77</v>
      </c>
      <c r="C45" s="14">
        <v>7</v>
      </c>
      <c r="D45" s="9" t="s">
        <v>3</v>
      </c>
      <c r="F45" s="6"/>
      <c r="G45" s="7" t="s">
        <v>77</v>
      </c>
      <c r="H45" s="15">
        <f>IFERROR(_xlfn.XLOOKUP(H4,'Drop Down'!A3:A53,'Drop Down'!M3:M53),"")</f>
        <v>0</v>
      </c>
      <c r="I45" s="9" t="s">
        <v>3</v>
      </c>
    </row>
    <row r="46" spans="1:9" hidden="1" x14ac:dyDescent="0.25">
      <c r="A46" s="6"/>
      <c r="B46" s="7"/>
      <c r="C46" s="11"/>
      <c r="D46" s="9"/>
      <c r="F46" s="6"/>
      <c r="H46" s="11"/>
      <c r="I46" s="9"/>
    </row>
    <row r="47" spans="1:9" hidden="1" x14ac:dyDescent="0.25">
      <c r="A47" s="6" t="s">
        <v>30</v>
      </c>
      <c r="B47" s="7" t="s">
        <v>55</v>
      </c>
      <c r="C47" s="8">
        <v>70</v>
      </c>
      <c r="D47" s="9" t="s">
        <v>13</v>
      </c>
      <c r="F47" s="6" t="s">
        <v>30</v>
      </c>
      <c r="G47" s="10" t="s">
        <v>55</v>
      </c>
      <c r="H47" s="11" t="s">
        <v>67</v>
      </c>
      <c r="I47" s="9" t="s">
        <v>13</v>
      </c>
    </row>
    <row r="48" spans="1:9" hidden="1" x14ac:dyDescent="0.25">
      <c r="A48" s="6"/>
      <c r="B48" s="7" t="s">
        <v>29</v>
      </c>
      <c r="C48" s="11">
        <v>1.0580000000000001</v>
      </c>
      <c r="D48" s="9" t="s">
        <v>7</v>
      </c>
      <c r="F48" s="6"/>
      <c r="G48" s="10" t="s">
        <v>29</v>
      </c>
      <c r="H48" s="11">
        <v>1.0580000000000001</v>
      </c>
      <c r="I48" s="9" t="s">
        <v>7</v>
      </c>
    </row>
    <row r="49" spans="1:9" hidden="1" x14ac:dyDescent="0.25">
      <c r="A49" s="6"/>
      <c r="B49" s="7" t="s">
        <v>30</v>
      </c>
      <c r="C49" s="13">
        <f>C3/1000*C47/C48/C4</f>
        <v>0.96042441612293428</v>
      </c>
      <c r="D49" s="9" t="s">
        <v>3</v>
      </c>
      <c r="F49" s="6"/>
      <c r="G49" s="10" t="s">
        <v>30</v>
      </c>
      <c r="H49" s="13">
        <f>IFERROR(_xlfn.XLOOKUP(H4,'Drop Down'!A3:A53,'Drop Down'!N3:N53),"")</f>
        <v>0.37</v>
      </c>
      <c r="I49" s="9" t="s">
        <v>3</v>
      </c>
    </row>
    <row r="50" spans="1:9" hidden="1" x14ac:dyDescent="0.25">
      <c r="A50" s="6"/>
      <c r="B50" s="7" t="s">
        <v>76</v>
      </c>
      <c r="C50" s="14">
        <v>13</v>
      </c>
      <c r="D50" s="9" t="s">
        <v>3</v>
      </c>
      <c r="F50" s="6"/>
      <c r="G50" s="10" t="s">
        <v>56</v>
      </c>
      <c r="H50" s="15">
        <f>IFERROR(_xlfn.XLOOKUP(H4,'Drop Down'!A3:A53,'Drop Down'!O3:O53),"")</f>
        <v>1.7</v>
      </c>
      <c r="I50" s="9" t="s">
        <v>3</v>
      </c>
    </row>
    <row r="51" spans="1:9" hidden="1" x14ac:dyDescent="0.25">
      <c r="A51" s="6"/>
      <c r="B51" s="7"/>
      <c r="C51" s="11"/>
      <c r="D51" s="9"/>
      <c r="F51" s="6"/>
      <c r="H51" s="11"/>
      <c r="I51" s="9"/>
    </row>
    <row r="52" spans="1:9" hidden="1" x14ac:dyDescent="0.25">
      <c r="A52" s="6" t="s">
        <v>10</v>
      </c>
      <c r="B52" s="7" t="s">
        <v>32</v>
      </c>
      <c r="C52" s="16">
        <v>10</v>
      </c>
      <c r="D52" s="9" t="s">
        <v>4</v>
      </c>
      <c r="F52" s="6" t="s">
        <v>10</v>
      </c>
      <c r="G52" s="10" t="s">
        <v>32</v>
      </c>
      <c r="H52" s="16">
        <v>10</v>
      </c>
      <c r="I52" s="9" t="s">
        <v>4</v>
      </c>
    </row>
    <row r="53" spans="1:9" hidden="1" x14ac:dyDescent="0.25">
      <c r="A53" s="6"/>
      <c r="B53" s="7" t="s">
        <v>57</v>
      </c>
      <c r="C53" s="14">
        <v>10</v>
      </c>
      <c r="D53" s="9" t="s">
        <v>3</v>
      </c>
      <c r="F53" s="6"/>
      <c r="G53" s="10" t="s">
        <v>57</v>
      </c>
      <c r="H53" s="15">
        <f>IFERROR(_xlfn.XLOOKUP(H4,'Drop Down'!A3:A53,'Drop Down'!P3:P53),"")</f>
        <v>5</v>
      </c>
      <c r="I53" s="9" t="s">
        <v>3</v>
      </c>
    </row>
    <row r="54" spans="1:9" hidden="1" x14ac:dyDescent="0.25">
      <c r="A54" s="6"/>
      <c r="B54" s="7" t="s">
        <v>58</v>
      </c>
      <c r="C54" s="14">
        <v>6.67</v>
      </c>
      <c r="D54" s="9" t="s">
        <v>3</v>
      </c>
      <c r="F54" s="6"/>
      <c r="G54" s="10" t="s">
        <v>58</v>
      </c>
      <c r="H54" s="15">
        <f>IFERROR(_xlfn.XLOOKUP(H4,'Drop Down'!A3:A53,'Drop Down'!Q3:Q53),"")</f>
        <v>0</v>
      </c>
      <c r="I54" s="9" t="s">
        <v>3</v>
      </c>
    </row>
    <row r="55" spans="1:9" x14ac:dyDescent="0.25">
      <c r="A55" s="6"/>
      <c r="B55" s="7"/>
      <c r="C55" s="11"/>
      <c r="D55" s="9"/>
      <c r="F55" s="17"/>
      <c r="G55" s="18"/>
      <c r="H55" s="19"/>
      <c r="I55" s="20"/>
    </row>
    <row r="56" spans="1:9" x14ac:dyDescent="0.25">
      <c r="A56" s="6" t="s">
        <v>42</v>
      </c>
      <c r="B56" s="7" t="s">
        <v>0</v>
      </c>
      <c r="C56" s="21">
        <f>(C4*(C8+C12+C54)+SUM(C9:C11)+C4*(C5+C6)*C16+C4*(C5+1)*C22+(C5+1)*C18+C4*(C5-C29-C35-C41)*C27+C4*C29*C33+C4*C35*C39+C4*C41*C45+C4*(C5+1)*C50)/1000</f>
        <v>2.3783970000000001</v>
      </c>
      <c r="D56" s="9" t="s">
        <v>33</v>
      </c>
      <c r="F56" s="6" t="s">
        <v>42</v>
      </c>
      <c r="G56" s="7" t="s">
        <v>0</v>
      </c>
      <c r="H56" s="22">
        <f>(H4*(H8+H12+H54)+SUM(H9:H11)+H4*(H5+H6)*H16+H4*(H5+1)*H22+(H5+1)*H18+H4*(H5-H29-H35-H41)*H27+H4*H29*H33+H4*H35*H39+H4*H41*H45+H4*(H5+1)*H50)/1000</f>
        <v>7.9941200000000006</v>
      </c>
      <c r="I56" s="9" t="s">
        <v>33</v>
      </c>
    </row>
    <row r="57" spans="1:9" x14ac:dyDescent="0.25">
      <c r="A57" s="6"/>
      <c r="B57" s="7" t="s">
        <v>34</v>
      </c>
      <c r="C57" s="21">
        <f>(C4*C15*(C5+C6)+C14)/1000</f>
        <v>0.32900000000000001</v>
      </c>
      <c r="D57" s="9" t="s">
        <v>33</v>
      </c>
      <c r="F57" s="6"/>
      <c r="G57" s="7" t="s">
        <v>34</v>
      </c>
      <c r="H57" s="21">
        <f>(H4*H15*(H5+H6)+H14)/1000</f>
        <v>3.9199999999999995</v>
      </c>
      <c r="I57" s="9" t="s">
        <v>33</v>
      </c>
    </row>
    <row r="58" spans="1:9" x14ac:dyDescent="0.25">
      <c r="A58" s="6"/>
      <c r="B58" s="7" t="s">
        <v>64</v>
      </c>
      <c r="C58" s="21">
        <f>C3/1000*C19/C20</f>
        <v>1.5</v>
      </c>
      <c r="D58" s="9" t="s">
        <v>4</v>
      </c>
      <c r="F58" s="6"/>
      <c r="G58" s="7" t="s">
        <v>64</v>
      </c>
      <c r="H58" s="21">
        <f>H3/1000*H19/H20</f>
        <v>8.5</v>
      </c>
      <c r="I58" s="9" t="s">
        <v>4</v>
      </c>
    </row>
    <row r="59" spans="1:9" x14ac:dyDescent="0.25">
      <c r="A59" s="6"/>
      <c r="B59" s="7" t="s">
        <v>11</v>
      </c>
      <c r="C59" s="21">
        <f>(C58/(1-C21)*C21*(C5+1)+10)/1000</f>
        <v>5.5E-2</v>
      </c>
      <c r="D59" s="9" t="s">
        <v>33</v>
      </c>
      <c r="F59" s="6"/>
      <c r="G59" s="7" t="s">
        <v>11</v>
      </c>
      <c r="H59" s="21">
        <f>(H58/(1-H21)*H21*(H5+1)+10)/1000</f>
        <v>0.32874999999999999</v>
      </c>
      <c r="I59" s="9" t="s">
        <v>33</v>
      </c>
    </row>
    <row r="60" spans="1:9" x14ac:dyDescent="0.25">
      <c r="A60" s="6"/>
      <c r="B60" s="7" t="s">
        <v>35</v>
      </c>
      <c r="C60" s="21">
        <f>((C4*C26*(C5-C29-C35-C41)+10)/1000)</f>
        <v>0.15399999999999997</v>
      </c>
      <c r="D60" s="9" t="s">
        <v>33</v>
      </c>
      <c r="F60" s="6"/>
      <c r="G60" s="7" t="s">
        <v>35</v>
      </c>
      <c r="H60" s="21">
        <f>((H4*H26*(H5-H29-H35-H41)+10)/1000)</f>
        <v>0.91127999999999998</v>
      </c>
      <c r="I60" s="9" t="s">
        <v>33</v>
      </c>
    </row>
    <row r="61" spans="1:9" x14ac:dyDescent="0.25">
      <c r="A61" s="6"/>
      <c r="B61" s="7" t="s">
        <v>36</v>
      </c>
      <c r="C61" s="21">
        <f>IF(C29=0,0,((C4*C32*C29)+10)/1000)</f>
        <v>0</v>
      </c>
      <c r="D61" s="9" t="s">
        <v>33</v>
      </c>
      <c r="F61" s="6"/>
      <c r="G61" s="7" t="s">
        <v>36</v>
      </c>
      <c r="H61" s="21">
        <f>IF(H29=0,0,((H4*H32*H29)+10)/1000)</f>
        <v>0.15447999999999998</v>
      </c>
      <c r="I61" s="9" t="s">
        <v>33</v>
      </c>
    </row>
    <row r="62" spans="1:9" x14ac:dyDescent="0.25">
      <c r="A62" s="6"/>
      <c r="B62" s="7" t="s">
        <v>78</v>
      </c>
      <c r="C62" s="21">
        <f>IF(C35=0,0,((C4*C38*C35)+10)/1000)</f>
        <v>3.1077999999999998E-2</v>
      </c>
      <c r="D62" s="9" t="s">
        <v>33</v>
      </c>
      <c r="F62" s="6"/>
      <c r="G62" s="7" t="s">
        <v>78</v>
      </c>
      <c r="H62" s="21">
        <f>IF(H35=0,0,((H4*H38*H35)+10)/1000)</f>
        <v>0</v>
      </c>
      <c r="I62" s="9" t="s">
        <v>33</v>
      </c>
    </row>
    <row r="63" spans="1:9" x14ac:dyDescent="0.25">
      <c r="A63" s="6"/>
      <c r="B63" s="7" t="s">
        <v>79</v>
      </c>
      <c r="C63" s="21">
        <f>IF(C41=0,0,((C4*C44*C41)+10)/1000)</f>
        <v>1.8527499999999995E-2</v>
      </c>
      <c r="D63" s="9" t="s">
        <v>33</v>
      </c>
      <c r="F63" s="6"/>
      <c r="G63" s="7" t="s">
        <v>79</v>
      </c>
      <c r="H63" s="21">
        <f>IF(H41=0,0,((H4*H44*H41)+10)/1000)</f>
        <v>0</v>
      </c>
      <c r="I63" s="9" t="s">
        <v>33</v>
      </c>
    </row>
    <row r="64" spans="1:9" x14ac:dyDescent="0.25">
      <c r="A64" s="6"/>
      <c r="B64" s="7" t="s">
        <v>37</v>
      </c>
      <c r="C64" s="21">
        <f>((C4*C49*C5)+10)/1000/2</f>
        <v>3.3284499054820414E-2</v>
      </c>
      <c r="D64" s="9" t="s">
        <v>33</v>
      </c>
      <c r="F64" s="6"/>
      <c r="G64" s="7" t="s">
        <v>37</v>
      </c>
      <c r="H64" s="21">
        <f>((H4*H49*H5)+10)/1000/2</f>
        <v>0.15773599999999999</v>
      </c>
      <c r="I64" s="9" t="s">
        <v>33</v>
      </c>
    </row>
    <row r="65" spans="1:9" x14ac:dyDescent="0.25">
      <c r="A65" s="6"/>
      <c r="B65" s="7" t="s">
        <v>38</v>
      </c>
      <c r="C65" s="21">
        <f>((C4*C49*C5)+10)/1000/2</f>
        <v>3.3284499054820414E-2</v>
      </c>
      <c r="D65" s="9" t="s">
        <v>33</v>
      </c>
      <c r="F65" s="6"/>
      <c r="G65" s="7" t="s">
        <v>38</v>
      </c>
      <c r="H65" s="21">
        <f>((H4*H49*H5)+10)/1000/2</f>
        <v>0.15773599999999999</v>
      </c>
      <c r="I65" s="9" t="s">
        <v>33</v>
      </c>
    </row>
    <row r="66" spans="1:9" x14ac:dyDescent="0.25">
      <c r="A66" s="6"/>
      <c r="B66" s="7" t="s">
        <v>2</v>
      </c>
      <c r="C66" s="21">
        <f>(C4*C53+C52)/1000</f>
        <v>4.1000000000000002E-2</v>
      </c>
      <c r="D66" s="9" t="s">
        <v>33</v>
      </c>
      <c r="F66" s="6"/>
      <c r="G66" s="7" t="s">
        <v>2</v>
      </c>
      <c r="H66" s="21">
        <f>(H4*H53+H52)/1000</f>
        <v>0.182</v>
      </c>
      <c r="I66" s="9" t="s">
        <v>33</v>
      </c>
    </row>
    <row r="67" spans="1:9" x14ac:dyDescent="0.25">
      <c r="A67" s="6"/>
      <c r="B67" s="7" t="s">
        <v>39</v>
      </c>
      <c r="C67" s="23">
        <f>SUM(C56:C57,C59:C66)+C58/1000*(C5+1)</f>
        <v>3.1035714981096403</v>
      </c>
      <c r="D67" s="9" t="s">
        <v>33</v>
      </c>
      <c r="F67" s="6"/>
      <c r="G67" s="7" t="s">
        <v>39</v>
      </c>
      <c r="H67" s="23">
        <f>SUM(H56:H57,H59:H66)+H58/1000*(H5+1)</f>
        <v>14.018602</v>
      </c>
      <c r="I67" s="9" t="s">
        <v>33</v>
      </c>
    </row>
    <row r="68" spans="1:9" ht="15.75" thickBot="1" x14ac:dyDescent="0.3">
      <c r="A68" s="24"/>
      <c r="B68" s="25"/>
      <c r="C68" s="25"/>
      <c r="D68" s="26"/>
      <c r="F68" s="24"/>
      <c r="G68" s="25"/>
      <c r="H68" s="25"/>
      <c r="I68" s="26"/>
    </row>
    <row r="69" spans="1:9" x14ac:dyDescent="0.25"/>
  </sheetData>
  <sheetProtection algorithmName="SHA-512" hashValue="KVJcLXzm9JKG5k2tpG0dtC1HvoqkyZ4tAVqCbelitLl19Xm8mfuyMfrS1pnZWhfKLeFnBKeJ/hkAqfWfuFEWxA==" saltValue="3CSrdOfePqYJbn7mgQyx9A==" spinCount="100000" sheet="1" objects="1" scenarios="1"/>
  <mergeCells count="2">
    <mergeCell ref="F2:I2"/>
    <mergeCell ref="A2:D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74B3A3EE-6454-4F42-A86B-5B155B036153}">
          <x14:formula1>
            <xm:f>'Drop Down'!$A$3:$A$53</xm:f>
          </x14:formula1>
          <xm:sqref>H4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357A-C6AA-4793-933A-135CFB3CDE99}">
  <dimension ref="A1:D27"/>
  <sheetViews>
    <sheetView workbookViewId="0">
      <selection activeCell="F30" sqref="F30"/>
    </sheetView>
  </sheetViews>
  <sheetFormatPr defaultRowHeight="15" x14ac:dyDescent="0.25"/>
  <cols>
    <col min="2" max="2" width="22.140625" bestFit="1" customWidth="1"/>
    <col min="3" max="3" width="11.85546875" bestFit="1" customWidth="1"/>
    <col min="4" max="4" width="3.42578125" bestFit="1" customWidth="1"/>
  </cols>
  <sheetData>
    <row r="1" spans="1:4" x14ac:dyDescent="0.25">
      <c r="A1" s="118" t="s">
        <v>104</v>
      </c>
      <c r="B1" s="118" t="s">
        <v>103</v>
      </c>
    </row>
    <row r="2" spans="1:4" x14ac:dyDescent="0.25">
      <c r="B2" s="118" t="s">
        <v>0</v>
      </c>
      <c r="C2" s="119">
        <v>17.083580000000001</v>
      </c>
      <c r="D2" t="s">
        <v>33</v>
      </c>
    </row>
    <row r="3" spans="1:4" x14ac:dyDescent="0.25">
      <c r="B3" s="118" t="s">
        <v>34</v>
      </c>
      <c r="C3" s="119">
        <v>10.04702</v>
      </c>
      <c r="D3" t="s">
        <v>33</v>
      </c>
    </row>
    <row r="4" spans="1:4" x14ac:dyDescent="0.25">
      <c r="B4" s="120" t="s">
        <v>108</v>
      </c>
      <c r="C4">
        <v>40</v>
      </c>
      <c r="D4" t="s">
        <v>4</v>
      </c>
    </row>
    <row r="5" spans="1:4" x14ac:dyDescent="0.25">
      <c r="B5" s="120" t="s">
        <v>107</v>
      </c>
      <c r="C5" s="119">
        <v>1.4852941176470591</v>
      </c>
      <c r="D5" t="s">
        <v>33</v>
      </c>
    </row>
    <row r="6" spans="1:4" x14ac:dyDescent="0.25">
      <c r="B6" s="118" t="s">
        <v>35</v>
      </c>
      <c r="C6">
        <v>0.21</v>
      </c>
      <c r="D6" t="s">
        <v>33</v>
      </c>
    </row>
    <row r="7" spans="1:4" x14ac:dyDescent="0.25">
      <c r="B7" s="118" t="s">
        <v>36</v>
      </c>
      <c r="C7">
        <v>2.0499999999999998</v>
      </c>
      <c r="D7" t="s">
        <v>33</v>
      </c>
    </row>
    <row r="8" spans="1:4" x14ac:dyDescent="0.25">
      <c r="B8" s="118" t="s">
        <v>102</v>
      </c>
      <c r="C8">
        <v>0</v>
      </c>
      <c r="D8" t="s">
        <v>33</v>
      </c>
    </row>
    <row r="9" spans="1:4" x14ac:dyDescent="0.25">
      <c r="B9" s="118" t="s">
        <v>79</v>
      </c>
      <c r="C9">
        <v>0</v>
      </c>
      <c r="D9" t="s">
        <v>33</v>
      </c>
    </row>
    <row r="10" spans="1:4" x14ac:dyDescent="0.25">
      <c r="B10" s="118" t="s">
        <v>37</v>
      </c>
      <c r="C10" s="119">
        <v>0.34526465028355385</v>
      </c>
      <c r="D10" t="s">
        <v>33</v>
      </c>
    </row>
    <row r="11" spans="1:4" x14ac:dyDescent="0.25">
      <c r="B11" s="118" t="s">
        <v>38</v>
      </c>
      <c r="C11" s="119">
        <v>0.34526465028355385</v>
      </c>
      <c r="D11" t="s">
        <v>33</v>
      </c>
    </row>
    <row r="12" spans="1:4" x14ac:dyDescent="0.25">
      <c r="B12" s="118" t="s">
        <v>2</v>
      </c>
      <c r="C12" s="119">
        <v>0.55449999999999999</v>
      </c>
      <c r="D12" t="s">
        <v>33</v>
      </c>
    </row>
    <row r="13" spans="1:4" x14ac:dyDescent="0.25">
      <c r="B13" s="118" t="s">
        <v>39</v>
      </c>
      <c r="C13" s="119">
        <v>32.880923418214167</v>
      </c>
      <c r="D13" t="s">
        <v>33</v>
      </c>
    </row>
    <row r="15" spans="1:4" x14ac:dyDescent="0.25">
      <c r="A15" s="118" t="s">
        <v>106</v>
      </c>
      <c r="B15" s="118" t="s">
        <v>105</v>
      </c>
    </row>
    <row r="16" spans="1:4" x14ac:dyDescent="0.25">
      <c r="B16" s="118" t="s">
        <v>0</v>
      </c>
      <c r="C16" s="119">
        <v>25.2378</v>
      </c>
      <c r="D16" t="s">
        <v>33</v>
      </c>
    </row>
    <row r="17" spans="2:4" x14ac:dyDescent="0.25">
      <c r="B17" s="118" t="s">
        <v>34</v>
      </c>
      <c r="C17" s="119">
        <v>14.819599999999998</v>
      </c>
      <c r="D17" t="s">
        <v>33</v>
      </c>
    </row>
    <row r="18" spans="2:4" x14ac:dyDescent="0.25">
      <c r="B18" s="120" t="s">
        <v>108</v>
      </c>
      <c r="C18">
        <v>66.900000000000006</v>
      </c>
      <c r="D18" t="s">
        <v>4</v>
      </c>
    </row>
    <row r="19" spans="2:4" x14ac:dyDescent="0.25">
      <c r="B19" s="120" t="s">
        <v>107</v>
      </c>
      <c r="C19" s="119">
        <v>2.2177000000000007</v>
      </c>
      <c r="D19" t="s">
        <v>33</v>
      </c>
    </row>
    <row r="20" spans="2:4" x14ac:dyDescent="0.25">
      <c r="B20" s="118" t="s">
        <v>35</v>
      </c>
      <c r="C20" s="119">
        <v>0.34449999999999997</v>
      </c>
      <c r="D20" t="s">
        <v>33</v>
      </c>
    </row>
    <row r="21" spans="2:4" x14ac:dyDescent="0.25">
      <c r="B21" s="118" t="s">
        <v>36</v>
      </c>
      <c r="C21" s="119">
        <v>3.0205000000000006</v>
      </c>
      <c r="D21" t="s">
        <v>33</v>
      </c>
    </row>
    <row r="22" spans="2:4" x14ac:dyDescent="0.25">
      <c r="B22" s="118" t="s">
        <v>102</v>
      </c>
      <c r="C22">
        <v>0</v>
      </c>
      <c r="D22" t="s">
        <v>33</v>
      </c>
    </row>
    <row r="23" spans="2:4" x14ac:dyDescent="0.25">
      <c r="B23" s="118" t="s">
        <v>79</v>
      </c>
      <c r="C23">
        <v>0</v>
      </c>
      <c r="D23" t="s">
        <v>33</v>
      </c>
    </row>
    <row r="24" spans="2:4" x14ac:dyDescent="0.25">
      <c r="B24" s="118" t="s">
        <v>37</v>
      </c>
      <c r="C24" s="119">
        <v>0.51086011342155013</v>
      </c>
      <c r="D24" t="s">
        <v>33</v>
      </c>
    </row>
    <row r="25" spans="2:4" x14ac:dyDescent="0.25">
      <c r="B25" s="118" t="s">
        <v>38</v>
      </c>
      <c r="C25" s="119">
        <v>0.51086011342155013</v>
      </c>
      <c r="D25" t="s">
        <v>33</v>
      </c>
    </row>
    <row r="26" spans="2:4" x14ac:dyDescent="0.25">
      <c r="B26" s="118" t="s">
        <v>2</v>
      </c>
      <c r="C26" s="119">
        <v>0.91500000000000004</v>
      </c>
      <c r="D26" t="s">
        <v>33</v>
      </c>
    </row>
    <row r="27" spans="2:4" x14ac:dyDescent="0.25">
      <c r="B27" s="118" t="s">
        <v>39</v>
      </c>
      <c r="C27" s="119">
        <v>48.7141202268431</v>
      </c>
      <c r="D27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081784-eb1d-4399-bb11-6e20c62c25a6">
      <Terms xmlns="http://schemas.microsoft.com/office/infopath/2007/PartnerControls"/>
    </lcf76f155ced4ddcb4097134ff3c332f>
    <TaxCatchAll xmlns="9b65a21d-a0af-4271-ba34-c61e5c9924f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BE9B2B7C15747BFCBE38DAE75C853" ma:contentTypeVersion="15" ma:contentTypeDescription="Create a new document." ma:contentTypeScope="" ma:versionID="ac814281a307ad6894a26f4b9431a5af">
  <xsd:schema xmlns:xsd="http://www.w3.org/2001/XMLSchema" xmlns:xs="http://www.w3.org/2001/XMLSchema" xmlns:p="http://schemas.microsoft.com/office/2006/metadata/properties" xmlns:ns2="61081784-eb1d-4399-bb11-6e20c62c25a6" xmlns:ns3="9b65a21d-a0af-4271-ba34-c61e5c9924fa" targetNamespace="http://schemas.microsoft.com/office/2006/metadata/properties" ma:root="true" ma:fieldsID="a9a44cce69b89479f152fb7d8f89674e" ns2:_="" ns3:_="">
    <xsd:import namespace="61081784-eb1d-4399-bb11-6e20c62c25a6"/>
    <xsd:import namespace="9b65a21d-a0af-4271-ba34-c61e5c992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81784-eb1d-4399-bb11-6e20c62c2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f9e09aa-c67b-42f2-a94a-a1c0717b0c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5a21d-a0af-4271-ba34-c61e5c9924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a10a7cf-359b-4443-b013-5fdc248c2ffe}" ma:internalName="TaxCatchAll" ma:showField="CatchAllData" ma:web="9b65a21d-a0af-4271-ba34-c61e5c992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6F277A-96B4-42C3-96BB-069DFFAA81FC}">
  <ds:schemaRefs>
    <ds:schemaRef ds:uri="http://schemas.microsoft.com/office/2006/metadata/properties"/>
    <ds:schemaRef ds:uri="http://schemas.microsoft.com/office/infopath/2007/PartnerControls"/>
    <ds:schemaRef ds:uri="61081784-eb1d-4399-bb11-6e20c62c25a6"/>
    <ds:schemaRef ds:uri="9b65a21d-a0af-4271-ba34-c61e5c9924fa"/>
  </ds:schemaRefs>
</ds:datastoreItem>
</file>

<file path=customXml/itemProps2.xml><?xml version="1.0" encoding="utf-8"?>
<ds:datastoreItem xmlns:ds="http://schemas.openxmlformats.org/officeDocument/2006/customXml" ds:itemID="{D6028D73-BABA-47A6-8BC4-6FA138C488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DDEA6B-5AB5-456A-AE0E-16A401ED3E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081784-eb1d-4399-bb11-6e20c62c25a6"/>
    <ds:schemaRef ds:uri="9b65a21d-a0af-4271-ba34-c61e5c992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Drop Down</vt:lpstr>
      <vt:lpstr>SYN Scale</vt:lpstr>
      <vt:lpstr>Consumption</vt:lpstr>
      <vt:lpstr>4mmol, 6.69mmol</vt:lpstr>
      <vt:lpstr>'Drop Down'!Print_Area</vt:lpstr>
      <vt:lpstr>'SYN Scale'!Print_Area</vt:lpstr>
    </vt:vector>
  </TitlesOfParts>
  <Company>LGC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Sijin Guo</dc:creator>
  <cp:lastModifiedBy>Josiah Erickson</cp:lastModifiedBy>
  <cp:lastPrinted>2025-12-29T19:21:06Z</cp:lastPrinted>
  <dcterms:created xsi:type="dcterms:W3CDTF">2018-04-09T16:31:41Z</dcterms:created>
  <dcterms:modified xsi:type="dcterms:W3CDTF">2026-01-23T19:32:15Z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0x01010013BBE9B2B7C15747BFCBE38DAE75C853</vt:lpwstr>
  </property>
  <property fmtid="{D5CDD505-2E9C-101B-9397-08002B2CF9AE}" pid="3" name="MediaServiceImageTags">
    <vt:lpwstr/>
  </property>
</Properties>
</file>