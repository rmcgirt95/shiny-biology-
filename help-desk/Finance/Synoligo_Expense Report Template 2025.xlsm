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https://synoligo.sharepoint.com/sites/SynoligoFolder/Shared Documents/General/1, Finance (public)/"/>
    </mc:Choice>
  </mc:AlternateContent>
  <xr:revisionPtr revIDLastSave="2" documentId="13_ncr:1_{0A219EED-FB02-4207-8C72-E482CF36410D}" xr6:coauthVersionLast="47" xr6:coauthVersionMax="47" xr10:uidLastSave="{5D6A3C8B-8C62-4E95-BB01-79934556551D}"/>
  <bookViews>
    <workbookView xWindow="-98" yWindow="-98" windowWidth="19396" windowHeight="11475" tabRatio="603" activeTab="1" xr2:uid="{00000000-000D-0000-FFFF-FFFF00000000}"/>
  </bookViews>
  <sheets>
    <sheet name="Travel" sheetId="7" r:id="rId1"/>
    <sheet name="Other Reimbursments" sheetId="9" r:id="rId2"/>
    <sheet name="COA" sheetId="12" r:id="rId3"/>
  </sheets>
  <definedNames>
    <definedName name="_xlnm._FilterDatabase" localSheetId="2" hidden="1">COA!$B$1:$G$1</definedName>
    <definedName name="_xlnm._FilterDatabase" localSheetId="0" hidden="1">Travel!$H$1:$O$4</definedName>
    <definedName name="_xlnm.Print_Area" localSheetId="2">COA!$A$1:$G$56</definedName>
    <definedName name="_xlnm.Print_Area" localSheetId="1">'Other Reimbursments'!$A$1:$I$35</definedName>
    <definedName name="_xlnm.Print_Area" localSheetId="0">Travel!$A$1:$O$40</definedName>
  </definedNames>
  <calcPr calcId="191028"/>
  <customWorkbookViews>
    <customWorkbookView name="Expense Report (Form-Expense Report)" guid="{5A5548E4-E1AF-11D0-A0A1-00A0C91FF8B7}" maximized="1" xWindow="5" yWindow="24" windowWidth="843" windowHeight="460" tabRatio="283" activeSheetId="1"/>
    <customWorkbookView name="Guidelines (Form-Expense Report)" guid="{5A5548E5-E1AF-11D0-A0A1-00A0C91FF8B7}" maximized="1" xWindow="5" yWindow="24" windowWidth="843" windowHeight="460" tabRatio="283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7" l="1"/>
  <c r="E19" i="7"/>
  <c r="E20" i="7"/>
  <c r="E21" i="7"/>
  <c r="E22" i="7"/>
  <c r="E23" i="7"/>
  <c r="E24" i="7"/>
  <c r="E25" i="7"/>
  <c r="E26" i="7"/>
  <c r="E27" i="7"/>
  <c r="E28" i="7"/>
  <c r="E29" i="7"/>
  <c r="E10" i="7"/>
  <c r="E11" i="7"/>
  <c r="E12" i="7"/>
  <c r="E13" i="7"/>
  <c r="E14" i="7"/>
  <c r="E15" i="7"/>
  <c r="E16" i="7"/>
  <c r="E17" i="7"/>
  <c r="O10" i="7"/>
  <c r="E30" i="7"/>
  <c r="E9" i="7"/>
  <c r="I32" i="9"/>
  <c r="I30" i="9"/>
  <c r="F30" i="7"/>
  <c r="D30" i="7"/>
  <c r="C30" i="7"/>
  <c r="O9" i="7"/>
  <c r="N33" i="7"/>
  <c r="M33" i="7"/>
  <c r="J33" i="7"/>
  <c r="F33" i="7"/>
  <c r="H9" i="9"/>
  <c r="F31" i="7" l="1"/>
  <c r="H29" i="9"/>
  <c r="H28" i="9"/>
  <c r="H27" i="9"/>
  <c r="H26" i="9"/>
  <c r="H25" i="9"/>
  <c r="H24" i="9"/>
  <c r="H23" i="9"/>
  <c r="H22" i="9"/>
  <c r="H21" i="9"/>
  <c r="H20" i="9"/>
  <c r="H19" i="9"/>
  <c r="H18" i="9"/>
  <c r="H17" i="9"/>
  <c r="H16" i="9"/>
  <c r="H15" i="9"/>
  <c r="H14" i="9"/>
  <c r="H13" i="9"/>
  <c r="H12" i="9"/>
  <c r="H11" i="9"/>
  <c r="H10" i="9"/>
  <c r="O11" i="7" l="1"/>
  <c r="O12" i="7"/>
  <c r="O13" i="7"/>
  <c r="O14" i="7"/>
  <c r="O15" i="7"/>
  <c r="O16" i="7"/>
  <c r="O17" i="7"/>
  <c r="O18" i="7"/>
  <c r="O19" i="7"/>
  <c r="O20" i="7"/>
  <c r="O21" i="7"/>
  <c r="O22" i="7"/>
  <c r="O23" i="7"/>
  <c r="O25" i="7"/>
  <c r="O29" i="7"/>
  <c r="O26" i="7"/>
  <c r="O27" i="7"/>
  <c r="O28" i="7"/>
  <c r="O24" i="7"/>
  <c r="J30" i="7" l="1"/>
  <c r="I30" i="7"/>
  <c r="H30" i="7"/>
  <c r="N30" i="7"/>
  <c r="N31" i="7" s="1"/>
  <c r="M30" i="7"/>
  <c r="L30" i="7"/>
  <c r="K30" i="7"/>
  <c r="M31" i="7" s="1"/>
  <c r="G30" i="7"/>
  <c r="J31" i="7" l="1"/>
  <c r="O32" i="7" s="1"/>
  <c r="O35" i="7" s="1"/>
</calcChain>
</file>

<file path=xl/sharedStrings.xml><?xml version="1.0" encoding="utf-8"?>
<sst xmlns="http://schemas.openxmlformats.org/spreadsheetml/2006/main" count="167" uniqueCount="130">
  <si>
    <t xml:space="preserve">Travel Expense Report </t>
  </si>
  <si>
    <t>AP EX#</t>
  </si>
  <si>
    <t xml:space="preserve">Click on the Cell Below to Use Drop Down List </t>
  </si>
  <si>
    <t xml:space="preserve">Employee Name </t>
  </si>
  <si>
    <t>XIBO LI</t>
  </si>
  <si>
    <t xml:space="preserve">Title </t>
  </si>
  <si>
    <t>CEO</t>
  </si>
  <si>
    <t>Department</t>
  </si>
  <si>
    <t>100 - Admin</t>
  </si>
  <si>
    <t>Business Purpose</t>
  </si>
  <si>
    <t xml:space="preserve">Travel:  ITEMIZATION OF EXPENSES (Please fill out Other Reimbursements if applicable) </t>
  </si>
  <si>
    <t>Date(s)</t>
  </si>
  <si>
    <t>Travel - Transportation</t>
  </si>
  <si>
    <t>Travel - Lodging</t>
  </si>
  <si>
    <t>Travel Meals</t>
  </si>
  <si>
    <t>Business Entertainment</t>
  </si>
  <si>
    <t>Daily Totals in USD $</t>
  </si>
  <si>
    <t>Airfare/Bus/Train/Car Rental</t>
  </si>
  <si>
    <t xml:space="preserve"># Miles </t>
  </si>
  <si>
    <t xml:space="preserve"> Parking &amp; Tolls</t>
  </si>
  <si>
    <t>(Room w/tax)</t>
  </si>
  <si>
    <t>Tips and Laundry Services</t>
  </si>
  <si>
    <t>Telephone/Internet</t>
  </si>
  <si>
    <t>Other Lodge Charges Excluding Movie Rentals</t>
  </si>
  <si>
    <t>Breakfast</t>
  </si>
  <si>
    <t>Lunch</t>
  </si>
  <si>
    <t>Dinner</t>
  </si>
  <si>
    <t>Subtotal  Expenses</t>
  </si>
  <si>
    <t>Total Exp. Categories</t>
  </si>
  <si>
    <t>TOTAL EXPENSES</t>
  </si>
  <si>
    <t>GL CODES</t>
  </si>
  <si>
    <t>Advance Received</t>
  </si>
  <si>
    <t>Total Reimbursement Due</t>
  </si>
  <si>
    <t>Signature of Employee:</t>
  </si>
  <si>
    <t>Authorized by Supervising Manager :</t>
  </si>
  <si>
    <t xml:space="preserve">Signature </t>
  </si>
  <si>
    <t>Printed First, Last Name, Title</t>
  </si>
  <si>
    <t>Date</t>
  </si>
  <si>
    <t>Instructions:</t>
  </si>
  <si>
    <t>This report is for 30 days of travel or less/See T&amp;E policy for travel over 30 days</t>
  </si>
  <si>
    <t>All Receipts must be attached to regular 8x11  sheets of paper with scotch tape - do not use staples</t>
  </si>
  <si>
    <t>Claims with no receipts must have justifications</t>
  </si>
  <si>
    <t>For US based claims foreign currency receipts must be converted to USD -use transaction date to calculate currency conversion</t>
  </si>
  <si>
    <t>CLAIM IS DUE WITHIN 45 DAYS OF TRAVEL</t>
  </si>
  <si>
    <t xml:space="preserve">Expense Report </t>
  </si>
  <si>
    <t>Xibo Li</t>
  </si>
  <si>
    <t xml:space="preserve">Other Reimbursements:  ITEMIZATION OF EXPENSES  (Please fill out Travel if applicable) </t>
  </si>
  <si>
    <t>drop down menu above</t>
  </si>
  <si>
    <t>Type of Expense             (chose from a drop down menu)</t>
  </si>
  <si>
    <t>Receipt Attached</t>
  </si>
  <si>
    <t xml:space="preserve">Can Supplier Invoice be obtained? </t>
  </si>
  <si>
    <t>GL Code</t>
  </si>
  <si>
    <t>Amount</t>
  </si>
  <si>
    <t>Popular Codes ------</t>
  </si>
  <si>
    <t>Yes/No</t>
  </si>
  <si>
    <t>y</t>
  </si>
  <si>
    <t>(Name and Title)</t>
  </si>
  <si>
    <t>T&amp;E Substantiation Requirements:</t>
  </si>
  <si>
    <t>How to use this form:</t>
  </si>
  <si>
    <t xml:space="preserve">Drop down menu with Expense Categories is set up - if it is not working - please let Finance know. </t>
  </si>
  <si>
    <t xml:space="preserve">Click on the cell in Type of Expense column and chose expense category </t>
  </si>
  <si>
    <t>GL code column has a formula - please do not overwrite</t>
  </si>
  <si>
    <t>List</t>
  </si>
  <si>
    <t>Code</t>
  </si>
  <si>
    <t>Cost Center</t>
  </si>
  <si>
    <t>Bank Charges</t>
  </si>
  <si>
    <t>200 - Finance</t>
  </si>
  <si>
    <t xml:space="preserve">Business Entertainment </t>
  </si>
  <si>
    <t>300 - Human Resources</t>
  </si>
  <si>
    <t>Charitable Contributions</t>
  </si>
  <si>
    <t>400 - Enviromental Safety and Health</t>
  </si>
  <si>
    <t>Computer Hardware</t>
  </si>
  <si>
    <t>500 - Sales and Marketing</t>
  </si>
  <si>
    <t>Computer Hardware Maintenance</t>
  </si>
  <si>
    <t>600 - Receiving &amp; Shipping</t>
  </si>
  <si>
    <t>Computer Supplies</t>
  </si>
  <si>
    <t>700 - IT</t>
  </si>
  <si>
    <t>Computer Training</t>
  </si>
  <si>
    <t>800 - Production</t>
  </si>
  <si>
    <t>Database Management</t>
  </si>
  <si>
    <t xml:space="preserve">Employee Development and Training </t>
  </si>
  <si>
    <t>Employee Morale/Support &amp; Company-wide Events</t>
  </si>
  <si>
    <t>Employee Relocation</t>
  </si>
  <si>
    <t>Freight Out</t>
  </si>
  <si>
    <t>Internet Access</t>
  </si>
  <si>
    <t>Allowable Entertainment Limits</t>
  </si>
  <si>
    <t>Late Charges - not allowed for personal claims</t>
  </si>
  <si>
    <t>Legal Fees</t>
  </si>
  <si>
    <t>Licenses &amp; Permits</t>
  </si>
  <si>
    <t>Marketing Advertising</t>
  </si>
  <si>
    <t>Light Refreshments</t>
  </si>
  <si>
    <t>Marketing Conference Fee</t>
  </si>
  <si>
    <t>Marketing Materials</t>
  </si>
  <si>
    <t>Marketing Public Relations</t>
  </si>
  <si>
    <t>Marketing Samples</t>
  </si>
  <si>
    <t>Marketing Trade Show</t>
  </si>
  <si>
    <t>Marketing Trade Show Shipments</t>
  </si>
  <si>
    <t>Marketing Web Expenses</t>
  </si>
  <si>
    <t>Network Administration</t>
  </si>
  <si>
    <t>Office Supplies</t>
  </si>
  <si>
    <t>Penalties &amp; Fines</t>
  </si>
  <si>
    <t>Postage</t>
  </si>
  <si>
    <t>Printing &amp; Stationery</t>
  </si>
  <si>
    <t>Recruitment</t>
  </si>
  <si>
    <t>Regulatory Fees</t>
  </si>
  <si>
    <t>Software Licenses</t>
  </si>
  <si>
    <t>Software Maintenance and Tech Support</t>
  </si>
  <si>
    <t>Subscriptions and Memberships</t>
  </si>
  <si>
    <t>Telephone - Office</t>
  </si>
  <si>
    <t>Travel-Lodging</t>
  </si>
  <si>
    <t>Travel-Meals</t>
  </si>
  <si>
    <t>Travel-Transportation</t>
  </si>
  <si>
    <t>Purchasing ------</t>
  </si>
  <si>
    <t>Building Improvements and Construction</t>
  </si>
  <si>
    <t>Building Repairs &amp; Maintenance</t>
  </si>
  <si>
    <t>Chemical Shipment</t>
  </si>
  <si>
    <t>Equipment Calibration</t>
  </si>
  <si>
    <t>Equipment Parts and Supplies</t>
  </si>
  <si>
    <t>Lab Supplies</t>
  </si>
  <si>
    <t>Outside Laboratory Fees</t>
  </si>
  <si>
    <t>Production Supplies- Consumables</t>
  </si>
  <si>
    <t>Repairs/Maint-instrumentation</t>
  </si>
  <si>
    <t>Shipping/Warehouse Supplies</t>
  </si>
  <si>
    <t>Truck Expenses</t>
  </si>
  <si>
    <t>Waste Disposal and Fees</t>
  </si>
  <si>
    <t>New Assets over $5,000</t>
  </si>
  <si>
    <t>Raw Materials Inventory</t>
  </si>
  <si>
    <t>X Not on the list - see Business Purpose Column</t>
  </si>
  <si>
    <t>Choose your Department from a drop down menu in cell E5</t>
  </si>
  <si>
    <t># Miles @ ($0.7 per mile for 2025)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</si>
</sst>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/d/yy;@"/>
    <numFmt numFmtId="165" formatCode="m/dd/yyyy"/>
  </numFmts>
  <fonts count="19">
    <font>
      <sz val="10"/>
      <name val="Geneva"/>
    </font>
    <font>
      <sz val="10"/>
      <name val="Geneva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i/>
      <sz val="12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12"/>
      <color indexed="12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sz val="22"/>
      <name val="Calibri"/>
      <family val="2"/>
      <scheme val="minor"/>
    </font>
    <font>
      <sz val="10"/>
      <color rgb="FFFF0000"/>
      <name val="Geneva"/>
    </font>
    <font>
      <b/>
      <sz val="12"/>
      <color rgb="FF0000FF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0"/>
      <color rgb="FF0000FF"/>
      <name val="Geneva"/>
    </font>
    <font>
      <sz val="12"/>
      <color rgb="FFFF0000"/>
      <name val="Calibri"/>
      <family val="2"/>
      <scheme val="minor"/>
    </font>
    <font>
      <sz val="12"/>
      <color rgb="FF0000FF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>
        <bgColor theme="0" tint="-4.9989318521683403E-2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8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3" fontId="1" fillId="0" borderId="0" applyFont="0" applyFill="0" applyBorder="0" applyAlignment="0" applyProtection="0"/>
  </cellStyleXfs>
  <cellXfs count="166">
    <xf numFmtId="0" fontId="0" fillId="0" borderId="0" xfId="0"/>
    <xf numFmtId="0" fontId="4" fillId="0" borderId="0" xfId="3" applyFont="1"/>
    <xf numFmtId="0" fontId="5" fillId="0" borderId="1" xfId="3" applyFont="1" applyBorder="1" applyAlignment="1">
      <alignment horizontal="center"/>
    </xf>
    <xf numFmtId="0" fontId="5" fillId="0" borderId="0" xfId="3" applyFont="1"/>
    <xf numFmtId="0" fontId="6" fillId="0" borderId="0" xfId="3" applyFont="1" applyAlignment="1">
      <alignment horizontal="center"/>
    </xf>
    <xf numFmtId="0" fontId="6" fillId="0" borderId="0" xfId="3" applyFont="1"/>
    <xf numFmtId="164" fontId="5" fillId="0" borderId="0" xfId="3" applyNumberFormat="1" applyFont="1"/>
    <xf numFmtId="0" fontId="4" fillId="0" borderId="0" xfId="3" applyFont="1" applyAlignment="1">
      <alignment horizontal="center"/>
    </xf>
    <xf numFmtId="0" fontId="5" fillId="0" borderId="0" xfId="3" applyFont="1" applyAlignment="1">
      <alignment horizontal="left"/>
    </xf>
    <xf numFmtId="164" fontId="4" fillId="0" borderId="0" xfId="3" applyNumberFormat="1" applyFont="1"/>
    <xf numFmtId="0" fontId="4" fillId="0" borderId="2" xfId="3" applyFont="1" applyBorder="1" applyAlignment="1">
      <alignment horizontal="center"/>
    </xf>
    <xf numFmtId="164" fontId="5" fillId="0" borderId="0" xfId="0" applyNumberFormat="1" applyFont="1"/>
    <xf numFmtId="0" fontId="5" fillId="0" borderId="0" xfId="3" applyFont="1" applyAlignment="1">
      <alignment horizontal="center"/>
    </xf>
    <xf numFmtId="44" fontId="4" fillId="0" borderId="1" xfId="2" applyFont="1" applyFill="1" applyBorder="1" applyAlignment="1">
      <alignment horizontal="center" wrapText="1"/>
    </xf>
    <xf numFmtId="44" fontId="4" fillId="0" borderId="1" xfId="2" applyFont="1" applyFill="1" applyBorder="1" applyAlignment="1">
      <alignment horizontal="center"/>
    </xf>
    <xf numFmtId="44" fontId="4" fillId="0" borderId="1" xfId="3" applyNumberFormat="1" applyFont="1" applyBorder="1" applyAlignment="1">
      <alignment horizontal="center"/>
    </xf>
    <xf numFmtId="0" fontId="4" fillId="0" borderId="1" xfId="3" applyFont="1" applyBorder="1" applyAlignment="1">
      <alignment horizontal="center"/>
    </xf>
    <xf numFmtId="0" fontId="4" fillId="0" borderId="2" xfId="3" applyFont="1" applyBorder="1"/>
    <xf numFmtId="0" fontId="4" fillId="0" borderId="0" xfId="3" applyFont="1" applyAlignment="1">
      <alignment horizontal="left"/>
    </xf>
    <xf numFmtId="164" fontId="5" fillId="0" borderId="0" xfId="3" applyNumberFormat="1" applyFont="1" applyAlignment="1">
      <alignment horizontal="left"/>
    </xf>
    <xf numFmtId="44" fontId="5" fillId="0" borderId="5" xfId="3" applyNumberFormat="1" applyFont="1" applyBorder="1"/>
    <xf numFmtId="0" fontId="4" fillId="0" borderId="3" xfId="3" applyFont="1" applyBorder="1"/>
    <xf numFmtId="44" fontId="4" fillId="0" borderId="3" xfId="2" applyFont="1" applyFill="1" applyBorder="1" applyAlignment="1">
      <alignment horizontal="center"/>
    </xf>
    <xf numFmtId="44" fontId="4" fillId="0" borderId="3" xfId="3" applyNumberFormat="1" applyFont="1" applyBorder="1" applyAlignment="1">
      <alignment horizontal="center"/>
    </xf>
    <xf numFmtId="0" fontId="5" fillId="0" borderId="3" xfId="3" applyFont="1" applyBorder="1" applyAlignment="1">
      <alignment horizontal="center"/>
    </xf>
    <xf numFmtId="44" fontId="4" fillId="0" borderId="7" xfId="2" applyFont="1" applyFill="1" applyBorder="1" applyAlignment="1">
      <alignment horizontal="center"/>
    </xf>
    <xf numFmtId="44" fontId="4" fillId="0" borderId="7" xfId="3" applyNumberFormat="1" applyFont="1" applyBorder="1" applyAlignment="1">
      <alignment horizontal="center"/>
    </xf>
    <xf numFmtId="0" fontId="5" fillId="0" borderId="7" xfId="3" applyFont="1" applyBorder="1" applyAlignment="1">
      <alignment horizontal="center"/>
    </xf>
    <xf numFmtId="44" fontId="4" fillId="0" borderId="8" xfId="3" applyNumberFormat="1" applyFont="1" applyBorder="1"/>
    <xf numFmtId="44" fontId="4" fillId="0" borderId="9" xfId="2" applyFont="1" applyFill="1" applyBorder="1" applyAlignment="1">
      <alignment horizontal="center"/>
    </xf>
    <xf numFmtId="44" fontId="4" fillId="0" borderId="10" xfId="2" applyFont="1" applyFill="1" applyBorder="1" applyAlignment="1">
      <alignment horizontal="center"/>
    </xf>
    <xf numFmtId="44" fontId="4" fillId="0" borderId="9" xfId="3" applyNumberFormat="1" applyFont="1" applyBorder="1" applyAlignment="1">
      <alignment horizontal="center"/>
    </xf>
    <xf numFmtId="44" fontId="4" fillId="0" borderId="10" xfId="3" applyNumberFormat="1" applyFont="1" applyBorder="1" applyAlignment="1">
      <alignment horizontal="center"/>
    </xf>
    <xf numFmtId="0" fontId="4" fillId="0" borderId="9" xfId="3" applyFont="1" applyBorder="1" applyAlignment="1">
      <alignment horizontal="center"/>
    </xf>
    <xf numFmtId="0" fontId="5" fillId="0" borderId="9" xfId="3" applyFont="1" applyBorder="1" applyAlignment="1">
      <alignment horizontal="center"/>
    </xf>
    <xf numFmtId="0" fontId="5" fillId="0" borderId="10" xfId="3" applyFont="1" applyBorder="1" applyAlignment="1">
      <alignment horizontal="center"/>
    </xf>
    <xf numFmtId="44" fontId="4" fillId="0" borderId="8" xfId="2" applyFont="1" applyFill="1" applyBorder="1" applyAlignment="1">
      <alignment horizontal="right"/>
    </xf>
    <xf numFmtId="0" fontId="4" fillId="0" borderId="8" xfId="3" applyFont="1" applyBorder="1" applyAlignment="1">
      <alignment horizontal="right"/>
    </xf>
    <xf numFmtId="8" fontId="4" fillId="0" borderId="5" xfId="1" applyFont="1" applyFill="1" applyBorder="1"/>
    <xf numFmtId="164" fontId="7" fillId="0" borderId="12" xfId="0" applyNumberFormat="1" applyFont="1" applyBorder="1" applyAlignment="1">
      <alignment horizontal="center"/>
    </xf>
    <xf numFmtId="164" fontId="8" fillId="0" borderId="12" xfId="0" applyNumberFormat="1" applyFont="1" applyBorder="1" applyAlignment="1">
      <alignment horizontal="center" wrapText="1"/>
    </xf>
    <xf numFmtId="44" fontId="5" fillId="0" borderId="5" xfId="1" applyNumberFormat="1" applyFont="1" applyFill="1" applyBorder="1"/>
    <xf numFmtId="0" fontId="5" fillId="0" borderId="1" xfId="3" applyFont="1" applyBorder="1"/>
    <xf numFmtId="0" fontId="5" fillId="0" borderId="3" xfId="3" applyFont="1" applyBorder="1"/>
    <xf numFmtId="164" fontId="5" fillId="0" borderId="1" xfId="0" applyNumberFormat="1" applyFont="1" applyBorder="1"/>
    <xf numFmtId="8" fontId="4" fillId="0" borderId="1" xfId="1" applyFont="1" applyFill="1" applyBorder="1" applyAlignment="1"/>
    <xf numFmtId="8" fontId="4" fillId="0" borderId="1" xfId="1" applyFont="1" applyBorder="1" applyAlignment="1"/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6" fillId="0" borderId="0" xfId="3" applyNumberFormat="1" applyFont="1"/>
    <xf numFmtId="164" fontId="9" fillId="2" borderId="0" xfId="3" applyNumberFormat="1" applyFont="1" applyFill="1"/>
    <xf numFmtId="0" fontId="6" fillId="2" borderId="0" xfId="3" applyFont="1" applyFill="1" applyAlignment="1">
      <alignment horizontal="center"/>
    </xf>
    <xf numFmtId="0" fontId="6" fillId="2" borderId="0" xfId="3" applyFont="1" applyFill="1"/>
    <xf numFmtId="164" fontId="6" fillId="2" borderId="0" xfId="3" applyNumberFormat="1" applyFont="1" applyFill="1"/>
    <xf numFmtId="44" fontId="5" fillId="0" borderId="13" xfId="3" applyNumberFormat="1" applyFont="1" applyBorder="1" applyAlignment="1">
      <alignment horizontal="center"/>
    </xf>
    <xf numFmtId="44" fontId="5" fillId="0" borderId="14" xfId="3" applyNumberFormat="1" applyFont="1" applyBorder="1" applyAlignment="1">
      <alignment horizontal="center"/>
    </xf>
    <xf numFmtId="44" fontId="5" fillId="0" borderId="15" xfId="3" applyNumberFormat="1" applyFont="1" applyBorder="1" applyAlignment="1">
      <alignment horizontal="center"/>
    </xf>
    <xf numFmtId="44" fontId="5" fillId="0" borderId="16" xfId="3" applyNumberFormat="1" applyFont="1" applyBorder="1" applyAlignment="1">
      <alignment horizontal="center"/>
    </xf>
    <xf numFmtId="44" fontId="5" fillId="0" borderId="17" xfId="3" applyNumberFormat="1" applyFont="1" applyBorder="1" applyAlignment="1">
      <alignment horizontal="center"/>
    </xf>
    <xf numFmtId="44" fontId="5" fillId="0" borderId="19" xfId="3" applyNumberFormat="1" applyFont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164" fontId="4" fillId="3" borderId="1" xfId="0" applyNumberFormat="1" applyFont="1" applyFill="1" applyBorder="1"/>
    <xf numFmtId="44" fontId="5" fillId="0" borderId="20" xfId="3" applyNumberFormat="1" applyFont="1" applyBorder="1" applyAlignment="1">
      <alignment horizontal="center"/>
    </xf>
    <xf numFmtId="44" fontId="5" fillId="0" borderId="21" xfId="3" applyNumberFormat="1" applyFont="1" applyBorder="1" applyAlignment="1">
      <alignment horizontal="center"/>
    </xf>
    <xf numFmtId="0" fontId="10" fillId="0" borderId="0" xfId="3" applyFont="1" applyAlignment="1">
      <alignment horizontal="left"/>
    </xf>
    <xf numFmtId="14" fontId="5" fillId="0" borderId="2" xfId="3" applyNumberFormat="1" applyFont="1" applyBorder="1" applyAlignment="1">
      <alignment horizontal="center"/>
    </xf>
    <xf numFmtId="0" fontId="5" fillId="0" borderId="2" xfId="3" applyFont="1" applyBorder="1"/>
    <xf numFmtId="0" fontId="11" fillId="0" borderId="0" xfId="0" applyFont="1"/>
    <xf numFmtId="0" fontId="5" fillId="0" borderId="5" xfId="3" applyFont="1" applyBorder="1" applyAlignment="1">
      <alignment horizontal="center"/>
    </xf>
    <xf numFmtId="14" fontId="5" fillId="0" borderId="1" xfId="3" applyNumberFormat="1" applyFont="1" applyBorder="1" applyAlignment="1">
      <alignment horizontal="left"/>
    </xf>
    <xf numFmtId="0" fontId="13" fillId="0" borderId="0" xfId="3" applyFont="1" applyAlignment="1">
      <alignment horizontal="center"/>
    </xf>
    <xf numFmtId="44" fontId="12" fillId="3" borderId="1" xfId="2" applyFont="1" applyFill="1" applyBorder="1" applyAlignment="1">
      <alignment horizontal="center" wrapText="1"/>
    </xf>
    <xf numFmtId="0" fontId="5" fillId="0" borderId="18" xfId="3" applyFont="1" applyBorder="1" applyAlignment="1">
      <alignment horizontal="left"/>
    </xf>
    <xf numFmtId="0" fontId="5" fillId="0" borderId="23" xfId="3" applyFont="1" applyBorder="1" applyAlignment="1">
      <alignment horizontal="left"/>
    </xf>
    <xf numFmtId="0" fontId="4" fillId="0" borderId="23" xfId="3" applyFont="1" applyBorder="1" applyAlignment="1">
      <alignment horizontal="left"/>
    </xf>
    <xf numFmtId="44" fontId="4" fillId="3" borderId="3" xfId="2" applyFont="1" applyFill="1" applyBorder="1" applyAlignment="1"/>
    <xf numFmtId="0" fontId="4" fillId="0" borderId="3" xfId="2" applyNumberFormat="1" applyFont="1" applyFill="1" applyBorder="1" applyAlignment="1">
      <alignment horizontal="center"/>
    </xf>
    <xf numFmtId="0" fontId="4" fillId="3" borderId="1" xfId="3" applyFont="1" applyFill="1" applyBorder="1"/>
    <xf numFmtId="44" fontId="4" fillId="0" borderId="1" xfId="3" applyNumberFormat="1" applyFont="1" applyBorder="1"/>
    <xf numFmtId="164" fontId="7" fillId="0" borderId="37" xfId="0" applyNumberFormat="1" applyFont="1" applyBorder="1" applyAlignment="1">
      <alignment horizontal="center"/>
    </xf>
    <xf numFmtId="0" fontId="5" fillId="0" borderId="38" xfId="3" applyFont="1" applyBorder="1" applyAlignment="1">
      <alignment horizontal="center"/>
    </xf>
    <xf numFmtId="44" fontId="4" fillId="0" borderId="38" xfId="3" applyNumberFormat="1" applyFont="1" applyBorder="1"/>
    <xf numFmtId="44" fontId="5" fillId="0" borderId="27" xfId="3" applyNumberFormat="1" applyFont="1" applyBorder="1"/>
    <xf numFmtId="0" fontId="5" fillId="3" borderId="25" xfId="3" applyFont="1" applyFill="1" applyBorder="1" applyAlignment="1">
      <alignment horizontal="center"/>
    </xf>
    <xf numFmtId="0" fontId="5" fillId="3" borderId="39" xfId="3" applyFont="1" applyFill="1" applyBorder="1" applyAlignment="1">
      <alignment horizontal="center"/>
    </xf>
    <xf numFmtId="164" fontId="8" fillId="0" borderId="26" xfId="0" applyNumberFormat="1" applyFont="1" applyBorder="1" applyAlignment="1">
      <alignment horizontal="left"/>
    </xf>
    <xf numFmtId="0" fontId="4" fillId="2" borderId="0" xfId="3" applyFont="1" applyFill="1" applyAlignment="1">
      <alignment horizontal="center"/>
    </xf>
    <xf numFmtId="164" fontId="5" fillId="0" borderId="2" xfId="3" applyNumberFormat="1" applyFont="1" applyBorder="1" applyAlignment="1">
      <alignment horizontal="left"/>
    </xf>
    <xf numFmtId="0" fontId="0" fillId="0" borderId="0" xfId="0" quotePrefix="1" applyAlignment="1">
      <alignment horizontal="center"/>
    </xf>
    <xf numFmtId="44" fontId="12" fillId="0" borderId="5" xfId="3" applyNumberFormat="1" applyFont="1" applyBorder="1"/>
    <xf numFmtId="44" fontId="4" fillId="0" borderId="1" xfId="2" applyFont="1" applyFill="1" applyBorder="1" applyAlignment="1">
      <alignment horizontal="left" wrapText="1"/>
    </xf>
    <xf numFmtId="165" fontId="8" fillId="0" borderId="12" xfId="0" applyNumberFormat="1" applyFont="1" applyBorder="1" applyAlignment="1">
      <alignment horizontal="center"/>
    </xf>
    <xf numFmtId="165" fontId="7" fillId="0" borderId="12" xfId="0" applyNumberFormat="1" applyFont="1" applyBorder="1" applyAlignment="1">
      <alignment horizontal="center"/>
    </xf>
    <xf numFmtId="2" fontId="4" fillId="0" borderId="0" xfId="3" applyNumberFormat="1" applyFont="1" applyAlignment="1">
      <alignment horizontal="right"/>
    </xf>
    <xf numFmtId="2" fontId="4" fillId="0" borderId="1" xfId="4" applyNumberFormat="1" applyFont="1" applyFill="1" applyBorder="1" applyAlignment="1">
      <alignment horizontal="right"/>
    </xf>
    <xf numFmtId="2" fontId="4" fillId="0" borderId="3" xfId="1" applyNumberFormat="1" applyFont="1" applyFill="1" applyBorder="1" applyAlignment="1">
      <alignment horizontal="center"/>
    </xf>
    <xf numFmtId="44" fontId="17" fillId="0" borderId="9" xfId="2" applyFont="1" applyFill="1" applyBorder="1" applyAlignment="1">
      <alignment horizontal="center"/>
    </xf>
    <xf numFmtId="44" fontId="5" fillId="0" borderId="15" xfId="1" applyNumberFormat="1" applyFont="1" applyFill="1" applyBorder="1" applyAlignment="1">
      <alignment horizontal="center"/>
    </xf>
    <xf numFmtId="43" fontId="4" fillId="4" borderId="15" xfId="4" applyFont="1" applyFill="1" applyBorder="1" applyAlignment="1">
      <alignment horizontal="center"/>
    </xf>
    <xf numFmtId="44" fontId="4" fillId="5" borderId="9" xfId="2" applyFont="1" applyFill="1" applyBorder="1" applyAlignment="1">
      <alignment horizontal="center" wrapText="1"/>
    </xf>
    <xf numFmtId="44" fontId="4" fillId="5" borderId="1" xfId="2" applyFont="1" applyFill="1" applyBorder="1" applyAlignment="1">
      <alignment horizontal="center" wrapText="1"/>
    </xf>
    <xf numFmtId="44" fontId="4" fillId="5" borderId="3" xfId="2" applyFont="1" applyFill="1" applyBorder="1" applyAlignment="1">
      <alignment horizontal="center" wrapText="1"/>
    </xf>
    <xf numFmtId="44" fontId="4" fillId="6" borderId="9" xfId="2" applyFont="1" applyFill="1" applyBorder="1" applyAlignment="1">
      <alignment horizontal="center" wrapText="1"/>
    </xf>
    <xf numFmtId="44" fontId="4" fillId="6" borderId="1" xfId="2" applyFont="1" applyFill="1" applyBorder="1" applyAlignment="1">
      <alignment horizontal="center" wrapText="1"/>
    </xf>
    <xf numFmtId="44" fontId="4" fillId="6" borderId="10" xfId="2" applyFont="1" applyFill="1" applyBorder="1" applyAlignment="1">
      <alignment horizontal="center" wrapText="1"/>
    </xf>
    <xf numFmtId="44" fontId="4" fillId="7" borderId="6" xfId="2" applyFont="1" applyFill="1" applyBorder="1" applyAlignment="1">
      <alignment horizontal="center" wrapText="1"/>
    </xf>
    <xf numFmtId="44" fontId="4" fillId="7" borderId="4" xfId="2" applyFont="1" applyFill="1" applyBorder="1" applyAlignment="1">
      <alignment horizontal="center" wrapText="1"/>
    </xf>
    <xf numFmtId="44" fontId="4" fillId="7" borderId="11" xfId="2" applyFont="1" applyFill="1" applyBorder="1" applyAlignment="1">
      <alignment horizontal="center" wrapText="1"/>
    </xf>
    <xf numFmtId="44" fontId="5" fillId="4" borderId="40" xfId="3" applyNumberFormat="1" applyFont="1" applyFill="1" applyBorder="1" applyAlignment="1">
      <alignment horizontal="center"/>
    </xf>
    <xf numFmtId="44" fontId="5" fillId="4" borderId="41" xfId="3" applyNumberFormat="1" applyFont="1" applyFill="1" applyBorder="1" applyAlignment="1">
      <alignment horizontal="center"/>
    </xf>
    <xf numFmtId="44" fontId="5" fillId="4" borderId="42" xfId="3" applyNumberFormat="1" applyFont="1" applyFill="1" applyBorder="1" applyAlignment="1">
      <alignment horizontal="center"/>
    </xf>
    <xf numFmtId="164" fontId="8" fillId="0" borderId="37" xfId="0" applyNumberFormat="1" applyFont="1" applyBorder="1" applyAlignment="1">
      <alignment horizontal="center" wrapText="1"/>
    </xf>
    <xf numFmtId="164" fontId="8" fillId="0" borderId="43" xfId="0" applyNumberFormat="1" applyFont="1" applyBorder="1" applyAlignment="1">
      <alignment horizontal="center" wrapText="1"/>
    </xf>
    <xf numFmtId="0" fontId="5" fillId="4" borderId="18" xfId="3" applyFont="1" applyFill="1" applyBorder="1" applyAlignment="1">
      <alignment horizontal="center"/>
    </xf>
    <xf numFmtId="0" fontId="5" fillId="4" borderId="23" xfId="3" applyFont="1" applyFill="1" applyBorder="1" applyAlignment="1">
      <alignment horizontal="center"/>
    </xf>
    <xf numFmtId="0" fontId="4" fillId="4" borderId="23" xfId="3" applyFont="1" applyFill="1" applyBorder="1" applyAlignment="1">
      <alignment horizontal="center"/>
    </xf>
    <xf numFmtId="0" fontId="5" fillId="4" borderId="32" xfId="3" applyFont="1" applyFill="1" applyBorder="1" applyAlignment="1">
      <alignment horizontal="right"/>
    </xf>
    <xf numFmtId="0" fontId="5" fillId="4" borderId="23" xfId="3" applyFont="1" applyFill="1" applyBorder="1" applyAlignment="1">
      <alignment horizontal="right"/>
    </xf>
    <xf numFmtId="44" fontId="5" fillId="4" borderId="23" xfId="3" applyNumberFormat="1" applyFont="1" applyFill="1" applyBorder="1"/>
    <xf numFmtId="0" fontId="5" fillId="4" borderId="5" xfId="3" applyFont="1" applyFill="1" applyBorder="1"/>
    <xf numFmtId="0" fontId="18" fillId="0" borderId="0" xfId="3" applyFont="1" applyAlignment="1">
      <alignment horizontal="center"/>
    </xf>
    <xf numFmtId="0" fontId="5" fillId="0" borderId="0" xfId="3" applyFont="1" applyAlignment="1">
      <alignment horizontal="center" wrapText="1"/>
    </xf>
    <xf numFmtId="0" fontId="14" fillId="0" borderId="0" xfId="3" applyFont="1" applyAlignment="1">
      <alignment horizontal="center" wrapText="1"/>
    </xf>
    <xf numFmtId="44" fontId="4" fillId="9" borderId="28" xfId="3" applyNumberFormat="1" applyFont="1" applyFill="1" applyBorder="1" applyAlignment="1">
      <alignment horizontal="center"/>
    </xf>
    <xf numFmtId="44" fontId="4" fillId="9" borderId="36" xfId="3" applyNumberFormat="1" applyFont="1" applyFill="1" applyBorder="1" applyAlignment="1">
      <alignment horizontal="center"/>
    </xf>
    <xf numFmtId="164" fontId="5" fillId="0" borderId="2" xfId="3" applyNumberFormat="1" applyFont="1" applyBorder="1" applyAlignment="1">
      <alignment horizontal="left"/>
    </xf>
    <xf numFmtId="0" fontId="4" fillId="0" borderId="29" xfId="3" applyFont="1" applyBorder="1" applyAlignment="1">
      <alignment horizontal="center" wrapText="1"/>
    </xf>
    <xf numFmtId="0" fontId="4" fillId="0" borderId="24" xfId="3" applyFont="1" applyBorder="1" applyAlignment="1">
      <alignment horizontal="center" wrapText="1"/>
    </xf>
    <xf numFmtId="0" fontId="4" fillId="0" borderId="2" xfId="3" applyFont="1" applyBorder="1" applyAlignment="1">
      <alignment horizontal="center"/>
    </xf>
    <xf numFmtId="14" fontId="6" fillId="0" borderId="2" xfId="3" applyNumberFormat="1" applyFont="1" applyBorder="1" applyAlignment="1">
      <alignment horizontal="center" wrapText="1"/>
    </xf>
    <xf numFmtId="0" fontId="6" fillId="0" borderId="2" xfId="3" applyFont="1" applyBorder="1" applyAlignment="1">
      <alignment horizontal="center" wrapText="1"/>
    </xf>
    <xf numFmtId="14" fontId="4" fillId="0" borderId="2" xfId="3" applyNumberFormat="1" applyFont="1" applyBorder="1" applyAlignment="1">
      <alignment horizontal="center"/>
    </xf>
    <xf numFmtId="44" fontId="4" fillId="6" borderId="30" xfId="2" applyFont="1" applyFill="1" applyBorder="1" applyAlignment="1">
      <alignment horizontal="center" wrapText="1"/>
    </xf>
    <xf numFmtId="44" fontId="4" fillId="6" borderId="33" xfId="2" applyFont="1" applyFill="1" applyBorder="1" applyAlignment="1">
      <alignment horizontal="center" wrapText="1"/>
    </xf>
    <xf numFmtId="44" fontId="4" fillId="6" borderId="34" xfId="2" applyFont="1" applyFill="1" applyBorder="1" applyAlignment="1">
      <alignment horizontal="center" wrapText="1"/>
    </xf>
    <xf numFmtId="164" fontId="4" fillId="0" borderId="35" xfId="0" applyNumberFormat="1" applyFont="1" applyBorder="1" applyAlignment="1">
      <alignment horizontal="center"/>
    </xf>
    <xf numFmtId="164" fontId="4" fillId="0" borderId="12" xfId="0" applyNumberFormat="1" applyFont="1" applyBorder="1" applyAlignment="1">
      <alignment horizontal="center"/>
    </xf>
    <xf numFmtId="44" fontId="4" fillId="5" borderId="30" xfId="2" applyFont="1" applyFill="1" applyBorder="1" applyAlignment="1">
      <alignment horizontal="center"/>
    </xf>
    <xf numFmtId="44" fontId="4" fillId="5" borderId="33" xfId="2" applyFont="1" applyFill="1" applyBorder="1" applyAlignment="1">
      <alignment horizontal="center"/>
    </xf>
    <xf numFmtId="0" fontId="13" fillId="0" borderId="19" xfId="3" applyFont="1" applyBorder="1" applyAlignment="1">
      <alignment horizontal="left"/>
    </xf>
    <xf numFmtId="0" fontId="13" fillId="0" borderId="22" xfId="3" applyFont="1" applyBorder="1" applyAlignment="1">
      <alignment horizontal="left"/>
    </xf>
    <xf numFmtId="0" fontId="5" fillId="0" borderId="18" xfId="3" applyFont="1" applyBorder="1" applyAlignment="1">
      <alignment horizontal="left"/>
    </xf>
    <xf numFmtId="0" fontId="5" fillId="0" borderId="23" xfId="3" applyFont="1" applyBorder="1" applyAlignment="1">
      <alignment horizontal="left"/>
    </xf>
    <xf numFmtId="0" fontId="5" fillId="0" borderId="32" xfId="3" applyFont="1" applyBorder="1" applyAlignment="1">
      <alignment horizontal="left"/>
    </xf>
    <xf numFmtId="44" fontId="4" fillId="8" borderId="29" xfId="2" applyFont="1" applyFill="1" applyBorder="1" applyAlignment="1">
      <alignment horizontal="center" wrapText="1"/>
    </xf>
    <xf numFmtId="44" fontId="4" fillId="8" borderId="24" xfId="2" applyFont="1" applyFill="1" applyBorder="1" applyAlignment="1">
      <alignment horizontal="center" wrapText="1"/>
    </xf>
    <xf numFmtId="44" fontId="4" fillId="7" borderId="33" xfId="2" applyFont="1" applyFill="1" applyBorder="1" applyAlignment="1">
      <alignment horizontal="center"/>
    </xf>
    <xf numFmtId="44" fontId="4" fillId="7" borderId="34" xfId="2" applyFont="1" applyFill="1" applyBorder="1" applyAlignment="1">
      <alignment horizontal="center"/>
    </xf>
    <xf numFmtId="44" fontId="4" fillId="0" borderId="3" xfId="2" applyFont="1" applyFill="1" applyBorder="1" applyAlignment="1">
      <alignment horizontal="left"/>
    </xf>
    <xf numFmtId="0" fontId="0" fillId="0" borderId="7" xfId="0" applyBorder="1" applyAlignment="1">
      <alignment horizontal="left"/>
    </xf>
    <xf numFmtId="164" fontId="5" fillId="0" borderId="31" xfId="3" applyNumberFormat="1" applyFont="1" applyBorder="1" applyAlignment="1">
      <alignment horizontal="left"/>
    </xf>
    <xf numFmtId="164" fontId="5" fillId="0" borderId="31" xfId="3" applyNumberFormat="1" applyFont="1" applyBorder="1" applyAlignment="1">
      <alignment horizontal="center"/>
    </xf>
    <xf numFmtId="164" fontId="5" fillId="0" borderId="2" xfId="3" applyNumberFormat="1" applyFont="1" applyBorder="1" applyAlignment="1">
      <alignment horizontal="center"/>
    </xf>
    <xf numFmtId="44" fontId="4" fillId="0" borderId="3" xfId="2" applyFont="1" applyFill="1" applyBorder="1" applyAlignment="1">
      <alignment horizontal="left" indent="2"/>
    </xf>
    <xf numFmtId="0" fontId="0" fillId="0" borderId="7" xfId="0" applyBorder="1" applyAlignment="1">
      <alignment horizontal="left" indent="2"/>
    </xf>
    <xf numFmtId="44" fontId="4" fillId="3" borderId="3" xfId="2" applyFont="1" applyFill="1" applyBorder="1" applyAlignment="1"/>
    <xf numFmtId="0" fontId="0" fillId="0" borderId="7" xfId="0" applyBorder="1"/>
    <xf numFmtId="0" fontId="12" fillId="0" borderId="3" xfId="3" applyFont="1" applyBorder="1" applyAlignment="1">
      <alignment horizontal="left" indent="1"/>
    </xf>
    <xf numFmtId="0" fontId="16" fillId="0" borderId="31" xfId="0" applyFont="1" applyBorder="1" applyAlignment="1">
      <alignment horizontal="left" indent="1"/>
    </xf>
    <xf numFmtId="0" fontId="16" fillId="0" borderId="7" xfId="0" applyFont="1" applyBorder="1" applyAlignment="1">
      <alignment horizontal="left" indent="1"/>
    </xf>
    <xf numFmtId="0" fontId="12" fillId="0" borderId="31" xfId="3" applyFont="1" applyBorder="1" applyAlignment="1">
      <alignment horizontal="left" indent="1"/>
    </xf>
    <xf numFmtId="0" fontId="12" fillId="0" borderId="7" xfId="3" applyFont="1" applyBorder="1" applyAlignment="1">
      <alignment horizontal="left" indent="1"/>
    </xf>
    <xf numFmtId="0" fontId="15" fillId="0" borderId="31" xfId="3" applyFont="1" applyBorder="1" applyAlignment="1">
      <alignment horizontal="center"/>
    </xf>
    <xf numFmtId="164" fontId="5" fillId="0" borderId="1" xfId="0" applyNumberFormat="1" applyFont="1" applyBorder="1" applyAlignment="1">
      <alignment horizontal="center"/>
    </xf>
    <xf numFmtId="0" fontId="13" fillId="0" borderId="18" xfId="3" applyFont="1" applyBorder="1" applyAlignment="1">
      <alignment horizontal="left"/>
    </xf>
  </cellXfs>
  <cellStyles count="5">
    <cellStyle name="Comma" xfId="4" builtinId="3"/>
    <cellStyle name="Currency" xfId="1" builtinId="4"/>
    <cellStyle name="Currency 2" xfId="2" xr:uid="{00000000-0005-0000-0000-000002000000}"/>
    <cellStyle name="Normal" xfId="0" builtinId="0"/>
    <cellStyle name="Normal 2" xfId="3" xr:uid="{00000000-0005-0000-0000-000004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137583</xdr:colOff>
      <xdr:row>0</xdr:row>
      <xdr:rowOff>285750</xdr:rowOff>
    </xdr:from>
    <xdr:to>
      <xdr:col>3</xdr:col>
      <xdr:colOff>170392</xdr:colOff>
      <xdr:row>2</xdr:row>
      <xdr:rowOff>205749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285750"/>
          <a:ext cx="2084917" cy="6464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276225</xdr:rowOff>
    </xdr:from>
    <xdr:to>
      <xdr:col>2</xdr:col>
      <xdr:colOff>1088602</xdr:colOff>
      <xdr:row>3</xdr:row>
      <xdr:rowOff>172094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150" y="276225"/>
          <a:ext cx="2084917" cy="64643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P50"/>
  <sheetViews>
    <sheetView topLeftCell="A15" zoomScale="50" zoomScaleNormal="90" workbookViewId="0">
      <selection activeCell="M3" sqref="M3:N3"/>
    </sheetView>
  </sheetViews>
  <sheetFormatPr defaultColWidth="0" defaultRowHeight="15.75" zeroHeight="1"/>
  <cols>
    <col min="1" max="1" width="3.53125" style="1" customWidth="1"/>
    <col min="2" max="2" width="17.86328125" style="9" customWidth="1"/>
    <col min="3" max="11" width="12.6640625" style="7" customWidth="1"/>
    <col min="12" max="13" width="12.6640625" style="1" customWidth="1"/>
    <col min="14" max="14" width="16.53125" style="1" customWidth="1"/>
    <col min="15" max="15" width="17.46484375" style="1" customWidth="1"/>
    <col min="16" max="16" width="4.53125" style="1" customWidth="1"/>
    <col min="17" max="16384" width="8.86328125" style="1" hidden="1"/>
  </cols>
  <sheetData>
    <row r="1" spans="2:15" ht="24.95" customHeight="1">
      <c r="B1" s="6"/>
      <c r="C1" s="1"/>
      <c r="F1" s="65" t="s">
        <v>0</v>
      </c>
      <c r="J1" s="12" t="s">
        <v>1</v>
      </c>
    </row>
    <row r="2" spans="2:15" ht="32.25" customHeight="1">
      <c r="M2" s="123" t="s">
        <v>2</v>
      </c>
      <c r="N2" s="123"/>
      <c r="O2" s="123"/>
    </row>
    <row r="3" spans="2:15" ht="30.75" customHeight="1">
      <c r="D3" s="1"/>
      <c r="E3" s="122" t="s">
        <v>3</v>
      </c>
      <c r="F3" s="122"/>
      <c r="G3" s="129" t="s">
        <v>4</v>
      </c>
      <c r="H3" s="129"/>
      <c r="I3" s="66" t="s">
        <v>5</v>
      </c>
      <c r="J3" s="132" t="s">
        <v>6</v>
      </c>
      <c r="K3" s="132"/>
      <c r="L3" s="67" t="s">
        <v>7</v>
      </c>
      <c r="M3" s="121" t="s">
        <v>8</v>
      </c>
      <c r="N3" s="121"/>
    </row>
    <row r="4" spans="2:15" ht="36.75" customHeight="1">
      <c r="D4" s="1"/>
      <c r="E4" s="1"/>
      <c r="F4" s="67" t="s">
        <v>9</v>
      </c>
      <c r="G4" s="10"/>
      <c r="H4" s="130"/>
      <c r="I4" s="131"/>
      <c r="J4" s="131"/>
      <c r="K4" s="131"/>
      <c r="L4" s="131"/>
      <c r="M4" s="131"/>
      <c r="N4" s="131"/>
      <c r="O4" s="17"/>
    </row>
    <row r="5" spans="2:15"/>
    <row r="6" spans="2:15" ht="16.149999999999999" thickBot="1">
      <c r="B6" s="11" t="s">
        <v>10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</row>
    <row r="7" spans="2:15">
      <c r="B7" s="136" t="s">
        <v>11</v>
      </c>
      <c r="C7" s="138" t="s">
        <v>12</v>
      </c>
      <c r="D7" s="139"/>
      <c r="E7" s="139"/>
      <c r="F7" s="139"/>
      <c r="G7" s="133" t="s">
        <v>13</v>
      </c>
      <c r="H7" s="134"/>
      <c r="I7" s="134"/>
      <c r="J7" s="135"/>
      <c r="K7" s="147" t="s">
        <v>14</v>
      </c>
      <c r="L7" s="147"/>
      <c r="M7" s="148"/>
      <c r="N7" s="145" t="s">
        <v>15</v>
      </c>
      <c r="O7" s="127" t="s">
        <v>16</v>
      </c>
    </row>
    <row r="8" spans="2:15" ht="83.25" customHeight="1">
      <c r="B8" s="137"/>
      <c r="C8" s="100" t="s">
        <v>17</v>
      </c>
      <c r="D8" s="101" t="s">
        <v>18</v>
      </c>
      <c r="E8" s="101" t="s">
        <v>129</v>
      </c>
      <c r="F8" s="102" t="s">
        <v>19</v>
      </c>
      <c r="G8" s="103" t="s">
        <v>20</v>
      </c>
      <c r="H8" s="104" t="s">
        <v>21</v>
      </c>
      <c r="I8" s="104" t="s">
        <v>22</v>
      </c>
      <c r="J8" s="105" t="s">
        <v>23</v>
      </c>
      <c r="K8" s="106" t="s">
        <v>24</v>
      </c>
      <c r="L8" s="107" t="s">
        <v>25</v>
      </c>
      <c r="M8" s="108" t="s">
        <v>26</v>
      </c>
      <c r="N8" s="146"/>
      <c r="O8" s="128"/>
    </row>
    <row r="9" spans="2:15">
      <c r="B9" s="92"/>
      <c r="C9" s="29"/>
      <c r="D9" s="94"/>
      <c r="E9" s="96">
        <f>D9*0.7</f>
        <v>0</v>
      </c>
      <c r="F9" s="21"/>
      <c r="G9" s="29"/>
      <c r="H9" s="14"/>
      <c r="I9" s="14"/>
      <c r="J9" s="30"/>
      <c r="K9" s="25"/>
      <c r="L9" s="14"/>
      <c r="M9" s="30"/>
      <c r="N9" s="36"/>
      <c r="O9" s="28">
        <f>SUM(C9,E9:N9)</f>
        <v>0</v>
      </c>
    </row>
    <row r="10" spans="2:15">
      <c r="B10" s="93"/>
      <c r="C10" s="97"/>
      <c r="D10" s="95"/>
      <c r="E10" s="96">
        <f t="shared" ref="E10:E29" si="0">D10*0.7</f>
        <v>0</v>
      </c>
      <c r="F10" s="22"/>
      <c r="G10" s="29"/>
      <c r="H10" s="14"/>
      <c r="I10" s="14"/>
      <c r="J10" s="30"/>
      <c r="K10" s="25"/>
      <c r="L10" s="14"/>
      <c r="M10" s="30"/>
      <c r="O10" s="28">
        <f>SUM(C10,E10:N10)</f>
        <v>0</v>
      </c>
    </row>
    <row r="11" spans="2:15">
      <c r="B11" s="93"/>
      <c r="C11" s="29"/>
      <c r="D11" s="95"/>
      <c r="E11" s="96">
        <f t="shared" si="0"/>
        <v>0</v>
      </c>
      <c r="F11" s="23"/>
      <c r="G11" s="29"/>
      <c r="H11" s="15"/>
      <c r="I11" s="15"/>
      <c r="J11" s="32"/>
      <c r="K11" s="26"/>
      <c r="L11" s="14"/>
      <c r="M11" s="30"/>
      <c r="N11" s="36"/>
      <c r="O11" s="28">
        <f t="shared" ref="O11:O29" si="1">SUM(C11,E11:N11)</f>
        <v>0</v>
      </c>
    </row>
    <row r="12" spans="2:15">
      <c r="B12" s="93"/>
      <c r="C12" s="29"/>
      <c r="D12" s="95"/>
      <c r="E12" s="96">
        <f t="shared" si="0"/>
        <v>0</v>
      </c>
      <c r="F12" s="22"/>
      <c r="G12" s="29"/>
      <c r="H12" s="14"/>
      <c r="I12" s="14"/>
      <c r="J12" s="30"/>
      <c r="K12" s="25"/>
      <c r="L12" s="14"/>
      <c r="M12" s="30"/>
      <c r="N12" s="36"/>
      <c r="O12" s="28">
        <f t="shared" si="1"/>
        <v>0</v>
      </c>
    </row>
    <row r="13" spans="2:15">
      <c r="B13" s="93"/>
      <c r="C13" s="29"/>
      <c r="D13" s="95"/>
      <c r="E13" s="96">
        <f t="shared" si="0"/>
        <v>0</v>
      </c>
      <c r="F13" s="22"/>
      <c r="G13" s="29"/>
      <c r="H13" s="14"/>
      <c r="I13" s="14"/>
      <c r="J13" s="30"/>
      <c r="K13" s="25"/>
      <c r="L13" s="14"/>
      <c r="M13" s="30"/>
      <c r="N13" s="36"/>
      <c r="O13" s="28">
        <f>SUM(C13,E13:N13)</f>
        <v>0</v>
      </c>
    </row>
    <row r="14" spans="2:15">
      <c r="B14" s="93"/>
      <c r="C14" s="29"/>
      <c r="D14" s="95"/>
      <c r="E14" s="96">
        <f t="shared" si="0"/>
        <v>0</v>
      </c>
      <c r="F14" s="23"/>
      <c r="G14" s="31"/>
      <c r="H14" s="15"/>
      <c r="I14" s="15"/>
      <c r="J14" s="32"/>
      <c r="K14" s="26"/>
      <c r="L14" s="15"/>
      <c r="M14" s="32"/>
      <c r="N14" s="36"/>
      <c r="O14" s="28">
        <f t="shared" si="1"/>
        <v>0</v>
      </c>
    </row>
    <row r="15" spans="2:15">
      <c r="B15" s="93"/>
      <c r="C15" s="29"/>
      <c r="D15" s="95"/>
      <c r="E15" s="96">
        <f t="shared" si="0"/>
        <v>0</v>
      </c>
      <c r="F15" s="23"/>
      <c r="G15" s="29"/>
      <c r="H15" s="14"/>
      <c r="I15" s="14"/>
      <c r="J15" s="30"/>
      <c r="K15" s="25"/>
      <c r="L15" s="14"/>
      <c r="M15" s="30"/>
      <c r="N15" s="36"/>
      <c r="O15" s="28">
        <f t="shared" si="1"/>
        <v>0</v>
      </c>
    </row>
    <row r="16" spans="2:15">
      <c r="B16" s="93"/>
      <c r="C16" s="29"/>
      <c r="D16" s="95"/>
      <c r="E16" s="96">
        <f t="shared" si="0"/>
        <v>0</v>
      </c>
      <c r="F16" s="22"/>
      <c r="G16" s="29"/>
      <c r="H16" s="14"/>
      <c r="I16" s="14"/>
      <c r="J16" s="30"/>
      <c r="K16" s="25"/>
      <c r="L16" s="14"/>
      <c r="M16" s="30"/>
      <c r="N16" s="36"/>
      <c r="O16" s="28">
        <f t="shared" si="1"/>
        <v>0</v>
      </c>
    </row>
    <row r="17" spans="2:15">
      <c r="B17" s="93"/>
      <c r="C17" s="29"/>
      <c r="D17" s="95"/>
      <c r="E17" s="96">
        <f t="shared" si="0"/>
        <v>0</v>
      </c>
      <c r="F17" s="22"/>
      <c r="G17" s="29"/>
      <c r="H17" s="14"/>
      <c r="I17" s="14"/>
      <c r="J17" s="30"/>
      <c r="K17" s="25"/>
      <c r="L17" s="14"/>
      <c r="M17" s="30"/>
      <c r="N17" s="36"/>
      <c r="O17" s="28">
        <f t="shared" si="1"/>
        <v>0</v>
      </c>
    </row>
    <row r="18" spans="2:15">
      <c r="B18" s="93"/>
      <c r="C18" s="29"/>
      <c r="D18" s="95"/>
      <c r="E18" s="96">
        <f t="shared" si="0"/>
        <v>0</v>
      </c>
      <c r="F18" s="22"/>
      <c r="G18" s="29"/>
      <c r="H18" s="14"/>
      <c r="I18" s="14"/>
      <c r="J18" s="30"/>
      <c r="K18" s="25"/>
      <c r="L18" s="14"/>
      <c r="M18" s="30"/>
      <c r="N18" s="36"/>
      <c r="O18" s="28">
        <f t="shared" si="1"/>
        <v>0</v>
      </c>
    </row>
    <row r="19" spans="2:15">
      <c r="B19" s="93"/>
      <c r="C19" s="31"/>
      <c r="D19" s="95"/>
      <c r="E19" s="96">
        <f t="shared" si="0"/>
        <v>0</v>
      </c>
      <c r="F19" s="23"/>
      <c r="G19" s="31"/>
      <c r="H19" s="15"/>
      <c r="I19" s="15"/>
      <c r="J19" s="32"/>
      <c r="K19" s="26"/>
      <c r="L19" s="15"/>
      <c r="M19" s="32"/>
      <c r="N19" s="36"/>
      <c r="O19" s="28">
        <f t="shared" si="1"/>
        <v>0</v>
      </c>
    </row>
    <row r="20" spans="2:15">
      <c r="B20" s="93"/>
      <c r="C20" s="31"/>
      <c r="D20" s="95"/>
      <c r="E20" s="96">
        <f t="shared" si="0"/>
        <v>0</v>
      </c>
      <c r="F20" s="23"/>
      <c r="G20" s="31"/>
      <c r="H20" s="15"/>
      <c r="I20" s="15"/>
      <c r="J20" s="32"/>
      <c r="K20" s="26"/>
      <c r="L20" s="15"/>
      <c r="M20" s="32"/>
      <c r="N20" s="36"/>
      <c r="O20" s="28">
        <f t="shared" si="1"/>
        <v>0</v>
      </c>
    </row>
    <row r="21" spans="2:15">
      <c r="B21" s="93"/>
      <c r="C21" s="29"/>
      <c r="D21" s="95"/>
      <c r="E21" s="96">
        <f t="shared" si="0"/>
        <v>0</v>
      </c>
      <c r="F21" s="22"/>
      <c r="G21" s="29"/>
      <c r="H21" s="14"/>
      <c r="I21" s="14"/>
      <c r="J21" s="30"/>
      <c r="K21" s="25"/>
      <c r="L21" s="14"/>
      <c r="M21" s="30"/>
      <c r="N21" s="36"/>
      <c r="O21" s="28">
        <f t="shared" si="1"/>
        <v>0</v>
      </c>
    </row>
    <row r="22" spans="2:15">
      <c r="B22" s="93"/>
      <c r="C22" s="29"/>
      <c r="D22" s="95"/>
      <c r="E22" s="96">
        <f t="shared" si="0"/>
        <v>0</v>
      </c>
      <c r="F22" s="22"/>
      <c r="G22" s="29"/>
      <c r="H22" s="14"/>
      <c r="I22" s="14"/>
      <c r="J22" s="30"/>
      <c r="K22" s="25"/>
      <c r="L22" s="14"/>
      <c r="M22" s="30"/>
      <c r="N22" s="36"/>
      <c r="O22" s="28">
        <f t="shared" si="1"/>
        <v>0</v>
      </c>
    </row>
    <row r="23" spans="2:15">
      <c r="B23" s="93"/>
      <c r="C23" s="29"/>
      <c r="D23" s="95"/>
      <c r="E23" s="96">
        <f t="shared" si="0"/>
        <v>0</v>
      </c>
      <c r="F23" s="22"/>
      <c r="G23" s="29"/>
      <c r="H23" s="14"/>
      <c r="I23" s="14"/>
      <c r="J23" s="30"/>
      <c r="K23" s="25"/>
      <c r="L23" s="14"/>
      <c r="M23" s="30"/>
      <c r="N23" s="36"/>
      <c r="O23" s="28">
        <f t="shared" si="1"/>
        <v>0</v>
      </c>
    </row>
    <row r="24" spans="2:15">
      <c r="B24" s="93"/>
      <c r="C24" s="29"/>
      <c r="D24" s="95"/>
      <c r="E24" s="96">
        <f t="shared" si="0"/>
        <v>0</v>
      </c>
      <c r="F24" s="22"/>
      <c r="G24" s="29"/>
      <c r="H24" s="14"/>
      <c r="I24" s="14"/>
      <c r="J24" s="30"/>
      <c r="K24" s="25"/>
      <c r="L24" s="14"/>
      <c r="M24" s="30"/>
      <c r="N24" s="36"/>
      <c r="O24" s="28">
        <f t="shared" si="1"/>
        <v>0</v>
      </c>
    </row>
    <row r="25" spans="2:15">
      <c r="B25" s="93"/>
      <c r="C25" s="29"/>
      <c r="D25" s="95"/>
      <c r="E25" s="96">
        <f t="shared" si="0"/>
        <v>0</v>
      </c>
      <c r="F25" s="22"/>
      <c r="G25" s="29"/>
      <c r="H25" s="14"/>
      <c r="I25" s="14"/>
      <c r="J25" s="30"/>
      <c r="K25" s="25"/>
      <c r="L25" s="14"/>
      <c r="M25" s="30"/>
      <c r="N25" s="36"/>
      <c r="O25" s="28">
        <f t="shared" si="1"/>
        <v>0</v>
      </c>
    </row>
    <row r="26" spans="2:15">
      <c r="B26" s="93"/>
      <c r="C26" s="33"/>
      <c r="D26" s="95"/>
      <c r="E26" s="96">
        <f t="shared" si="0"/>
        <v>0</v>
      </c>
      <c r="F26" s="23"/>
      <c r="G26" s="31"/>
      <c r="H26" s="15"/>
      <c r="I26" s="15"/>
      <c r="J26" s="32"/>
      <c r="K26" s="26"/>
      <c r="L26" s="15"/>
      <c r="M26" s="32"/>
      <c r="N26" s="36"/>
      <c r="O26" s="28">
        <f t="shared" si="1"/>
        <v>0</v>
      </c>
    </row>
    <row r="27" spans="2:15">
      <c r="B27" s="93"/>
      <c r="C27" s="29"/>
      <c r="D27" s="95"/>
      <c r="E27" s="96">
        <f t="shared" si="0"/>
        <v>0</v>
      </c>
      <c r="F27" s="22"/>
      <c r="G27" s="29"/>
      <c r="H27" s="14"/>
      <c r="I27" s="14"/>
      <c r="J27" s="30"/>
      <c r="K27" s="25"/>
      <c r="L27" s="14"/>
      <c r="M27" s="30"/>
      <c r="N27" s="36"/>
      <c r="O27" s="28">
        <f t="shared" si="1"/>
        <v>0</v>
      </c>
    </row>
    <row r="28" spans="2:15">
      <c r="B28" s="93"/>
      <c r="C28" s="34"/>
      <c r="D28" s="95"/>
      <c r="E28" s="96">
        <f t="shared" si="0"/>
        <v>0</v>
      </c>
      <c r="F28" s="24"/>
      <c r="G28" s="34"/>
      <c r="H28" s="2"/>
      <c r="I28" s="2"/>
      <c r="J28" s="35"/>
      <c r="K28" s="27"/>
      <c r="L28" s="2"/>
      <c r="M28" s="35"/>
      <c r="N28" s="37"/>
      <c r="O28" s="28">
        <f t="shared" si="1"/>
        <v>0</v>
      </c>
    </row>
    <row r="29" spans="2:15">
      <c r="B29" s="93"/>
      <c r="C29" s="34"/>
      <c r="D29" s="95"/>
      <c r="E29" s="96">
        <f t="shared" si="0"/>
        <v>0</v>
      </c>
      <c r="F29" s="24"/>
      <c r="G29" s="34"/>
      <c r="H29" s="2"/>
      <c r="I29" s="2"/>
      <c r="J29" s="35"/>
      <c r="K29" s="27"/>
      <c r="L29" s="2"/>
      <c r="M29" s="35"/>
      <c r="N29" s="37"/>
      <c r="O29" s="28">
        <f t="shared" si="1"/>
        <v>0</v>
      </c>
    </row>
    <row r="30" spans="2:15" ht="16.149999999999999" thickBot="1">
      <c r="B30" s="40" t="s">
        <v>27</v>
      </c>
      <c r="C30" s="56">
        <f>SUM(C9:C29)</f>
        <v>0</v>
      </c>
      <c r="D30" s="99">
        <f>SUM(D9:D29)</f>
        <v>0</v>
      </c>
      <c r="E30" s="98">
        <f>D30*0.655</f>
        <v>0</v>
      </c>
      <c r="F30" s="63">
        <f>SUM(F9:F29)</f>
        <v>0</v>
      </c>
      <c r="G30" s="56">
        <f t="shared" ref="G30:N30" si="2">SUM(G9:G29)</f>
        <v>0</v>
      </c>
      <c r="H30" s="57">
        <f t="shared" si="2"/>
        <v>0</v>
      </c>
      <c r="I30" s="57">
        <f t="shared" si="2"/>
        <v>0</v>
      </c>
      <c r="J30" s="58">
        <f t="shared" si="2"/>
        <v>0</v>
      </c>
      <c r="K30" s="64">
        <f t="shared" si="2"/>
        <v>0</v>
      </c>
      <c r="L30" s="57">
        <f t="shared" si="2"/>
        <v>0</v>
      </c>
      <c r="M30" s="58">
        <f t="shared" si="2"/>
        <v>0</v>
      </c>
      <c r="N30" s="59">
        <f t="shared" si="2"/>
        <v>0</v>
      </c>
      <c r="O30" s="124"/>
    </row>
    <row r="31" spans="2:15" ht="32.25" thickTop="1" thickBot="1">
      <c r="B31" s="40" t="s">
        <v>28</v>
      </c>
      <c r="C31" s="109"/>
      <c r="D31" s="110"/>
      <c r="E31" s="111"/>
      <c r="F31" s="60">
        <f>SUM(F30,C30,E30)</f>
        <v>0</v>
      </c>
      <c r="G31" s="109"/>
      <c r="H31" s="110"/>
      <c r="I31" s="111"/>
      <c r="J31" s="55">
        <f>SUM(G30:J30)</f>
        <v>0</v>
      </c>
      <c r="K31" s="109"/>
      <c r="L31" s="111"/>
      <c r="M31" s="55">
        <f>SUM(K30:M30)</f>
        <v>0</v>
      </c>
      <c r="N31" s="55">
        <f>SUM(N30)</f>
        <v>0</v>
      </c>
      <c r="O31" s="125"/>
    </row>
    <row r="32" spans="2:15" s="3" customFormat="1" ht="20.25" customHeight="1" thickBot="1">
      <c r="B32" s="112" t="s">
        <v>29</v>
      </c>
      <c r="C32" s="114"/>
      <c r="D32" s="115"/>
      <c r="E32" s="115"/>
      <c r="F32" s="116"/>
      <c r="G32" s="115"/>
      <c r="H32" s="115"/>
      <c r="I32" s="115"/>
      <c r="J32" s="116"/>
      <c r="K32" s="115"/>
      <c r="L32" s="115"/>
      <c r="M32" s="115"/>
      <c r="N32" s="117"/>
      <c r="O32" s="20">
        <f>SUM(C31:N31)</f>
        <v>0</v>
      </c>
    </row>
    <row r="33" spans="2:15" s="3" customFormat="1" ht="21" customHeight="1" thickBot="1">
      <c r="B33" s="113" t="s">
        <v>30</v>
      </c>
      <c r="C33" s="115"/>
      <c r="D33" s="115"/>
      <c r="E33" s="115"/>
      <c r="F33" s="69">
        <f>+COA!C40</f>
        <v>99038</v>
      </c>
      <c r="G33" s="115"/>
      <c r="H33" s="115"/>
      <c r="I33" s="115"/>
      <c r="J33" s="69">
        <f>+COA!C38</f>
        <v>99036</v>
      </c>
      <c r="K33" s="118"/>
      <c r="L33" s="119"/>
      <c r="M33" s="69">
        <f>+COA!C39</f>
        <v>99037</v>
      </c>
      <c r="N33" s="69">
        <f>+COA!C4</f>
        <v>99002</v>
      </c>
      <c r="O33" s="120"/>
    </row>
    <row r="34" spans="2:15" ht="22.5" customHeight="1" thickBot="1">
      <c r="B34" s="1"/>
      <c r="C34" s="1"/>
      <c r="D34" s="1"/>
      <c r="E34" s="1"/>
      <c r="L34" s="140" t="s">
        <v>31</v>
      </c>
      <c r="M34" s="141"/>
      <c r="N34" s="141"/>
      <c r="O34" s="38"/>
    </row>
    <row r="35" spans="2:15" ht="23.25" customHeight="1" thickBot="1">
      <c r="L35" s="142" t="s">
        <v>32</v>
      </c>
      <c r="M35" s="143"/>
      <c r="N35" s="144"/>
      <c r="O35" s="41">
        <f>SUM(O32)-O34</f>
        <v>0</v>
      </c>
    </row>
    <row r="36" spans="2:15"/>
    <row r="37" spans="2:15" ht="12.75" customHeight="1">
      <c r="B37" s="126" t="s">
        <v>33</v>
      </c>
      <c r="C37" s="126"/>
      <c r="D37" s="126"/>
      <c r="E37" s="88"/>
      <c r="F37" s="10"/>
      <c r="G37" s="10"/>
      <c r="H37" s="10"/>
      <c r="I37" s="10"/>
      <c r="J37" s="10"/>
    </row>
    <row r="38" spans="2:15">
      <c r="B38" s="18"/>
      <c r="C38" s="19"/>
      <c r="D38" s="18"/>
      <c r="E38" s="18"/>
      <c r="M38" s="7"/>
      <c r="N38" s="7"/>
    </row>
    <row r="39" spans="2:15" ht="12.75" customHeight="1">
      <c r="B39" s="126" t="s">
        <v>34</v>
      </c>
      <c r="C39" s="126"/>
      <c r="D39" s="126"/>
      <c r="E39" s="88"/>
      <c r="F39" s="10"/>
      <c r="G39" s="10"/>
      <c r="H39" s="10"/>
      <c r="I39" s="10"/>
      <c r="J39" s="10"/>
    </row>
    <row r="40" spans="2:15">
      <c r="F40" s="4" t="s">
        <v>35</v>
      </c>
      <c r="H40" s="4" t="s">
        <v>36</v>
      </c>
      <c r="J40" s="5" t="s">
        <v>37</v>
      </c>
    </row>
    <row r="41" spans="2:15"/>
    <row r="42" spans="2:15"/>
    <row r="43" spans="2:15">
      <c r="B43" s="51" t="s">
        <v>38</v>
      </c>
      <c r="C43" s="52"/>
      <c r="D43" s="52"/>
      <c r="E43" s="52"/>
      <c r="F43" s="52"/>
      <c r="G43" s="52"/>
      <c r="H43" s="52"/>
      <c r="I43" s="52"/>
      <c r="J43" s="52"/>
      <c r="K43" s="52"/>
      <c r="L43" s="53"/>
    </row>
    <row r="44" spans="2:15">
      <c r="B44" s="54" t="s">
        <v>39</v>
      </c>
      <c r="C44" s="52"/>
      <c r="D44" s="52"/>
      <c r="E44" s="52"/>
      <c r="F44" s="52"/>
      <c r="G44" s="52"/>
      <c r="H44" s="52"/>
      <c r="I44" s="52"/>
      <c r="J44" s="52"/>
      <c r="K44" s="52"/>
      <c r="L44" s="53"/>
    </row>
    <row r="45" spans="2:15">
      <c r="B45" s="54" t="s">
        <v>40</v>
      </c>
      <c r="C45" s="52"/>
      <c r="D45" s="52"/>
      <c r="E45" s="52"/>
      <c r="F45" s="52"/>
      <c r="G45" s="52"/>
      <c r="H45" s="52"/>
      <c r="I45" s="52"/>
      <c r="J45" s="52"/>
      <c r="K45" s="52"/>
      <c r="L45" s="53"/>
    </row>
    <row r="46" spans="2:15">
      <c r="B46" s="53" t="s">
        <v>41</v>
      </c>
      <c r="C46" s="52"/>
      <c r="D46" s="52"/>
      <c r="E46" s="52"/>
      <c r="F46" s="52"/>
      <c r="G46" s="52"/>
      <c r="H46" s="52"/>
      <c r="I46" s="52"/>
      <c r="J46" s="52"/>
      <c r="K46" s="52"/>
      <c r="L46" s="53"/>
    </row>
    <row r="47" spans="2:15">
      <c r="B47" s="54" t="s">
        <v>42</v>
      </c>
      <c r="C47" s="52"/>
      <c r="D47" s="52"/>
      <c r="E47" s="52"/>
      <c r="F47" s="52"/>
      <c r="G47" s="52"/>
      <c r="H47" s="52"/>
      <c r="I47" s="52"/>
      <c r="J47" s="52"/>
      <c r="K47" s="52"/>
      <c r="L47" s="53"/>
    </row>
    <row r="48" spans="2:15">
      <c r="B48" s="51" t="s">
        <v>43</v>
      </c>
      <c r="C48" s="52"/>
      <c r="D48" s="52"/>
      <c r="E48" s="52"/>
      <c r="F48" s="52"/>
      <c r="G48" s="52"/>
      <c r="H48" s="52"/>
      <c r="I48" s="52"/>
      <c r="J48" s="52"/>
      <c r="K48" s="52"/>
      <c r="L48" s="53"/>
    </row>
    <row r="49" spans="2:12">
      <c r="B49" s="54"/>
      <c r="C49" s="52"/>
      <c r="D49" s="52"/>
      <c r="E49" s="52"/>
      <c r="F49" s="52"/>
      <c r="G49" s="52"/>
      <c r="H49" s="52"/>
      <c r="I49" s="52"/>
      <c r="J49" s="52"/>
      <c r="K49" s="52"/>
      <c r="L49" s="53"/>
    </row>
    <row r="50" spans="2:12">
      <c r="B50" s="50"/>
      <c r="C50" s="4"/>
      <c r="D50" s="4"/>
      <c r="E50" s="4"/>
      <c r="F50" s="4"/>
      <c r="G50" s="4"/>
      <c r="H50" s="4"/>
      <c r="I50" s="4"/>
      <c r="J50" s="4"/>
      <c r="K50" s="4"/>
      <c r="L50" s="5"/>
    </row>
  </sheetData>
  <dataConsolidate/>
  <mergeCells count="17">
    <mergeCell ref="B39:D39"/>
    <mergeCell ref="G7:J7"/>
    <mergeCell ref="B7:B8"/>
    <mergeCell ref="C7:F7"/>
    <mergeCell ref="L34:N34"/>
    <mergeCell ref="L35:N35"/>
    <mergeCell ref="N7:N8"/>
    <mergeCell ref="K7:M7"/>
    <mergeCell ref="M3:N3"/>
    <mergeCell ref="E3:F3"/>
    <mergeCell ref="M2:O2"/>
    <mergeCell ref="O30:O31"/>
    <mergeCell ref="B37:D37"/>
    <mergeCell ref="O7:O8"/>
    <mergeCell ref="G3:H3"/>
    <mergeCell ref="H4:N4"/>
    <mergeCell ref="J3:K3"/>
  </mergeCells>
  <printOptions horizontalCentered="1"/>
  <pageMargins left="0.2" right="0.2" top="0.4" bottom="0.49" header="0.24" footer="0.24"/>
  <pageSetup scale="70" orientation="landscape" r:id="rId1"/>
  <headerFooter>
    <oddHeader>&amp;C&amp;10&amp;A&amp;R&amp;8Page &amp;P of &amp;N</oddHeader>
    <oddFooter>&amp;L&amp;"Cambria,Regular"&amp;Z&amp;F.xlsx &amp;"Cambria,Italic"  Sheet: &amp;"Cambria,Regular"&amp;A&amp;RPrint Date: &amp;D &amp;T</oddFoot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COA!$F$2:$F$11</xm:f>
          </x14:formula1>
          <xm:sqref>M3:N3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J50"/>
  <sheetViews>
    <sheetView tabSelected="1" topLeftCell="A12" zoomScale="47" zoomScaleNormal="100" workbookViewId="0">
      <selection activeCell="F31" sqref="F31"/>
    </sheetView>
  </sheetViews>
  <sheetFormatPr defaultColWidth="0" defaultRowHeight="15.75" zeroHeight="1"/>
  <cols>
    <col min="1" max="1" width="3.53125" style="1" customWidth="1"/>
    <col min="2" max="2" width="17.86328125" style="9" customWidth="1"/>
    <col min="3" max="3" width="26" style="7" customWidth="1"/>
    <col min="4" max="4" width="25" style="7" customWidth="1"/>
    <col min="5" max="5" width="42.46484375" style="7" customWidth="1"/>
    <col min="6" max="6" width="17.1328125" style="7" customWidth="1"/>
    <col min="7" max="7" width="17.53125" style="7" customWidth="1"/>
    <col min="8" max="8" width="10.1328125" style="7" bestFit="1" customWidth="1"/>
    <col min="9" max="9" width="17.6640625" style="1" customWidth="1"/>
    <col min="10" max="10" width="10.6640625" style="1" customWidth="1"/>
    <col min="11" max="16384" width="8.86328125" style="1" hidden="1"/>
  </cols>
  <sheetData>
    <row r="1" spans="2:9" ht="24.95" customHeight="1">
      <c r="B1" s="6"/>
      <c r="C1" s="1"/>
      <c r="D1" s="71"/>
      <c r="E1" s="71"/>
      <c r="F1" s="8" t="s">
        <v>44</v>
      </c>
      <c r="G1" s="8" t="s">
        <v>1</v>
      </c>
    </row>
    <row r="2" spans="2:9"/>
    <row r="3" spans="2:9" ht="19.5" customHeight="1">
      <c r="D3" s="43" t="s">
        <v>3</v>
      </c>
      <c r="E3" s="158" t="s">
        <v>45</v>
      </c>
      <c r="F3" s="159"/>
      <c r="G3" s="159"/>
      <c r="H3" s="160"/>
    </row>
    <row r="4" spans="2:9" ht="19.5" customHeight="1">
      <c r="D4" s="70" t="s">
        <v>5</v>
      </c>
      <c r="E4" s="158" t="s">
        <v>6</v>
      </c>
      <c r="F4" s="161"/>
      <c r="G4" s="161"/>
      <c r="H4" s="162"/>
    </row>
    <row r="5" spans="2:9" ht="19.5" customHeight="1">
      <c r="D5" s="42" t="s">
        <v>7</v>
      </c>
      <c r="E5" s="158" t="s">
        <v>8</v>
      </c>
      <c r="F5" s="161"/>
      <c r="G5" s="161"/>
      <c r="H5" s="162"/>
    </row>
    <row r="6" spans="2:9">
      <c r="B6" s="11" t="s">
        <v>46</v>
      </c>
      <c r="C6" s="12"/>
      <c r="D6" s="12"/>
      <c r="E6" s="12"/>
      <c r="F6" s="163" t="s">
        <v>47</v>
      </c>
      <c r="G6" s="163"/>
      <c r="H6" s="163"/>
    </row>
    <row r="7" spans="2:9" s="7" customFormat="1" ht="50.25" customHeight="1">
      <c r="B7" s="61" t="s">
        <v>11</v>
      </c>
      <c r="C7" s="13" t="s">
        <v>48</v>
      </c>
      <c r="D7" s="154" t="s">
        <v>9</v>
      </c>
      <c r="E7" s="155"/>
      <c r="F7" s="13" t="s">
        <v>49</v>
      </c>
      <c r="G7" s="13" t="s">
        <v>50</v>
      </c>
      <c r="H7" s="14" t="s">
        <v>51</v>
      </c>
      <c r="I7" s="16" t="s">
        <v>52</v>
      </c>
    </row>
    <row r="8" spans="2:9">
      <c r="B8" s="62"/>
      <c r="C8" s="72" t="s">
        <v>53</v>
      </c>
      <c r="D8" s="156"/>
      <c r="E8" s="157"/>
      <c r="F8" s="13" t="s">
        <v>54</v>
      </c>
      <c r="G8" s="13" t="s">
        <v>54</v>
      </c>
      <c r="H8" s="76"/>
      <c r="I8" s="78"/>
    </row>
    <row r="9" spans="2:9">
      <c r="B9" s="39"/>
      <c r="C9" s="91"/>
      <c r="D9" s="149"/>
      <c r="E9" s="150"/>
      <c r="F9" s="14" t="s">
        <v>55</v>
      </c>
      <c r="G9" s="14" t="s">
        <v>55</v>
      </c>
      <c r="H9" s="77" t="str">
        <f>IFERROR(VLOOKUP(C9,COA!$B$3:$C$56,2,FALSE),"")</f>
        <v/>
      </c>
      <c r="I9" s="79"/>
    </row>
    <row r="10" spans="2:9">
      <c r="B10" s="39"/>
      <c r="C10" s="91"/>
      <c r="D10" s="149"/>
      <c r="E10" s="150"/>
      <c r="F10" s="14" t="s">
        <v>55</v>
      </c>
      <c r="G10" s="14" t="s">
        <v>55</v>
      </c>
      <c r="H10" s="77" t="str">
        <f>IFERROR(VLOOKUP(C10,COA!$B$3:$C$56,2,FALSE),"")</f>
        <v/>
      </c>
      <c r="I10" s="79"/>
    </row>
    <row r="11" spans="2:9">
      <c r="B11" s="39"/>
      <c r="C11" s="91"/>
      <c r="D11" s="149"/>
      <c r="E11" s="150"/>
      <c r="F11" s="14" t="s">
        <v>55</v>
      </c>
      <c r="G11" s="14" t="s">
        <v>55</v>
      </c>
      <c r="H11" s="77" t="str">
        <f>IFERROR(VLOOKUP(C11,COA!$B$3:$C$56,2,FALSE),"")</f>
        <v/>
      </c>
      <c r="I11" s="79"/>
    </row>
    <row r="12" spans="2:9">
      <c r="B12" s="39"/>
      <c r="C12" s="91"/>
      <c r="D12" s="149"/>
      <c r="E12" s="150"/>
      <c r="F12" s="14" t="s">
        <v>55</v>
      </c>
      <c r="G12" s="14" t="s">
        <v>55</v>
      </c>
      <c r="H12" s="77" t="str">
        <f>IFERROR(VLOOKUP(C12,COA!$B$3:$C$56,2,FALSE),"")</f>
        <v/>
      </c>
      <c r="I12" s="79"/>
    </row>
    <row r="13" spans="2:9">
      <c r="B13" s="39"/>
      <c r="C13" s="91"/>
      <c r="D13" s="149"/>
      <c r="E13" s="150"/>
      <c r="F13" s="14" t="s">
        <v>55</v>
      </c>
      <c r="G13" s="14" t="s">
        <v>55</v>
      </c>
      <c r="H13" s="77" t="str">
        <f>IFERROR(VLOOKUP(C13,COA!$B$3:$C$56,2,FALSE),"")</f>
        <v/>
      </c>
      <c r="I13" s="79"/>
    </row>
    <row r="14" spans="2:9">
      <c r="B14" s="39"/>
      <c r="C14" s="91"/>
      <c r="D14" s="149"/>
      <c r="E14" s="150"/>
      <c r="F14" s="14" t="s">
        <v>55</v>
      </c>
      <c r="G14" s="14" t="s">
        <v>55</v>
      </c>
      <c r="H14" s="77" t="str">
        <f>IFERROR(VLOOKUP(C14,COA!$B$3:$C$56,2,FALSE),"")</f>
        <v/>
      </c>
      <c r="I14" s="79"/>
    </row>
    <row r="15" spans="2:9">
      <c r="B15" s="39"/>
      <c r="C15" s="91"/>
      <c r="D15" s="149"/>
      <c r="E15" s="150"/>
      <c r="F15" s="14"/>
      <c r="G15" s="14"/>
      <c r="H15" s="77" t="str">
        <f>IFERROR(VLOOKUP(C15,COA!$B$3:$C$56,2,FALSE),"")</f>
        <v/>
      </c>
      <c r="I15" s="79"/>
    </row>
    <row r="16" spans="2:9">
      <c r="B16" s="39"/>
      <c r="C16" s="91"/>
      <c r="D16" s="149"/>
      <c r="E16" s="150"/>
      <c r="F16" s="14"/>
      <c r="G16" s="14"/>
      <c r="H16" s="77" t="str">
        <f>IFERROR(VLOOKUP(C16,COA!$B$3:$C$56,2,FALSE),"")</f>
        <v/>
      </c>
      <c r="I16" s="79"/>
    </row>
    <row r="17" spans="2:9">
      <c r="B17" s="39"/>
      <c r="C17" s="91"/>
      <c r="D17" s="149"/>
      <c r="E17" s="150"/>
      <c r="F17" s="14"/>
      <c r="G17" s="14"/>
      <c r="H17" s="77" t="str">
        <f>IFERROR(VLOOKUP(C17,COA!$B$3:$C$56,2,FALSE),"")</f>
        <v/>
      </c>
      <c r="I17" s="79"/>
    </row>
    <row r="18" spans="2:9">
      <c r="B18" s="39"/>
      <c r="C18" s="91"/>
      <c r="D18" s="149"/>
      <c r="E18" s="150"/>
      <c r="F18" s="15"/>
      <c r="G18" s="15"/>
      <c r="H18" s="77" t="str">
        <f>IFERROR(VLOOKUP(C18,COA!$B$3:$C$56,2,FALSE),"")</f>
        <v/>
      </c>
      <c r="I18" s="79"/>
    </row>
    <row r="19" spans="2:9">
      <c r="B19" s="39"/>
      <c r="C19" s="91"/>
      <c r="D19" s="149"/>
      <c r="E19" s="150"/>
      <c r="F19" s="15"/>
      <c r="G19" s="15"/>
      <c r="H19" s="77" t="str">
        <f>IFERROR(VLOOKUP(C19,COA!$B$3:$C$56,2,FALSE),"")</f>
        <v/>
      </c>
      <c r="I19" s="79"/>
    </row>
    <row r="20" spans="2:9">
      <c r="B20" s="39"/>
      <c r="C20" s="91"/>
      <c r="D20" s="149"/>
      <c r="E20" s="150"/>
      <c r="F20" s="14"/>
      <c r="G20" s="14"/>
      <c r="H20" s="77" t="str">
        <f>IFERROR(VLOOKUP(C20,COA!$B$3:$C$56,2,FALSE),"")</f>
        <v/>
      </c>
      <c r="I20" s="79"/>
    </row>
    <row r="21" spans="2:9">
      <c r="B21" s="39"/>
      <c r="C21" s="91"/>
      <c r="D21" s="149"/>
      <c r="E21" s="150"/>
      <c r="F21" s="14"/>
      <c r="G21" s="14"/>
      <c r="H21" s="77" t="str">
        <f>IFERROR(VLOOKUP(C21,COA!$B$3:$C$56,2,FALSE),"")</f>
        <v/>
      </c>
      <c r="I21" s="79"/>
    </row>
    <row r="22" spans="2:9">
      <c r="B22" s="39"/>
      <c r="C22" s="91"/>
      <c r="D22" s="149"/>
      <c r="E22" s="150"/>
      <c r="F22" s="14"/>
      <c r="G22" s="14"/>
      <c r="H22" s="77" t="str">
        <f>IFERROR(VLOOKUP(C22,COA!$B$3:$C$56,2,FALSE),"")</f>
        <v/>
      </c>
      <c r="I22" s="79"/>
    </row>
    <row r="23" spans="2:9">
      <c r="B23" s="39"/>
      <c r="C23" s="91"/>
      <c r="D23" s="149"/>
      <c r="E23" s="150"/>
      <c r="F23" s="14"/>
      <c r="G23" s="14"/>
      <c r="H23" s="77" t="str">
        <f>IFERROR(VLOOKUP(C23,COA!$B$3:$C$56,2,FALSE),"")</f>
        <v/>
      </c>
      <c r="I23" s="79"/>
    </row>
    <row r="24" spans="2:9">
      <c r="B24" s="39"/>
      <c r="C24" s="91"/>
      <c r="D24" s="149"/>
      <c r="E24" s="150"/>
      <c r="F24" s="14"/>
      <c r="G24" s="14"/>
      <c r="H24" s="77" t="str">
        <f>IFERROR(VLOOKUP(C24,COA!$B$3:$C$56,2,FALSE),"")</f>
        <v/>
      </c>
      <c r="I24" s="79"/>
    </row>
    <row r="25" spans="2:9">
      <c r="B25" s="39"/>
      <c r="C25" s="91"/>
      <c r="D25" s="149"/>
      <c r="E25" s="150"/>
      <c r="F25" s="15"/>
      <c r="G25" s="15"/>
      <c r="H25" s="77" t="str">
        <f>IFERROR(VLOOKUP(C25,COA!$B$3:$C$56,2,FALSE),"")</f>
        <v/>
      </c>
      <c r="I25" s="79"/>
    </row>
    <row r="26" spans="2:9">
      <c r="B26" s="39"/>
      <c r="C26" s="91"/>
      <c r="D26" s="149"/>
      <c r="E26" s="150"/>
      <c r="F26" s="14"/>
      <c r="G26" s="14"/>
      <c r="H26" s="77" t="str">
        <f>IFERROR(VLOOKUP(C26,COA!$B$3:$C$56,2,FALSE),"")</f>
        <v/>
      </c>
      <c r="I26" s="79"/>
    </row>
    <row r="27" spans="2:9">
      <c r="B27" s="39"/>
      <c r="C27" s="91"/>
      <c r="D27" s="149"/>
      <c r="E27" s="150"/>
      <c r="F27" s="2"/>
      <c r="G27" s="2"/>
      <c r="H27" s="77" t="str">
        <f>IFERROR(VLOOKUP(C27,COA!$B$3:$C$56,2,FALSE),"")</f>
        <v/>
      </c>
      <c r="I27" s="79"/>
    </row>
    <row r="28" spans="2:9">
      <c r="B28" s="39"/>
      <c r="C28" s="91"/>
      <c r="D28" s="149"/>
      <c r="E28" s="150"/>
      <c r="F28" s="2"/>
      <c r="G28" s="2"/>
      <c r="H28" s="77" t="str">
        <f>IFERROR(VLOOKUP(C28,COA!$B$3:$C$56,2,FALSE),"")</f>
        <v/>
      </c>
      <c r="I28" s="79"/>
    </row>
    <row r="29" spans="2:9" ht="16.149999999999999" thickBot="1">
      <c r="B29" s="80"/>
      <c r="C29" s="91"/>
      <c r="D29" s="149"/>
      <c r="E29" s="150"/>
      <c r="F29" s="81"/>
      <c r="G29" s="81"/>
      <c r="H29" s="77" t="str">
        <f>IFERROR(VLOOKUP(C29,COA!$B$3:$C$56,2,FALSE),"")</f>
        <v/>
      </c>
      <c r="I29" s="82"/>
    </row>
    <row r="30" spans="2:9" s="3" customFormat="1" ht="20.25" customHeight="1" thickBot="1">
      <c r="B30" s="86" t="s">
        <v>29</v>
      </c>
      <c r="C30" s="84"/>
      <c r="D30" s="84"/>
      <c r="E30" s="84"/>
      <c r="F30" s="84"/>
      <c r="G30" s="84"/>
      <c r="H30" s="85"/>
      <c r="I30" s="83">
        <f>SUM(I9:I29)</f>
        <v>0</v>
      </c>
    </row>
    <row r="31" spans="2:9" ht="22.5" customHeight="1" thickBot="1">
      <c r="B31" s="1"/>
      <c r="C31" s="1"/>
      <c r="D31" s="1"/>
      <c r="E31" s="1"/>
      <c r="F31" s="165" t="s">
        <v>31</v>
      </c>
      <c r="G31" s="75"/>
      <c r="H31" s="75"/>
      <c r="I31" s="90"/>
    </row>
    <row r="32" spans="2:9" ht="23.25" customHeight="1" thickBot="1">
      <c r="D32" s="1"/>
      <c r="E32" s="1"/>
      <c r="F32" s="73" t="s">
        <v>32</v>
      </c>
      <c r="G32" s="74"/>
      <c r="H32" s="74"/>
      <c r="I32" s="20">
        <f>SUM(I30)-I31</f>
        <v>0</v>
      </c>
    </row>
    <row r="33" spans="2:8" ht="33" customHeight="1">
      <c r="B33" s="126" t="s">
        <v>33</v>
      </c>
      <c r="C33" s="126"/>
      <c r="D33" s="153"/>
      <c r="E33" s="153"/>
      <c r="F33" s="10"/>
    </row>
    <row r="34" spans="2:8" ht="30.75" customHeight="1">
      <c r="B34" s="151" t="s">
        <v>34</v>
      </c>
      <c r="C34" s="151"/>
      <c r="D34" s="152"/>
      <c r="E34" s="152"/>
      <c r="F34" s="10"/>
    </row>
    <row r="35" spans="2:8">
      <c r="D35" s="4" t="s">
        <v>56</v>
      </c>
      <c r="E35" s="4"/>
      <c r="F35" s="5" t="s">
        <v>37</v>
      </c>
      <c r="G35" s="1"/>
      <c r="H35" s="1"/>
    </row>
    <row r="36" spans="2:8"/>
    <row r="37" spans="2:8"/>
    <row r="38" spans="2:8">
      <c r="B38" s="51" t="s">
        <v>57</v>
      </c>
      <c r="C38" s="52"/>
      <c r="D38" s="52"/>
      <c r="E38" s="52"/>
      <c r="F38" s="52"/>
      <c r="G38" s="52"/>
      <c r="H38" s="52"/>
    </row>
    <row r="39" spans="2:8">
      <c r="B39" s="54" t="s">
        <v>39</v>
      </c>
      <c r="C39" s="52"/>
      <c r="D39" s="52"/>
      <c r="E39" s="52"/>
      <c r="F39" s="52"/>
      <c r="G39" s="52"/>
      <c r="H39" s="52"/>
    </row>
    <row r="40" spans="2:8">
      <c r="B40" s="54" t="s">
        <v>40</v>
      </c>
      <c r="C40" s="52"/>
      <c r="D40" s="52"/>
      <c r="E40" s="52"/>
      <c r="F40" s="52"/>
      <c r="G40" s="52"/>
      <c r="H40" s="52"/>
    </row>
    <row r="41" spans="2:8">
      <c r="B41" s="53" t="s">
        <v>41</v>
      </c>
      <c r="C41" s="52"/>
      <c r="D41" s="52"/>
      <c r="E41" s="52"/>
      <c r="F41" s="52"/>
      <c r="G41" s="52"/>
      <c r="H41" s="52"/>
    </row>
    <row r="42" spans="2:8">
      <c r="B42" s="54" t="s">
        <v>42</v>
      </c>
      <c r="C42" s="52"/>
      <c r="D42" s="52"/>
      <c r="E42" s="52"/>
      <c r="F42" s="52"/>
      <c r="G42" s="52"/>
      <c r="H42" s="52"/>
    </row>
    <row r="43" spans="2:8">
      <c r="B43" s="51" t="s">
        <v>43</v>
      </c>
      <c r="C43" s="52"/>
      <c r="D43" s="52"/>
      <c r="E43" s="52"/>
      <c r="F43" s="52"/>
      <c r="G43" s="52"/>
      <c r="H43" s="52"/>
    </row>
    <row r="44" spans="2:8">
      <c r="B44" s="54"/>
      <c r="C44" s="52"/>
      <c r="D44" s="52"/>
      <c r="E44" s="52"/>
      <c r="F44" s="52"/>
      <c r="G44" s="52"/>
      <c r="H44" s="52"/>
    </row>
    <row r="45" spans="2:8">
      <c r="B45" s="51" t="s">
        <v>58</v>
      </c>
      <c r="C45" s="52"/>
      <c r="D45" s="52"/>
      <c r="E45" s="52"/>
      <c r="F45" s="52"/>
      <c r="G45" s="52"/>
      <c r="H45" s="52"/>
    </row>
    <row r="46" spans="2:8">
      <c r="B46" s="54" t="s">
        <v>59</v>
      </c>
      <c r="C46" s="52"/>
      <c r="D46" s="52"/>
      <c r="E46" s="52"/>
      <c r="F46" s="52"/>
      <c r="G46" s="52"/>
      <c r="H46" s="52"/>
    </row>
    <row r="47" spans="2:8">
      <c r="B47" s="54" t="s">
        <v>60</v>
      </c>
      <c r="C47" s="52"/>
      <c r="D47" s="52"/>
      <c r="E47" s="52"/>
      <c r="F47" s="52"/>
      <c r="G47" s="52"/>
      <c r="H47" s="52"/>
    </row>
    <row r="48" spans="2:8">
      <c r="B48" s="54" t="s">
        <v>61</v>
      </c>
      <c r="C48" s="52"/>
      <c r="D48" s="52"/>
      <c r="E48" s="52"/>
      <c r="F48" s="52"/>
      <c r="G48" s="52"/>
      <c r="H48" s="52"/>
    </row>
    <row r="49" spans="2:8">
      <c r="B49" s="54" t="s">
        <v>128</v>
      </c>
      <c r="C49" s="87"/>
      <c r="D49" s="87"/>
      <c r="E49" s="87"/>
      <c r="F49" s="87"/>
      <c r="G49" s="87"/>
      <c r="H49" s="87"/>
    </row>
    <row r="50" spans="2:8"/>
  </sheetData>
  <dataConsolidate/>
  <mergeCells count="31">
    <mergeCell ref="E3:H3"/>
    <mergeCell ref="E4:H4"/>
    <mergeCell ref="E5:H5"/>
    <mergeCell ref="D18:E18"/>
    <mergeCell ref="D19:E19"/>
    <mergeCell ref="F6:H6"/>
    <mergeCell ref="D20:E20"/>
    <mergeCell ref="D21:E21"/>
    <mergeCell ref="D7:E7"/>
    <mergeCell ref="D8:E8"/>
    <mergeCell ref="D13:E13"/>
    <mergeCell ref="D14:E14"/>
    <mergeCell ref="D15:E15"/>
    <mergeCell ref="D16:E16"/>
    <mergeCell ref="D17:E17"/>
    <mergeCell ref="D9:E9"/>
    <mergeCell ref="D10:E10"/>
    <mergeCell ref="D11:E11"/>
    <mergeCell ref="D12:E12"/>
    <mergeCell ref="D22:E22"/>
    <mergeCell ref="D23:E23"/>
    <mergeCell ref="B34:C34"/>
    <mergeCell ref="B33:C33"/>
    <mergeCell ref="D34:E34"/>
    <mergeCell ref="D33:E33"/>
    <mergeCell ref="D26:E26"/>
    <mergeCell ref="D27:E27"/>
    <mergeCell ref="D28:E28"/>
    <mergeCell ref="D29:E29"/>
    <mergeCell ref="D24:E24"/>
    <mergeCell ref="D25:E25"/>
  </mergeCells>
  <pageMargins left="0.17" right="0.17" top="0.55000000000000004" bottom="0.51" header="0.3" footer="0.24"/>
  <pageSetup scale="78" orientation="landscape" r:id="rId1"/>
  <headerFooter>
    <oddHeader>&amp;C&amp;10&amp;A&amp;R&amp;8Page &amp;P of &amp;N</oddHeader>
    <oddFooter>&amp;L&amp;"Cambria,Regular"&amp;Z&amp;F.xlsx &amp;"Cambria,Italic"  Sheet: &amp;"Cambria,Regular"&amp;A&amp;RPrint Date: &amp;D &amp;T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COA!$B$3:$B$56</xm:f>
          </x14:formula1>
          <xm:sqref>C9:C29</xm:sqref>
        </x14:dataValidation>
        <x14:dataValidation type="list" allowBlank="1" showInputMessage="1" showErrorMessage="1" xr:uid="{00000000-0002-0000-0100-000001000000}">
          <x14:formula1>
            <xm:f>COA!$F$2:$F$11</xm:f>
          </x14:formula1>
          <xm:sqref>E5:H5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57"/>
  <sheetViews>
    <sheetView zoomScale="83" zoomScaleNormal="100" workbookViewId="0">
      <pane ySplit="1" topLeftCell="A2" activePane="bottomLeft" state="frozen"/>
      <selection pane="bottomLeft" activeCell="F13" sqref="F13"/>
    </sheetView>
  </sheetViews>
  <sheetFormatPr defaultColWidth="0" defaultRowHeight="12.75"/>
  <cols>
    <col min="1" max="1" width="3.33203125" customWidth="1"/>
    <col min="2" max="2" width="43" customWidth="1"/>
    <col min="3" max="3" width="9.86328125" style="49" bestFit="1" customWidth="1"/>
    <col min="4" max="4" width="4.53125" customWidth="1"/>
    <col min="5" max="5" width="4.86328125" customWidth="1"/>
    <col min="6" max="6" width="48.86328125" customWidth="1"/>
    <col min="7" max="7" width="15.86328125" bestFit="1" customWidth="1"/>
    <col min="8" max="9" width="8.86328125" customWidth="1"/>
    <col min="10" max="11" width="0" hidden="1" customWidth="1"/>
    <col min="12" max="16384" width="8.86328125" hidden="1"/>
  </cols>
  <sheetData>
    <row r="1" spans="2:7" ht="14.25">
      <c r="B1" s="47" t="s">
        <v>62</v>
      </c>
      <c r="C1" s="49" t="s">
        <v>63</v>
      </c>
      <c r="F1" s="47" t="s">
        <v>62</v>
      </c>
      <c r="G1" s="48" t="s">
        <v>64</v>
      </c>
    </row>
    <row r="2" spans="2:7" ht="14.25">
      <c r="B2" s="47" t="s">
        <v>53</v>
      </c>
      <c r="F2" t="s">
        <v>8</v>
      </c>
      <c r="G2" s="49">
        <v>100</v>
      </c>
    </row>
    <row r="3" spans="2:7">
      <c r="B3" t="s">
        <v>65</v>
      </c>
      <c r="C3" s="49">
        <v>99001</v>
      </c>
      <c r="D3" s="49"/>
      <c r="F3" t="s">
        <v>66</v>
      </c>
      <c r="G3" s="49">
        <v>200</v>
      </c>
    </row>
    <row r="4" spans="2:7">
      <c r="B4" s="68" t="s">
        <v>67</v>
      </c>
      <c r="C4" s="49">
        <v>99002</v>
      </c>
      <c r="D4" s="49"/>
      <c r="F4" t="s">
        <v>68</v>
      </c>
      <c r="G4" s="49">
        <v>300</v>
      </c>
    </row>
    <row r="5" spans="2:7">
      <c r="B5" t="s">
        <v>69</v>
      </c>
      <c r="C5" s="49">
        <v>99003</v>
      </c>
      <c r="D5" s="49"/>
      <c r="F5" t="s">
        <v>70</v>
      </c>
      <c r="G5" s="49">
        <v>400</v>
      </c>
    </row>
    <row r="6" spans="2:7">
      <c r="B6" t="s">
        <v>71</v>
      </c>
      <c r="C6" s="49">
        <v>99004</v>
      </c>
      <c r="D6" s="49"/>
      <c r="F6" t="s">
        <v>72</v>
      </c>
      <c r="G6" s="49">
        <v>500</v>
      </c>
    </row>
    <row r="7" spans="2:7">
      <c r="B7" t="s">
        <v>73</v>
      </c>
      <c r="C7" s="49">
        <v>99005</v>
      </c>
      <c r="D7" s="49"/>
      <c r="F7" t="s">
        <v>74</v>
      </c>
      <c r="G7" s="49">
        <v>600</v>
      </c>
    </row>
    <row r="8" spans="2:7">
      <c r="B8" t="s">
        <v>75</v>
      </c>
      <c r="C8" s="49">
        <v>99006</v>
      </c>
      <c r="D8" s="49"/>
      <c r="F8" t="s">
        <v>76</v>
      </c>
      <c r="G8" s="49">
        <v>700</v>
      </c>
    </row>
    <row r="9" spans="2:7">
      <c r="B9" t="s">
        <v>77</v>
      </c>
      <c r="C9" s="49">
        <v>99007</v>
      </c>
      <c r="D9" s="49"/>
      <c r="F9" t="s">
        <v>78</v>
      </c>
      <c r="G9" s="49">
        <v>800</v>
      </c>
    </row>
    <row r="10" spans="2:7">
      <c r="B10" t="s">
        <v>79</v>
      </c>
      <c r="C10" s="49">
        <v>99008</v>
      </c>
      <c r="D10" s="49"/>
    </row>
    <row r="11" spans="2:7">
      <c r="B11" t="s">
        <v>80</v>
      </c>
      <c r="C11" s="49">
        <v>99009</v>
      </c>
      <c r="D11" s="49"/>
    </row>
    <row r="12" spans="2:7">
      <c r="B12" t="s">
        <v>81</v>
      </c>
      <c r="C12" s="49">
        <v>99010</v>
      </c>
      <c r="D12" s="49"/>
    </row>
    <row r="13" spans="2:7">
      <c r="B13" t="s">
        <v>82</v>
      </c>
      <c r="C13" s="49">
        <v>99011</v>
      </c>
      <c r="D13" s="49"/>
    </row>
    <row r="14" spans="2:7">
      <c r="B14" t="s">
        <v>83</v>
      </c>
      <c r="C14" s="49">
        <v>99012</v>
      </c>
      <c r="D14" s="49"/>
    </row>
    <row r="15" spans="2:7" ht="15.75">
      <c r="B15" t="s">
        <v>84</v>
      </c>
      <c r="C15" s="49">
        <v>99013</v>
      </c>
      <c r="D15" s="49"/>
      <c r="F15" s="164" t="s">
        <v>85</v>
      </c>
      <c r="G15" s="164"/>
    </row>
    <row r="16" spans="2:7" ht="15.75">
      <c r="B16" s="68" t="s">
        <v>86</v>
      </c>
      <c r="C16" s="49">
        <v>99014</v>
      </c>
      <c r="D16" s="49"/>
      <c r="F16" s="44" t="s">
        <v>24</v>
      </c>
      <c r="G16" s="45">
        <v>27</v>
      </c>
    </row>
    <row r="17" spans="2:7" ht="15.75">
      <c r="B17" t="s">
        <v>87</v>
      </c>
      <c r="C17" s="49">
        <v>99015</v>
      </c>
      <c r="D17" s="49"/>
      <c r="F17" s="44" t="s">
        <v>25</v>
      </c>
      <c r="G17" s="45">
        <v>47</v>
      </c>
    </row>
    <row r="18" spans="2:7" ht="15.75">
      <c r="B18" t="s">
        <v>88</v>
      </c>
      <c r="C18" s="49">
        <v>99016</v>
      </c>
      <c r="D18" s="49"/>
      <c r="F18" s="44" t="s">
        <v>26</v>
      </c>
      <c r="G18" s="45">
        <v>81</v>
      </c>
    </row>
    <row r="19" spans="2:7" ht="15.75">
      <c r="B19" t="s">
        <v>89</v>
      </c>
      <c r="C19" s="49">
        <v>99017</v>
      </c>
      <c r="D19" s="49"/>
      <c r="F19" s="44" t="s">
        <v>90</v>
      </c>
      <c r="G19" s="46">
        <v>19</v>
      </c>
    </row>
    <row r="20" spans="2:7">
      <c r="B20" t="s">
        <v>91</v>
      </c>
      <c r="C20" s="49">
        <v>99018</v>
      </c>
      <c r="D20" s="49"/>
    </row>
    <row r="21" spans="2:7">
      <c r="B21" t="s">
        <v>92</v>
      </c>
      <c r="C21" s="49">
        <v>99019</v>
      </c>
      <c r="D21" s="49"/>
    </row>
    <row r="22" spans="2:7">
      <c r="B22" t="s">
        <v>93</v>
      </c>
      <c r="C22" s="49">
        <v>99020</v>
      </c>
      <c r="D22" s="49"/>
    </row>
    <row r="23" spans="2:7">
      <c r="B23" t="s">
        <v>94</v>
      </c>
      <c r="C23" s="49">
        <v>99021</v>
      </c>
      <c r="D23" s="49"/>
    </row>
    <row r="24" spans="2:7">
      <c r="B24" t="s">
        <v>95</v>
      </c>
      <c r="C24" s="49">
        <v>99022</v>
      </c>
      <c r="D24" s="49"/>
    </row>
    <row r="25" spans="2:7">
      <c r="B25" t="s">
        <v>96</v>
      </c>
      <c r="C25" s="49">
        <v>99023</v>
      </c>
      <c r="D25" s="49"/>
    </row>
    <row r="26" spans="2:7">
      <c r="B26" t="s">
        <v>97</v>
      </c>
      <c r="C26" s="49">
        <v>99024</v>
      </c>
      <c r="D26" s="49"/>
    </row>
    <row r="27" spans="2:7">
      <c r="B27" t="s">
        <v>98</v>
      </c>
      <c r="C27" s="49">
        <v>99025</v>
      </c>
      <c r="D27" s="49"/>
    </row>
    <row r="28" spans="2:7">
      <c r="B28" t="s">
        <v>99</v>
      </c>
      <c r="C28" s="49">
        <v>99026</v>
      </c>
      <c r="D28" s="49"/>
    </row>
    <row r="29" spans="2:7">
      <c r="B29" t="s">
        <v>100</v>
      </c>
      <c r="C29" s="49">
        <v>99027</v>
      </c>
      <c r="D29" s="49"/>
    </row>
    <row r="30" spans="2:7">
      <c r="B30" t="s">
        <v>101</v>
      </c>
      <c r="C30" s="49">
        <v>99028</v>
      </c>
      <c r="D30" s="49"/>
      <c r="G30" s="49"/>
    </row>
    <row r="31" spans="2:7">
      <c r="B31" t="s">
        <v>102</v>
      </c>
      <c r="C31" s="49">
        <v>99029</v>
      </c>
      <c r="D31" s="49"/>
      <c r="G31" s="49"/>
    </row>
    <row r="32" spans="2:7">
      <c r="B32" t="s">
        <v>103</v>
      </c>
      <c r="C32" s="49">
        <v>99030</v>
      </c>
      <c r="D32" s="49"/>
      <c r="G32" s="49"/>
    </row>
    <row r="33" spans="2:7">
      <c r="B33" t="s">
        <v>104</v>
      </c>
      <c r="C33" s="49">
        <v>99031</v>
      </c>
      <c r="D33" s="49"/>
      <c r="G33" s="49"/>
    </row>
    <row r="34" spans="2:7">
      <c r="B34" t="s">
        <v>105</v>
      </c>
      <c r="C34" s="49">
        <v>99032</v>
      </c>
      <c r="D34" s="49"/>
    </row>
    <row r="35" spans="2:7">
      <c r="B35" t="s">
        <v>106</v>
      </c>
      <c r="C35" s="49">
        <v>99033</v>
      </c>
      <c r="D35" s="49"/>
    </row>
    <row r="36" spans="2:7">
      <c r="B36" t="s">
        <v>107</v>
      </c>
      <c r="C36" s="49">
        <v>99034</v>
      </c>
      <c r="D36" s="49"/>
    </row>
    <row r="37" spans="2:7">
      <c r="B37" t="s">
        <v>108</v>
      </c>
      <c r="C37" s="49">
        <v>99035</v>
      </c>
      <c r="D37" s="49"/>
    </row>
    <row r="38" spans="2:7">
      <c r="B38" t="s">
        <v>109</v>
      </c>
      <c r="C38" s="49">
        <v>99036</v>
      </c>
      <c r="D38" s="49"/>
    </row>
    <row r="39" spans="2:7">
      <c r="B39" t="s">
        <v>110</v>
      </c>
      <c r="C39" s="49">
        <v>99037</v>
      </c>
      <c r="D39" s="49"/>
    </row>
    <row r="40" spans="2:7">
      <c r="B40" t="s">
        <v>111</v>
      </c>
      <c r="C40" s="49">
        <v>99038</v>
      </c>
      <c r="D40" s="49"/>
      <c r="G40" s="49"/>
    </row>
    <row r="41" spans="2:7" ht="14.25">
      <c r="B41" s="47" t="s">
        <v>112</v>
      </c>
      <c r="C41" s="49">
        <v>99039</v>
      </c>
      <c r="G41" s="49"/>
    </row>
    <row r="42" spans="2:7">
      <c r="B42" t="s">
        <v>113</v>
      </c>
      <c r="C42" s="49">
        <v>99040</v>
      </c>
      <c r="D42" s="49"/>
      <c r="G42" s="49"/>
    </row>
    <row r="43" spans="2:7">
      <c r="B43" t="s">
        <v>114</v>
      </c>
      <c r="C43" s="49">
        <v>99041</v>
      </c>
      <c r="D43" s="49"/>
      <c r="G43" s="49"/>
    </row>
    <row r="44" spans="2:7">
      <c r="B44" t="s">
        <v>115</v>
      </c>
      <c r="C44" s="49">
        <v>99042</v>
      </c>
      <c r="D44" s="49"/>
      <c r="G44" s="49"/>
    </row>
    <row r="45" spans="2:7">
      <c r="B45" t="s">
        <v>116</v>
      </c>
      <c r="C45" s="49">
        <v>99043</v>
      </c>
      <c r="D45" s="49"/>
      <c r="G45" s="49"/>
    </row>
    <row r="46" spans="2:7">
      <c r="B46" t="s">
        <v>117</v>
      </c>
      <c r="C46" s="49">
        <v>99044</v>
      </c>
      <c r="D46" s="49"/>
      <c r="G46" s="49"/>
    </row>
    <row r="47" spans="2:7">
      <c r="B47" t="s">
        <v>118</v>
      </c>
      <c r="C47" s="49">
        <v>99045</v>
      </c>
      <c r="D47" s="49"/>
      <c r="G47" s="49"/>
    </row>
    <row r="48" spans="2:7">
      <c r="B48" t="s">
        <v>119</v>
      </c>
      <c r="C48" s="49">
        <v>99046</v>
      </c>
      <c r="D48" s="49"/>
      <c r="G48" s="49"/>
    </row>
    <row r="49" spans="2:7">
      <c r="B49" t="s">
        <v>120</v>
      </c>
      <c r="C49" s="49">
        <v>99047</v>
      </c>
      <c r="D49" s="49"/>
      <c r="G49" s="49"/>
    </row>
    <row r="50" spans="2:7">
      <c r="B50" t="s">
        <v>121</v>
      </c>
      <c r="C50" s="49">
        <v>99048</v>
      </c>
      <c r="D50" s="49"/>
      <c r="G50" s="49"/>
    </row>
    <row r="51" spans="2:7">
      <c r="B51" t="s">
        <v>122</v>
      </c>
      <c r="C51" s="49">
        <v>99049</v>
      </c>
      <c r="D51" s="49"/>
      <c r="G51" s="49"/>
    </row>
    <row r="52" spans="2:7">
      <c r="B52" t="s">
        <v>123</v>
      </c>
      <c r="C52" s="49">
        <v>99050</v>
      </c>
      <c r="D52" s="49"/>
    </row>
    <row r="53" spans="2:7">
      <c r="B53" t="s">
        <v>124</v>
      </c>
      <c r="C53" s="49">
        <v>99051</v>
      </c>
      <c r="D53" s="49"/>
    </row>
    <row r="54" spans="2:7">
      <c r="B54" t="s">
        <v>125</v>
      </c>
      <c r="C54" s="49">
        <v>99052</v>
      </c>
      <c r="D54" s="49"/>
    </row>
    <row r="55" spans="2:7">
      <c r="B55" t="s">
        <v>126</v>
      </c>
      <c r="C55" s="49">
        <v>99053</v>
      </c>
      <c r="D55" s="49"/>
    </row>
    <row r="56" spans="2:7" ht="14.25">
      <c r="B56" s="47" t="s">
        <v>127</v>
      </c>
      <c r="C56" s="49">
        <v>99054</v>
      </c>
      <c r="D56" s="89"/>
    </row>
    <row r="57" spans="2:7">
      <c r="G57" s="49"/>
    </row>
  </sheetData>
  <autoFilter ref="B1:G1" xr:uid="{00000000-0009-0000-0000-000002000000}"/>
  <mergeCells count="1">
    <mergeCell ref="F15:G15"/>
  </mergeCells>
  <printOptions horizontalCentered="1"/>
  <pageMargins left="0.27" right="0.24" top="0.51" bottom="0.61" header="0.3" footer="0.17"/>
  <pageSetup scale="75" orientation="portrait" horizontalDpi="4294967295" verticalDpi="4294967295" r:id="rId1"/>
  <headerFooter>
    <oddHeader>&amp;C&amp;10&amp;A&amp;R&amp;8Page &amp;P of &amp;N</oddHeader>
    <oddFooter>&amp;L&amp;12&amp;Z&amp;F.xlsx &amp;"Arial,Italic"  Sheet: &amp;"Arial,Regular"&amp;A&amp;R&amp;12Print Date: &amp;D &amp;T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1081784-eb1d-4399-bb11-6e20c62c25a6">
      <Terms xmlns="http://schemas.microsoft.com/office/infopath/2007/PartnerControls"/>
    </lcf76f155ced4ddcb4097134ff3c332f>
    <TaxCatchAll xmlns="9b65a21d-a0af-4271-ba34-c61e5c9924fa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3BBE9B2B7C15747BFCBE38DAE75C853" ma:contentTypeVersion="15" ma:contentTypeDescription="Create a new document." ma:contentTypeScope="" ma:versionID="ef60a8d8dc72134137ec46e1834a01ac">
  <xsd:schema xmlns:xsd="http://www.w3.org/2001/XMLSchema" xmlns:xs="http://www.w3.org/2001/XMLSchema" xmlns:p="http://schemas.microsoft.com/office/2006/metadata/properties" xmlns:ns2="61081784-eb1d-4399-bb11-6e20c62c25a6" xmlns:ns3="9b65a21d-a0af-4271-ba34-c61e5c9924fa" targetNamespace="http://schemas.microsoft.com/office/2006/metadata/properties" ma:root="true" ma:fieldsID="63264a9be7be55594568aa9b88f4808a" ns2:_="" ns3:_="">
    <xsd:import namespace="61081784-eb1d-4399-bb11-6e20c62c25a6"/>
    <xsd:import namespace="9b65a21d-a0af-4271-ba34-c61e5c9924f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081784-eb1d-4399-bb11-6e20c62c25a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5f9e09aa-c67b-42f2-a94a-a1c0717b0cc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65a21d-a0af-4271-ba34-c61e5c9924f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9a10a7cf-359b-4443-b013-5fdc248c2ffe}" ma:internalName="TaxCatchAll" ma:showField="CatchAllData" ma:web="9b65a21d-a0af-4271-ba34-c61e5c9924f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DCF5DE2-CE0F-48BB-A013-19FFD1EEADE6}">
  <ds:schemaRefs>
    <ds:schemaRef ds:uri="http://schemas.microsoft.com/office/2006/metadata/properties"/>
    <ds:schemaRef ds:uri="http://schemas.microsoft.com/office/infopath/2007/PartnerControls"/>
    <ds:schemaRef ds:uri="058a83f1-cf67-4ad7-a39b-a3cab8f4c3d2"/>
  </ds:schemaRefs>
</ds:datastoreItem>
</file>

<file path=customXml/itemProps2.xml><?xml version="1.0" encoding="utf-8"?>
<ds:datastoreItem xmlns:ds="http://schemas.openxmlformats.org/officeDocument/2006/customXml" ds:itemID="{49E4A7D3-0C31-4E9A-95C0-9B5872E0113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97CE862-5F0B-483F-9359-A7FAF055741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Travel</vt:lpstr>
      <vt:lpstr>Other Reimbursments</vt:lpstr>
      <vt:lpstr>COA</vt:lpstr>
      <vt:lpstr>COA!Print_Area</vt:lpstr>
      <vt:lpstr>'Other Reimbursments'!Print_Area</vt:lpstr>
      <vt:lpstr>Travel!Print_Area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Xibo Li</dc:creator>
  <cp:keywords/>
  <dc:description/>
  <cp:lastModifiedBy>Xibo Li</cp:lastModifiedBy>
  <cp:revision/>
  <cp:lastPrinted>2023-12-01T02:20:44Z</cp:lastPrinted>
  <dcterms:created xsi:type="dcterms:W3CDTF">1996-09-20T15:46:14Z</dcterms:created>
  <dcterms:modified xsi:type="dcterms:W3CDTF">2024-12-23T12:48:39Z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0x01010013BBE9B2B7C15747BFCBE38DAE75C853</vt:lpwstr>
  </property>
  <property fmtid="{D5CDD505-2E9C-101B-9397-08002B2CF9AE}" pid="4" name="MediaServiceImageTags">
    <vt:lpwstr/>
  </property>
</Properties>
</file>