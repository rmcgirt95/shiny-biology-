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"/>
    </mc:Choice>
  </mc:AlternateContent>
  <xr:revisionPtr revIDLastSave="15728" documentId="6_{7DA860CC-A7FA-4920-87CE-B4610B17EE64}" xr6:coauthVersionLast="47" xr6:coauthVersionMax="47" xr10:uidLastSave="{F748C9F4-9581-4B7B-A731-0CE2008398F5}"/>
  <bookViews>
    <workbookView xWindow="-110" yWindow="-110" windowWidth="19420" windowHeight="10420" tabRatio="680" activeTab="2" xr2:uid="{A9BD76B7-37B3-4C4E-AC0D-B5B2FD84EC63}"/>
  </bookViews>
  <sheets>
    <sheet name="Weekly Plan" sheetId="11" r:id="rId1"/>
    <sheet name="Samples Timeline" sheetId="14" r:id="rId2"/>
    <sheet name="PUR and DESALT Status" sheetId="12" r:id="rId3"/>
    <sheet name="Desalting Sterilization" sheetId="3" r:id="rId4"/>
    <sheet name="Column Sterilization" sheetId="5" r:id="rId5"/>
    <sheet name="PUR Column" sheetId="4" r:id="rId6"/>
    <sheet name="Column Data" sheetId="7" r:id="rId7"/>
    <sheet name="Frac Worksheet" sheetId="8" r:id="rId8"/>
    <sheet name="Salt Ex buffer" sheetId="13" r:id="rId9"/>
  </sheets>
  <externalReferences>
    <externalReference r:id="rId10"/>
    <externalReference r:id="rId11"/>
  </externalReferences>
  <definedNames>
    <definedName name="_xlnm._FilterDatabase" localSheetId="5" hidden="1">'PUR Column'!$A$1:$O$1</definedName>
    <definedName name="_xlnm.Print_Area" localSheetId="7">'Frac Worksheet'!$A$1:$R$114</definedName>
    <definedName name="_xlnm.Print_Area" localSheetId="5">'PUR Column'!$A$1:$O$45</definedName>
    <definedName name="start_day">[1]About!$P$10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2" i="12" l="1"/>
  <c r="R482" i="12"/>
  <c r="S482" i="12" s="1"/>
  <c r="U482" i="12"/>
  <c r="N482" i="12" a="1"/>
  <c r="N482" i="12" s="1"/>
  <c r="C57" i="14"/>
  <c r="N478" i="12" l="1" a="1"/>
  <c r="N478" i="12" s="1"/>
  <c r="R478" i="12"/>
  <c r="S478" i="12" s="1"/>
  <c r="P478" i="12"/>
  <c r="Q478" i="12" s="1" a="1"/>
  <c r="Q478" i="12" s="1"/>
  <c r="R476" i="12"/>
  <c r="S476" i="12" s="1"/>
  <c r="N476" i="12" a="1"/>
  <c r="N476" i="12" s="1"/>
  <c r="U476" i="12"/>
  <c r="P476" i="12"/>
  <c r="Q476" i="12" s="1" a="1"/>
  <c r="Q476" i="12" s="1"/>
  <c r="U471" i="12" l="1"/>
  <c r="E15" i="4"/>
  <c r="G15" i="4" s="1"/>
  <c r="I15" i="4"/>
  <c r="H15" i="4" s="1"/>
  <c r="K15" i="4"/>
  <c r="J15" i="4" s="1"/>
  <c r="L15" i="4"/>
  <c r="E10" i="4"/>
  <c r="G10" i="4" s="1"/>
  <c r="I10" i="4"/>
  <c r="H10" i="4" s="1"/>
  <c r="K10" i="4"/>
  <c r="J10" i="4" s="1"/>
  <c r="L10" i="4"/>
  <c r="C46" i="14"/>
  <c r="C44" i="14"/>
  <c r="C42" i="14"/>
  <c r="C39" i="14"/>
  <c r="C37" i="14"/>
  <c r="C32" i="14"/>
  <c r="C34" i="14"/>
  <c r="C35" i="14" l="1"/>
  <c r="C40" i="14"/>
  <c r="U450" i="12" l="1"/>
  <c r="R451" i="12" l="1"/>
  <c r="S451" i="12" s="1"/>
  <c r="P451" i="12"/>
  <c r="Q451" i="12" s="1" a="1"/>
  <c r="Q451" i="12" s="1"/>
  <c r="N451" i="12" a="1"/>
  <c r="N451" i="12" s="1"/>
  <c r="U447" i="12"/>
  <c r="R447" i="12"/>
  <c r="S447" i="12" s="1"/>
  <c r="P447" i="12"/>
  <c r="Q447" i="12" s="1" a="1"/>
  <c r="Q447" i="12" s="1"/>
  <c r="N447" i="12" a="1"/>
  <c r="N447" i="12" s="1"/>
  <c r="U445" i="12"/>
  <c r="R445" i="12"/>
  <c r="S445" i="12" s="1"/>
  <c r="P445" i="12"/>
  <c r="Q445" i="12" s="1" a="1"/>
  <c r="Q445" i="12" s="1"/>
  <c r="N445" i="12" a="1"/>
  <c r="N445" i="12" s="1"/>
  <c r="U449" i="12"/>
  <c r="R449" i="12"/>
  <c r="S449" i="12" s="1"/>
  <c r="P449" i="12"/>
  <c r="Q449" i="12" s="1" a="1"/>
  <c r="Q449" i="12" s="1"/>
  <c r="N449" i="12" a="1"/>
  <c r="N449" i="12" s="1"/>
  <c r="U448" i="12"/>
  <c r="R448" i="12"/>
  <c r="S448" i="12" s="1"/>
  <c r="P448" i="12"/>
  <c r="Q448" i="12" s="1" a="1"/>
  <c r="Q448" i="12" s="1"/>
  <c r="N448" i="12" a="1"/>
  <c r="N448" i="12" s="1"/>
  <c r="U446" i="12"/>
  <c r="R446" i="12"/>
  <c r="S446" i="12" s="1"/>
  <c r="P446" i="12"/>
  <c r="Q446" i="12" s="1" a="1"/>
  <c r="Q446" i="12" s="1"/>
  <c r="N446" i="12" a="1"/>
  <c r="N446" i="12" s="1"/>
  <c r="U444" i="12"/>
  <c r="R444" i="12"/>
  <c r="S444" i="12" s="1"/>
  <c r="P444" i="12"/>
  <c r="Q444" i="12" s="1" a="1"/>
  <c r="Q444" i="12" s="1"/>
  <c r="N444" i="12" a="1"/>
  <c r="N444" i="12" s="1"/>
  <c r="H440" i="12"/>
  <c r="U442" i="12"/>
  <c r="U260" i="12" l="1"/>
  <c r="U261" i="12"/>
  <c r="H441" i="12"/>
  <c r="N440" i="12" a="1"/>
  <c r="N440" i="12" s="1"/>
  <c r="U440" i="12" l="1"/>
  <c r="R440" i="12"/>
  <c r="S440" i="12" s="1"/>
  <c r="P440" i="12"/>
  <c r="Q440" i="12" s="1" a="1"/>
  <c r="Q440" i="12" s="1"/>
  <c r="AA436" i="12"/>
  <c r="N434" i="12" l="1" a="1"/>
  <c r="N434" i="12" s="1"/>
  <c r="R434" i="12"/>
  <c r="S434" i="12" s="1"/>
  <c r="U434" i="12"/>
  <c r="P434" i="12"/>
  <c r="Q434" i="12" s="1" a="1"/>
  <c r="Q434" i="12" s="1"/>
  <c r="N413" i="12" a="1"/>
  <c r="N413" i="12" s="1"/>
  <c r="P413" i="12"/>
  <c r="Q413" i="12" s="1" a="1"/>
  <c r="Q413" i="12" s="1"/>
  <c r="R413" i="12"/>
  <c r="S413" i="12" s="1"/>
  <c r="U413" i="12"/>
  <c r="N412" i="12" a="1"/>
  <c r="N412" i="12" s="1"/>
  <c r="P412" i="12"/>
  <c r="Q412" i="12" s="1" a="1"/>
  <c r="Q412" i="12" s="1"/>
  <c r="R412" i="12"/>
  <c r="S412" i="12" s="1"/>
  <c r="U412" i="12"/>
  <c r="U399" i="12" l="1"/>
  <c r="P399" i="12" l="1"/>
  <c r="Q399" i="12" s="1" a="1"/>
  <c r="Q399" i="12" s="1"/>
  <c r="N399" i="12" a="1"/>
  <c r="N399" i="12" s="1"/>
  <c r="R399" i="12"/>
  <c r="S399" i="12" s="1"/>
  <c r="U370" i="12"/>
  <c r="U397" i="12"/>
  <c r="U383" i="12" l="1"/>
  <c r="N383" i="12" a="1"/>
  <c r="N383" i="12" s="1"/>
  <c r="R383" i="12"/>
  <c r="S383" i="12" s="1"/>
  <c r="P383" i="12"/>
  <c r="Q383" i="12" s="1" a="1"/>
  <c r="Q383" i="12" s="1"/>
  <c r="R386" i="12"/>
  <c r="S386" i="12" s="1"/>
  <c r="R376" i="12"/>
  <c r="N384" i="12" a="1"/>
  <c r="N384" i="12" s="1"/>
  <c r="U384" i="12"/>
  <c r="R384" i="12"/>
  <c r="S384" i="12" s="1"/>
  <c r="P384" i="12"/>
  <c r="Q384" i="12" s="1" a="1"/>
  <c r="Q384" i="12" s="1"/>
  <c r="N374" i="12" l="1" a="1"/>
  <c r="N374" i="12" s="1"/>
  <c r="R374" i="12"/>
  <c r="S374" i="12" s="1"/>
  <c r="P374" i="12"/>
  <c r="Q374" i="12" s="1" a="1"/>
  <c r="Q374" i="12" s="1"/>
  <c r="N568" i="12" a="1"/>
  <c r="N568" i="12" s="1"/>
  <c r="N567" i="12" a="1"/>
  <c r="N567" i="12" s="1"/>
  <c r="N566" i="12" a="1"/>
  <c r="N566" i="12" s="1"/>
  <c r="N565" i="12" a="1"/>
  <c r="N565" i="12" s="1"/>
  <c r="N564" i="12" a="1"/>
  <c r="N564" i="12" s="1"/>
  <c r="N563" i="12" a="1"/>
  <c r="N563" i="12" s="1"/>
  <c r="N562" i="12" a="1"/>
  <c r="N562" i="12" s="1"/>
  <c r="N561" i="12" a="1"/>
  <c r="N561" i="12" s="1"/>
  <c r="N560" i="12" a="1"/>
  <c r="N560" i="12" s="1"/>
  <c r="N559" i="12" a="1"/>
  <c r="N559" i="12" s="1"/>
  <c r="N558" i="12" a="1"/>
  <c r="N558" i="12" s="1"/>
  <c r="N557" i="12" a="1"/>
  <c r="N557" i="12" s="1"/>
  <c r="N556" i="12" a="1"/>
  <c r="N556" i="12" s="1"/>
  <c r="N555" i="12" a="1"/>
  <c r="N555" i="12" s="1"/>
  <c r="N554" i="12" a="1"/>
  <c r="N554" i="12" s="1"/>
  <c r="N553" i="12" a="1"/>
  <c r="N553" i="12" s="1"/>
  <c r="N552" i="12" a="1"/>
  <c r="N552" i="12" s="1"/>
  <c r="N551" i="12" a="1"/>
  <c r="N551" i="12" s="1"/>
  <c r="N550" i="12" a="1"/>
  <c r="N550" i="12" s="1"/>
  <c r="N549" i="12" a="1"/>
  <c r="N549" i="12" s="1"/>
  <c r="N548" i="12" a="1"/>
  <c r="N548" i="12" s="1"/>
  <c r="N547" i="12" a="1"/>
  <c r="N547" i="12" s="1"/>
  <c r="N546" i="12" a="1"/>
  <c r="N546" i="12" s="1"/>
  <c r="N545" i="12" a="1"/>
  <c r="N545" i="12" s="1"/>
  <c r="N544" i="12" a="1"/>
  <c r="N544" i="12" s="1"/>
  <c r="N543" i="12" a="1"/>
  <c r="N543" i="12" s="1"/>
  <c r="N542" i="12" a="1"/>
  <c r="N542" i="12" s="1"/>
  <c r="N541" i="12" a="1"/>
  <c r="N541" i="12" s="1"/>
  <c r="N540" i="12" a="1"/>
  <c r="N540" i="12" s="1"/>
  <c r="N539" i="12" a="1"/>
  <c r="N539" i="12" s="1"/>
  <c r="N538" i="12" a="1"/>
  <c r="N538" i="12" s="1"/>
  <c r="N537" i="12" a="1"/>
  <c r="N537" i="12" s="1"/>
  <c r="N536" i="12" a="1"/>
  <c r="N536" i="12" s="1"/>
  <c r="N535" i="12" a="1"/>
  <c r="N535" i="12" s="1"/>
  <c r="N534" i="12" a="1"/>
  <c r="N534" i="12" s="1"/>
  <c r="N533" i="12" a="1"/>
  <c r="N533" i="12" s="1"/>
  <c r="N532" i="12" a="1"/>
  <c r="N532" i="12" s="1"/>
  <c r="N531" i="12" a="1"/>
  <c r="N531" i="12" s="1"/>
  <c r="N530" i="12" a="1"/>
  <c r="N530" i="12" s="1"/>
  <c r="N529" i="12" a="1"/>
  <c r="N529" i="12" s="1"/>
  <c r="N528" i="12" a="1"/>
  <c r="N528" i="12" s="1"/>
  <c r="N527" i="12" a="1"/>
  <c r="N527" i="12" s="1"/>
  <c r="N526" i="12" a="1"/>
  <c r="N526" i="12" s="1"/>
  <c r="N525" i="12" a="1"/>
  <c r="N525" i="12" s="1"/>
  <c r="N524" i="12" a="1"/>
  <c r="N524" i="12" s="1"/>
  <c r="N523" i="12" a="1"/>
  <c r="N523" i="12" s="1"/>
  <c r="N522" i="12" a="1"/>
  <c r="N522" i="12" s="1"/>
  <c r="N521" i="12" a="1"/>
  <c r="N521" i="12" s="1"/>
  <c r="N520" i="12" a="1"/>
  <c r="N520" i="12" s="1"/>
  <c r="N519" i="12" a="1"/>
  <c r="N519" i="12" s="1"/>
  <c r="N518" i="12" a="1"/>
  <c r="N518" i="12" s="1"/>
  <c r="N517" i="12" a="1"/>
  <c r="N517" i="12" s="1"/>
  <c r="N516" i="12" a="1"/>
  <c r="N516" i="12" s="1"/>
  <c r="N515" i="12" a="1"/>
  <c r="N515" i="12" s="1"/>
  <c r="N514" i="12" a="1"/>
  <c r="N514" i="12" s="1"/>
  <c r="N513" i="12" a="1"/>
  <c r="N513" i="12" s="1"/>
  <c r="N512" i="12" a="1"/>
  <c r="N512" i="12" s="1"/>
  <c r="N511" i="12" a="1"/>
  <c r="N511" i="12" s="1"/>
  <c r="N510" i="12" a="1"/>
  <c r="N510" i="12" s="1"/>
  <c r="N509" i="12" a="1"/>
  <c r="N509" i="12" s="1"/>
  <c r="N508" i="12" a="1"/>
  <c r="N508" i="12" s="1"/>
  <c r="N507" i="12" a="1"/>
  <c r="N507" i="12" s="1"/>
  <c r="N506" i="12" a="1"/>
  <c r="N506" i="12" s="1"/>
  <c r="N505" i="12" a="1"/>
  <c r="N505" i="12" s="1"/>
  <c r="N504" i="12" a="1"/>
  <c r="N504" i="12" s="1"/>
  <c r="N503" i="12" a="1"/>
  <c r="N503" i="12" s="1"/>
  <c r="N502" i="12" a="1"/>
  <c r="N502" i="12" s="1"/>
  <c r="N501" i="12" a="1"/>
  <c r="N501" i="12" s="1"/>
  <c r="N500" i="12" a="1"/>
  <c r="N500" i="12" s="1"/>
  <c r="N499" i="12" a="1"/>
  <c r="N499" i="12" s="1"/>
  <c r="N498" i="12" a="1"/>
  <c r="N498" i="12" s="1"/>
  <c r="N497" i="12" a="1"/>
  <c r="N497" i="12" s="1"/>
  <c r="N496" i="12" a="1"/>
  <c r="N496" i="12" s="1"/>
  <c r="N495" i="12" a="1"/>
  <c r="N495" i="12" s="1"/>
  <c r="N494" i="12" a="1"/>
  <c r="N494" i="12" s="1"/>
  <c r="N493" i="12" a="1"/>
  <c r="N493" i="12" s="1"/>
  <c r="N492" i="12" a="1"/>
  <c r="N492" i="12" s="1"/>
  <c r="N491" i="12" a="1"/>
  <c r="N491" i="12" s="1"/>
  <c r="N490" i="12" a="1"/>
  <c r="N490" i="12" s="1"/>
  <c r="N489" i="12" a="1"/>
  <c r="N489" i="12" s="1"/>
  <c r="N488" i="12" a="1"/>
  <c r="N488" i="12" s="1"/>
  <c r="N486" i="12" a="1"/>
  <c r="N486" i="12" s="1"/>
  <c r="N485" i="12" a="1"/>
  <c r="N485" i="12" s="1"/>
  <c r="N483" i="12" a="1"/>
  <c r="N483" i="12" s="1"/>
  <c r="N481" i="12" a="1"/>
  <c r="N481" i="12" s="1"/>
  <c r="N480" i="12" a="1"/>
  <c r="N480" i="12" s="1"/>
  <c r="N479" i="12" a="1"/>
  <c r="N479" i="12" s="1"/>
  <c r="N477" i="12" a="1"/>
  <c r="N477" i="12" s="1"/>
  <c r="N474" i="12" a="1"/>
  <c r="N474" i="12" s="1"/>
  <c r="N475" i="12" a="1"/>
  <c r="N475" i="12" s="1"/>
  <c r="N487" i="12" a="1"/>
  <c r="N487" i="12" s="1"/>
  <c r="N473" i="12" a="1"/>
  <c r="N473" i="12" s="1"/>
  <c r="N472" i="12" a="1"/>
  <c r="N472" i="12" s="1"/>
  <c r="N471" i="12" a="1"/>
  <c r="N471" i="12" s="1"/>
  <c r="N470" i="12" a="1"/>
  <c r="N470" i="12" s="1"/>
  <c r="N469" i="12" a="1"/>
  <c r="N469" i="12" s="1"/>
  <c r="N468" i="12" a="1"/>
  <c r="N468" i="12" s="1"/>
  <c r="N467" i="12" a="1"/>
  <c r="N467" i="12" s="1"/>
  <c r="N466" i="12" a="1"/>
  <c r="N466" i="12" s="1"/>
  <c r="N465" i="12" a="1"/>
  <c r="N465" i="12" s="1"/>
  <c r="N462" i="12" a="1"/>
  <c r="N462" i="12" s="1"/>
  <c r="N461" i="12" a="1"/>
  <c r="N461" i="12" s="1"/>
  <c r="N460" i="12" a="1"/>
  <c r="N460" i="12" s="1"/>
  <c r="N458" i="12" a="1"/>
  <c r="N458" i="12" s="1"/>
  <c r="N457" i="12" a="1"/>
  <c r="N457" i="12" s="1"/>
  <c r="N456" i="12" a="1"/>
  <c r="N456" i="12" s="1"/>
  <c r="N464" i="12" a="1"/>
  <c r="N464" i="12" s="1"/>
  <c r="N463" i="12" a="1"/>
  <c r="N463" i="12" s="1"/>
  <c r="N459" i="12" a="1"/>
  <c r="N459" i="12" s="1"/>
  <c r="N455" i="12" a="1"/>
  <c r="N455" i="12" s="1"/>
  <c r="N454" i="12" a="1"/>
  <c r="N454" i="12" s="1"/>
  <c r="N453" i="12" a="1"/>
  <c r="N453" i="12" s="1"/>
  <c r="N452" i="12" a="1"/>
  <c r="N452" i="12" s="1"/>
  <c r="N443" i="12" a="1"/>
  <c r="N443" i="12" s="1"/>
  <c r="N439" i="12" a="1"/>
  <c r="N439" i="12" s="1"/>
  <c r="N438" i="12" a="1"/>
  <c r="N438" i="12" s="1"/>
  <c r="N437" i="12" a="1"/>
  <c r="N437" i="12" s="1"/>
  <c r="N436" i="12" a="1"/>
  <c r="N436" i="12" s="1"/>
  <c r="N441" i="12" a="1"/>
  <c r="N441" i="12" s="1"/>
  <c r="N433" i="12" a="1"/>
  <c r="N433" i="12" s="1"/>
  <c r="N435" i="12" a="1"/>
  <c r="N435" i="12" s="1"/>
  <c r="N430" i="12" a="1"/>
  <c r="N430" i="12" s="1"/>
  <c r="N431" i="12" a="1"/>
  <c r="N431" i="12" s="1"/>
  <c r="N429" i="12" a="1"/>
  <c r="N429" i="12" s="1"/>
  <c r="N432" i="12" a="1"/>
  <c r="N432" i="12" s="1"/>
  <c r="N428" i="12" a="1"/>
  <c r="N428" i="12" s="1"/>
  <c r="N427" i="12" a="1"/>
  <c r="N427" i="12" s="1"/>
  <c r="N426" i="12" a="1"/>
  <c r="N426" i="12" s="1"/>
  <c r="N425" i="12" a="1"/>
  <c r="N425" i="12" s="1"/>
  <c r="N424" i="12" a="1"/>
  <c r="N424" i="12" s="1"/>
  <c r="N423" i="12" a="1"/>
  <c r="N423" i="12" s="1"/>
  <c r="N422" i="12" a="1"/>
  <c r="N422" i="12" s="1"/>
  <c r="N420" i="12" a="1"/>
  <c r="N420" i="12" s="1"/>
  <c r="N419" i="12" a="1"/>
  <c r="N419" i="12" s="1"/>
  <c r="N418" i="12" a="1"/>
  <c r="N418" i="12" s="1"/>
  <c r="N417" i="12" a="1"/>
  <c r="N417" i="12" s="1"/>
  <c r="N416" i="12" a="1"/>
  <c r="N416" i="12" s="1"/>
  <c r="N421" i="12" a="1"/>
  <c r="N421" i="12" s="1"/>
  <c r="N415" i="12" a="1"/>
  <c r="N415" i="12" s="1"/>
  <c r="N414" i="12" a="1"/>
  <c r="N414" i="12" s="1"/>
  <c r="N411" i="12" a="1"/>
  <c r="N411" i="12" s="1"/>
  <c r="N410" i="12" a="1"/>
  <c r="N410" i="12" s="1"/>
  <c r="N409" i="12" a="1"/>
  <c r="N409" i="12" s="1"/>
  <c r="N408" i="12" a="1"/>
  <c r="N408" i="12" s="1"/>
  <c r="N407" i="12" a="1"/>
  <c r="N407" i="12" s="1"/>
  <c r="N406" i="12" a="1"/>
  <c r="N406" i="12" s="1"/>
  <c r="N405" i="12" a="1"/>
  <c r="N405" i="12" s="1"/>
  <c r="N404" i="12" a="1"/>
  <c r="N404" i="12" s="1"/>
  <c r="N403" i="12" a="1"/>
  <c r="N403" i="12" s="1"/>
  <c r="N402" i="12" a="1"/>
  <c r="N402" i="12" s="1"/>
  <c r="N401" i="12" a="1"/>
  <c r="N401" i="12" s="1"/>
  <c r="N400" i="12" a="1"/>
  <c r="N400" i="12" s="1"/>
  <c r="N398" i="12" a="1"/>
  <c r="N398" i="12" s="1"/>
  <c r="N396" i="12" a="1"/>
  <c r="N396" i="12" s="1"/>
  <c r="N395" i="12" a="1"/>
  <c r="N395" i="12" s="1"/>
  <c r="N394" i="12" a="1"/>
  <c r="N394" i="12" s="1"/>
  <c r="N393" i="12" a="1"/>
  <c r="N393" i="12" s="1"/>
  <c r="N392" i="12" a="1"/>
  <c r="N392" i="12" s="1"/>
  <c r="N391" i="12" a="1"/>
  <c r="N391" i="12" s="1"/>
  <c r="N390" i="12" a="1"/>
  <c r="N390" i="12" s="1"/>
  <c r="N389" i="12" a="1"/>
  <c r="N389" i="12" s="1"/>
  <c r="N388" i="12" a="1"/>
  <c r="N388" i="12" s="1"/>
  <c r="N387" i="12" a="1"/>
  <c r="N387" i="12" s="1"/>
  <c r="N397" i="12" a="1"/>
  <c r="N397" i="12" s="1"/>
  <c r="N385" i="12" a="1"/>
  <c r="N385" i="12" s="1"/>
  <c r="N378" i="12" a="1"/>
  <c r="N378" i="12" s="1"/>
  <c r="N376" i="12" a="1"/>
  <c r="N376" i="12" s="1"/>
  <c r="P376" i="12"/>
  <c r="Q376" i="12" s="1" a="1"/>
  <c r="Q376" i="12" s="1"/>
  <c r="S376" i="12"/>
  <c r="U376" i="12"/>
  <c r="P378" i="12"/>
  <c r="Q378" i="12" s="1" a="1"/>
  <c r="Q378" i="12" s="1"/>
  <c r="R378" i="12"/>
  <c r="S378" i="12" s="1"/>
  <c r="U378" i="12"/>
  <c r="P385" i="12"/>
  <c r="Q385" i="12" s="1" a="1"/>
  <c r="Q385" i="12" s="1"/>
  <c r="R385" i="12"/>
  <c r="S385" i="12" s="1"/>
  <c r="U385" i="12"/>
  <c r="P397" i="12"/>
  <c r="Q397" i="12" s="1" a="1"/>
  <c r="Q397" i="12" s="1"/>
  <c r="R397" i="12"/>
  <c r="S397" i="12" s="1"/>
  <c r="P387" i="12"/>
  <c r="Q387" i="12" s="1" a="1"/>
  <c r="Q387" i="12" s="1"/>
  <c r="R387" i="12"/>
  <c r="S387" i="12" s="1"/>
  <c r="U387" i="12"/>
  <c r="P388" i="12"/>
  <c r="Q388" i="12" s="1" a="1"/>
  <c r="Q388" i="12" s="1"/>
  <c r="R388" i="12"/>
  <c r="S388" i="12" s="1"/>
  <c r="U388" i="12"/>
  <c r="P389" i="12"/>
  <c r="Q389" i="12" s="1" a="1"/>
  <c r="Q389" i="12" s="1"/>
  <c r="R389" i="12"/>
  <c r="S389" i="12" s="1"/>
  <c r="U389" i="12"/>
  <c r="P390" i="12"/>
  <c r="Q390" i="12" s="1" a="1"/>
  <c r="Q390" i="12" s="1"/>
  <c r="R390" i="12"/>
  <c r="S390" i="12" s="1"/>
  <c r="U390" i="12"/>
  <c r="P391" i="12"/>
  <c r="Q391" i="12" s="1" a="1"/>
  <c r="Q391" i="12" s="1"/>
  <c r="R391" i="12"/>
  <c r="S391" i="12" s="1"/>
  <c r="U391" i="12"/>
  <c r="P392" i="12"/>
  <c r="Q392" i="12" s="1" a="1"/>
  <c r="Q392" i="12" s="1"/>
  <c r="R392" i="12"/>
  <c r="S392" i="12" s="1"/>
  <c r="U392" i="12"/>
  <c r="P393" i="12"/>
  <c r="Q393" i="12" s="1" a="1"/>
  <c r="Q393" i="12" s="1"/>
  <c r="R393" i="12"/>
  <c r="S393" i="12" s="1"/>
  <c r="U393" i="12"/>
  <c r="P394" i="12"/>
  <c r="Q394" i="12" s="1" a="1"/>
  <c r="Q394" i="12" s="1"/>
  <c r="R394" i="12"/>
  <c r="S394" i="12" s="1"/>
  <c r="U394" i="12"/>
  <c r="P395" i="12"/>
  <c r="Q395" i="12" s="1" a="1"/>
  <c r="Q395" i="12" s="1"/>
  <c r="R395" i="12"/>
  <c r="S395" i="12" s="1"/>
  <c r="U395" i="12"/>
  <c r="P396" i="12"/>
  <c r="Q396" i="12" s="1" a="1"/>
  <c r="Q396" i="12" s="1"/>
  <c r="R396" i="12"/>
  <c r="S396" i="12" s="1"/>
  <c r="U396" i="12"/>
  <c r="P398" i="12"/>
  <c r="Q398" i="12" s="1" a="1"/>
  <c r="Q398" i="12" s="1"/>
  <c r="R398" i="12"/>
  <c r="S398" i="12" s="1"/>
  <c r="U398" i="12"/>
  <c r="P400" i="12"/>
  <c r="Q400" i="12" s="1" a="1"/>
  <c r="Q400" i="12" s="1"/>
  <c r="R400" i="12"/>
  <c r="S400" i="12" s="1"/>
  <c r="U400" i="12"/>
  <c r="P401" i="12"/>
  <c r="Q401" i="12" s="1" a="1"/>
  <c r="Q401" i="12" s="1"/>
  <c r="R401" i="12"/>
  <c r="S401" i="12" s="1"/>
  <c r="U401" i="12"/>
  <c r="P402" i="12"/>
  <c r="Q402" i="12" s="1" a="1"/>
  <c r="Q402" i="12" s="1"/>
  <c r="R402" i="12"/>
  <c r="S402" i="12" s="1"/>
  <c r="U402" i="12"/>
  <c r="P403" i="12"/>
  <c r="Q403" i="12" s="1" a="1"/>
  <c r="Q403" i="12" s="1"/>
  <c r="R403" i="12"/>
  <c r="S403" i="12" s="1"/>
  <c r="U403" i="12"/>
  <c r="P404" i="12"/>
  <c r="Q404" i="12" s="1" a="1"/>
  <c r="Q404" i="12" s="1"/>
  <c r="R404" i="12"/>
  <c r="S404" i="12" s="1"/>
  <c r="U404" i="12"/>
  <c r="P405" i="12"/>
  <c r="Q405" i="12" s="1" a="1"/>
  <c r="Q405" i="12" s="1"/>
  <c r="R405" i="12"/>
  <c r="S405" i="12" s="1"/>
  <c r="U405" i="12"/>
  <c r="P406" i="12"/>
  <c r="Q406" i="12" s="1" a="1"/>
  <c r="Q406" i="12" s="1"/>
  <c r="R406" i="12"/>
  <c r="S406" i="12" s="1"/>
  <c r="U406" i="12"/>
  <c r="P407" i="12"/>
  <c r="Q407" i="12" s="1" a="1"/>
  <c r="Q407" i="12" s="1"/>
  <c r="R407" i="12"/>
  <c r="S407" i="12" s="1"/>
  <c r="U407" i="12"/>
  <c r="P408" i="12"/>
  <c r="Q408" i="12" s="1" a="1"/>
  <c r="Q408" i="12" s="1"/>
  <c r="R408" i="12"/>
  <c r="S408" i="12" s="1"/>
  <c r="U408" i="12"/>
  <c r="P409" i="12"/>
  <c r="Q409" i="12" s="1" a="1"/>
  <c r="Q409" i="12" s="1"/>
  <c r="R409" i="12"/>
  <c r="S409" i="12" s="1"/>
  <c r="U409" i="12"/>
  <c r="P410" i="12"/>
  <c r="Q410" i="12" s="1" a="1"/>
  <c r="Q410" i="12" s="1"/>
  <c r="R410" i="12"/>
  <c r="S410" i="12" s="1"/>
  <c r="U410" i="12"/>
  <c r="P411" i="12"/>
  <c r="Q411" i="12" s="1" a="1"/>
  <c r="Q411" i="12" s="1"/>
  <c r="R411" i="12"/>
  <c r="S411" i="12" s="1"/>
  <c r="U411" i="12"/>
  <c r="P414" i="12"/>
  <c r="Q414" i="12" s="1" a="1"/>
  <c r="Q414" i="12" s="1"/>
  <c r="R414" i="12"/>
  <c r="S414" i="12" s="1"/>
  <c r="U414" i="12"/>
  <c r="P415" i="12"/>
  <c r="Q415" i="12" s="1" a="1"/>
  <c r="Q415" i="12" s="1"/>
  <c r="R415" i="12"/>
  <c r="S415" i="12" s="1"/>
  <c r="U415" i="12"/>
  <c r="P421" i="12"/>
  <c r="Q421" i="12" s="1" a="1"/>
  <c r="Q421" i="12" s="1"/>
  <c r="R421" i="12"/>
  <c r="S421" i="12" s="1"/>
  <c r="U421" i="12"/>
  <c r="P416" i="12"/>
  <c r="Q416" i="12" s="1" a="1"/>
  <c r="Q416" i="12" s="1"/>
  <c r="R416" i="12"/>
  <c r="S416" i="12" s="1"/>
  <c r="U416" i="12"/>
  <c r="P417" i="12"/>
  <c r="Q417" i="12" s="1" a="1"/>
  <c r="Q417" i="12" s="1"/>
  <c r="R417" i="12"/>
  <c r="S417" i="12" s="1"/>
  <c r="U417" i="12"/>
  <c r="P418" i="12"/>
  <c r="Q418" i="12" s="1" a="1"/>
  <c r="Q418" i="12" s="1"/>
  <c r="R418" i="12"/>
  <c r="S418" i="12" s="1"/>
  <c r="U418" i="12"/>
  <c r="P419" i="12"/>
  <c r="Q419" i="12" s="1" a="1"/>
  <c r="Q419" i="12" s="1"/>
  <c r="R419" i="12"/>
  <c r="S419" i="12" s="1"/>
  <c r="U419" i="12"/>
  <c r="P420" i="12"/>
  <c r="R420" i="12"/>
  <c r="S420" i="12" s="1"/>
  <c r="U420" i="12"/>
  <c r="P422" i="12"/>
  <c r="Q422" i="12" s="1" a="1"/>
  <c r="Q422" i="12" s="1"/>
  <c r="R422" i="12"/>
  <c r="S422" i="12" s="1"/>
  <c r="U422" i="12"/>
  <c r="P423" i="12"/>
  <c r="Q423" i="12" s="1" a="1"/>
  <c r="Q423" i="12" s="1"/>
  <c r="R423" i="12"/>
  <c r="S423" i="12" s="1"/>
  <c r="U423" i="12"/>
  <c r="P424" i="12"/>
  <c r="Q424" i="12" s="1" a="1"/>
  <c r="Q424" i="12" s="1"/>
  <c r="R424" i="12"/>
  <c r="S424" i="12" s="1"/>
  <c r="U424" i="12"/>
  <c r="P425" i="12"/>
  <c r="Q425" i="12" s="1" a="1"/>
  <c r="Q425" i="12" s="1"/>
  <c r="R425" i="12"/>
  <c r="S425" i="12" s="1"/>
  <c r="U425" i="12"/>
  <c r="P426" i="12"/>
  <c r="Q426" i="12" s="1" a="1"/>
  <c r="Q426" i="12" s="1"/>
  <c r="R426" i="12"/>
  <c r="S426" i="12" s="1"/>
  <c r="U426" i="12"/>
  <c r="P427" i="12"/>
  <c r="Q427" i="12" s="1" a="1"/>
  <c r="Q427" i="12" s="1"/>
  <c r="R427" i="12"/>
  <c r="S427" i="12" s="1"/>
  <c r="U427" i="12"/>
  <c r="P428" i="12"/>
  <c r="Q428" i="12" s="1" a="1"/>
  <c r="Q428" i="12" s="1"/>
  <c r="R428" i="12"/>
  <c r="S428" i="12" s="1"/>
  <c r="U428" i="12"/>
  <c r="P432" i="12"/>
  <c r="Q432" i="12" s="1" a="1"/>
  <c r="Q432" i="12" s="1"/>
  <c r="R432" i="12"/>
  <c r="S432" i="12" s="1"/>
  <c r="U432" i="12"/>
  <c r="P429" i="12"/>
  <c r="Q429" i="12" s="1" a="1"/>
  <c r="Q429" i="12" s="1"/>
  <c r="R429" i="12"/>
  <c r="S429" i="12" s="1"/>
  <c r="U429" i="12"/>
  <c r="P431" i="12"/>
  <c r="Q431" i="12" s="1" a="1"/>
  <c r="Q431" i="12" s="1"/>
  <c r="R431" i="12"/>
  <c r="S431" i="12" s="1"/>
  <c r="U431" i="12"/>
  <c r="P430" i="12"/>
  <c r="Q430" i="12" s="1" a="1"/>
  <c r="Q430" i="12" s="1"/>
  <c r="R430" i="12"/>
  <c r="S430" i="12" s="1"/>
  <c r="U430" i="12"/>
  <c r="P435" i="12"/>
  <c r="Q435" i="12" s="1" a="1"/>
  <c r="Q435" i="12" s="1"/>
  <c r="R435" i="12"/>
  <c r="S435" i="12" s="1"/>
  <c r="U435" i="12"/>
  <c r="P433" i="12"/>
  <c r="Q433" i="12" s="1" a="1"/>
  <c r="Q433" i="12" s="1"/>
  <c r="R433" i="12"/>
  <c r="S433" i="12" s="1"/>
  <c r="U433" i="12"/>
  <c r="P441" i="12"/>
  <c r="Q441" i="12" s="1" a="1"/>
  <c r="Q441" i="12" s="1"/>
  <c r="R441" i="12"/>
  <c r="S441" i="12" s="1"/>
  <c r="U441" i="12"/>
  <c r="P436" i="12"/>
  <c r="Q436" i="12" s="1" a="1"/>
  <c r="Q436" i="12" s="1"/>
  <c r="R436" i="12"/>
  <c r="S436" i="12" s="1"/>
  <c r="U436" i="12"/>
  <c r="P437" i="12"/>
  <c r="Q437" i="12" s="1" a="1"/>
  <c r="Q437" i="12" s="1"/>
  <c r="R437" i="12"/>
  <c r="S437" i="12" s="1"/>
  <c r="U437" i="12"/>
  <c r="P438" i="12"/>
  <c r="Q438" i="12" s="1" a="1"/>
  <c r="Q438" i="12" s="1"/>
  <c r="R438" i="12"/>
  <c r="S438" i="12" s="1"/>
  <c r="U438" i="12"/>
  <c r="P439" i="12"/>
  <c r="Q439" i="12" s="1" a="1"/>
  <c r="Q439" i="12" s="1"/>
  <c r="R439" i="12"/>
  <c r="S439" i="12" s="1"/>
  <c r="U439" i="12"/>
  <c r="P443" i="12"/>
  <c r="Q443" i="12" s="1" a="1"/>
  <c r="Q443" i="12" s="1"/>
  <c r="R443" i="12"/>
  <c r="S443" i="12" s="1"/>
  <c r="U443" i="12"/>
  <c r="P452" i="12"/>
  <c r="Q452" i="12" s="1" a="1"/>
  <c r="Q452" i="12" s="1"/>
  <c r="R452" i="12"/>
  <c r="S452" i="12" s="1"/>
  <c r="U452" i="12"/>
  <c r="P453" i="12"/>
  <c r="Q453" i="12" s="1" a="1"/>
  <c r="Q453" i="12" s="1"/>
  <c r="R453" i="12"/>
  <c r="S453" i="12" s="1"/>
  <c r="U453" i="12"/>
  <c r="P454" i="12"/>
  <c r="Q454" i="12" s="1" a="1"/>
  <c r="Q454" i="12" s="1"/>
  <c r="R454" i="12"/>
  <c r="S454" i="12" s="1"/>
  <c r="U454" i="12"/>
  <c r="P455" i="12"/>
  <c r="Q455" i="12" s="1" a="1"/>
  <c r="Q455" i="12" s="1"/>
  <c r="R455" i="12"/>
  <c r="S455" i="12" s="1"/>
  <c r="U455" i="12"/>
  <c r="P459" i="12"/>
  <c r="Q459" i="12" s="1" a="1"/>
  <c r="Q459" i="12" s="1"/>
  <c r="R459" i="12"/>
  <c r="S459" i="12" s="1"/>
  <c r="U459" i="12"/>
  <c r="P463" i="12"/>
  <c r="Q463" i="12" s="1" a="1"/>
  <c r="Q463" i="12" s="1"/>
  <c r="R463" i="12"/>
  <c r="S463" i="12" s="1"/>
  <c r="U463" i="12"/>
  <c r="P464" i="12"/>
  <c r="Q464" i="12" s="1" a="1"/>
  <c r="Q464" i="12" s="1"/>
  <c r="R464" i="12"/>
  <c r="S464" i="12" s="1"/>
  <c r="U464" i="12"/>
  <c r="P456" i="12"/>
  <c r="Q456" i="12" s="1" a="1"/>
  <c r="Q456" i="12" s="1"/>
  <c r="R456" i="12"/>
  <c r="S456" i="12" s="1"/>
  <c r="U456" i="12"/>
  <c r="P457" i="12"/>
  <c r="Q457" i="12" s="1" a="1"/>
  <c r="Q457" i="12" s="1"/>
  <c r="R457" i="12"/>
  <c r="S457" i="12" s="1"/>
  <c r="U457" i="12"/>
  <c r="P458" i="12"/>
  <c r="Q458" i="12" s="1" a="1"/>
  <c r="Q458" i="12" s="1"/>
  <c r="R458" i="12"/>
  <c r="S458" i="12" s="1"/>
  <c r="U458" i="12"/>
  <c r="P460" i="12"/>
  <c r="Q460" i="12" s="1" a="1"/>
  <c r="Q460" i="12" s="1"/>
  <c r="R460" i="12"/>
  <c r="S460" i="12" s="1"/>
  <c r="U460" i="12"/>
  <c r="P461" i="12"/>
  <c r="Q461" i="12" s="1" a="1"/>
  <c r="Q461" i="12" s="1"/>
  <c r="R461" i="12"/>
  <c r="S461" i="12" s="1"/>
  <c r="U461" i="12"/>
  <c r="P462" i="12"/>
  <c r="Q462" i="12" s="1" a="1"/>
  <c r="Q462" i="12" s="1"/>
  <c r="R462" i="12"/>
  <c r="S462" i="12" s="1"/>
  <c r="U462" i="12"/>
  <c r="P465" i="12"/>
  <c r="Q465" i="12" s="1" a="1"/>
  <c r="Q465" i="12" s="1"/>
  <c r="R465" i="12"/>
  <c r="S465" i="12" s="1"/>
  <c r="U465" i="12"/>
  <c r="P466" i="12"/>
  <c r="Q466" i="12" s="1" a="1"/>
  <c r="Q466" i="12" s="1"/>
  <c r="R466" i="12"/>
  <c r="S466" i="12" s="1"/>
  <c r="U466" i="12"/>
  <c r="P467" i="12"/>
  <c r="R467" i="12"/>
  <c r="S467" i="12" s="1"/>
  <c r="U467" i="12"/>
  <c r="P468" i="12"/>
  <c r="R468" i="12"/>
  <c r="S468" i="12" s="1"/>
  <c r="U468" i="12"/>
  <c r="P469" i="12"/>
  <c r="Q469" i="12" s="1" a="1"/>
  <c r="Q469" i="12" s="1"/>
  <c r="R469" i="12"/>
  <c r="S469" i="12" s="1"/>
  <c r="U469" i="12"/>
  <c r="P470" i="12"/>
  <c r="Q470" i="12" s="1" a="1"/>
  <c r="Q470" i="12" s="1"/>
  <c r="R470" i="12"/>
  <c r="S470" i="12" s="1"/>
  <c r="U470" i="12"/>
  <c r="P471" i="12"/>
  <c r="Q471" i="12" s="1" a="1"/>
  <c r="Q471" i="12" s="1"/>
  <c r="R471" i="12"/>
  <c r="S471" i="12" s="1"/>
  <c r="P472" i="12"/>
  <c r="Q472" i="12" s="1" a="1"/>
  <c r="Q472" i="12" s="1"/>
  <c r="R472" i="12"/>
  <c r="S472" i="12" s="1"/>
  <c r="U472" i="12"/>
  <c r="P473" i="12"/>
  <c r="Q473" i="12" s="1" a="1"/>
  <c r="Q473" i="12" s="1"/>
  <c r="R473" i="12"/>
  <c r="S473" i="12" s="1"/>
  <c r="U473" i="12"/>
  <c r="P487" i="12"/>
  <c r="Q487" i="12" s="1" a="1"/>
  <c r="Q487" i="12" s="1"/>
  <c r="R487" i="12"/>
  <c r="S487" i="12" s="1"/>
  <c r="U487" i="12"/>
  <c r="P475" i="12"/>
  <c r="Q475" i="12" s="1" a="1"/>
  <c r="Q475" i="12" s="1"/>
  <c r="R475" i="12"/>
  <c r="S475" i="12" s="1"/>
  <c r="U475" i="12"/>
  <c r="P474" i="12"/>
  <c r="Q474" i="12" s="1" a="1"/>
  <c r="Q474" i="12" s="1"/>
  <c r="R474" i="12"/>
  <c r="S474" i="12" s="1"/>
  <c r="U474" i="12"/>
  <c r="P477" i="12"/>
  <c r="Q477" i="12" s="1" a="1"/>
  <c r="Q477" i="12" s="1"/>
  <c r="R477" i="12"/>
  <c r="S477" i="12" s="1"/>
  <c r="U477" i="12"/>
  <c r="U478" i="12"/>
  <c r="P479" i="12"/>
  <c r="Q479" i="12" s="1" a="1"/>
  <c r="Q479" i="12" s="1"/>
  <c r="R479" i="12"/>
  <c r="S479" i="12" s="1"/>
  <c r="U479" i="12"/>
  <c r="P480" i="12"/>
  <c r="Q480" i="12" s="1" a="1"/>
  <c r="Q480" i="12" s="1"/>
  <c r="R480" i="12"/>
  <c r="S480" i="12" s="1"/>
  <c r="U480" i="12"/>
  <c r="P481" i="12"/>
  <c r="R481" i="12"/>
  <c r="S481" i="12" s="1"/>
  <c r="U481" i="12"/>
  <c r="P483" i="12"/>
  <c r="Q483" i="12" s="1" a="1"/>
  <c r="Q483" i="12" s="1"/>
  <c r="R483" i="12"/>
  <c r="S483" i="12" s="1"/>
  <c r="U483" i="12"/>
  <c r="P485" i="12"/>
  <c r="Q485" i="12" s="1" a="1"/>
  <c r="Q485" i="12" s="1"/>
  <c r="R485" i="12"/>
  <c r="S485" i="12" s="1"/>
  <c r="U485" i="12"/>
  <c r="P486" i="12"/>
  <c r="Q486" i="12" s="1" a="1"/>
  <c r="Q486" i="12" s="1"/>
  <c r="R486" i="12"/>
  <c r="S486" i="12" s="1"/>
  <c r="U486" i="12"/>
  <c r="P488" i="12"/>
  <c r="Q488" i="12" s="1" a="1"/>
  <c r="Q488" i="12" s="1"/>
  <c r="R488" i="12"/>
  <c r="S488" i="12" s="1"/>
  <c r="U488" i="12"/>
  <c r="P489" i="12"/>
  <c r="Q489" i="12" s="1" a="1"/>
  <c r="Q489" i="12" s="1"/>
  <c r="R489" i="12"/>
  <c r="S489" i="12" s="1"/>
  <c r="U489" i="12"/>
  <c r="P490" i="12"/>
  <c r="Q490" i="12" s="1" a="1"/>
  <c r="Q490" i="12" s="1"/>
  <c r="R490" i="12"/>
  <c r="S490" i="12" s="1"/>
  <c r="U490" i="12"/>
  <c r="P491" i="12"/>
  <c r="Q491" i="12" s="1" a="1"/>
  <c r="Q491" i="12" s="1"/>
  <c r="R491" i="12"/>
  <c r="S491" i="12" s="1"/>
  <c r="U491" i="12"/>
  <c r="P492" i="12"/>
  <c r="Q492" i="12" s="1" a="1"/>
  <c r="Q492" i="12" s="1"/>
  <c r="R492" i="12"/>
  <c r="S492" i="12" s="1"/>
  <c r="U492" i="12"/>
  <c r="P493" i="12"/>
  <c r="Q493" i="12" s="1" a="1"/>
  <c r="Q493" i="12" s="1"/>
  <c r="R493" i="12"/>
  <c r="S493" i="12" s="1"/>
  <c r="U493" i="12"/>
  <c r="P494" i="12"/>
  <c r="Q494" i="12" s="1" a="1"/>
  <c r="Q494" i="12" s="1"/>
  <c r="R494" i="12"/>
  <c r="S494" i="12" s="1"/>
  <c r="U494" i="12"/>
  <c r="P495" i="12"/>
  <c r="Q495" i="12" s="1" a="1"/>
  <c r="Q495" i="12" s="1"/>
  <c r="R495" i="12"/>
  <c r="S495" i="12" s="1"/>
  <c r="U495" i="12"/>
  <c r="P496" i="12"/>
  <c r="Q496" i="12" s="1" a="1"/>
  <c r="Q496" i="12" s="1"/>
  <c r="R496" i="12"/>
  <c r="S496" i="12" s="1"/>
  <c r="U496" i="12"/>
  <c r="P497" i="12"/>
  <c r="Q497" i="12" s="1" a="1"/>
  <c r="Q497" i="12" s="1"/>
  <c r="R497" i="12"/>
  <c r="S497" i="12" s="1"/>
  <c r="U497" i="12"/>
  <c r="P498" i="12"/>
  <c r="Q498" i="12" s="1" a="1"/>
  <c r="Q498" i="12" s="1"/>
  <c r="R498" i="12"/>
  <c r="S498" i="12" s="1"/>
  <c r="U498" i="12"/>
  <c r="P499" i="12"/>
  <c r="Q499" i="12" s="1" a="1"/>
  <c r="Q499" i="12" s="1"/>
  <c r="R499" i="12"/>
  <c r="S499" i="12" s="1"/>
  <c r="U499" i="12"/>
  <c r="P500" i="12"/>
  <c r="Q500" i="12" s="1" a="1"/>
  <c r="Q500" i="12" s="1"/>
  <c r="R500" i="12"/>
  <c r="S500" i="12" s="1"/>
  <c r="U500" i="12"/>
  <c r="P501" i="12"/>
  <c r="Q501" i="12" s="1" a="1"/>
  <c r="Q501" i="12" s="1"/>
  <c r="R501" i="12"/>
  <c r="S501" i="12" s="1"/>
  <c r="U501" i="12"/>
  <c r="P502" i="12"/>
  <c r="Q502" i="12" s="1" a="1"/>
  <c r="Q502" i="12" s="1"/>
  <c r="R502" i="12"/>
  <c r="S502" i="12" s="1"/>
  <c r="U502" i="12"/>
  <c r="P503" i="12"/>
  <c r="Q503" i="12" s="1" a="1"/>
  <c r="Q503" i="12" s="1"/>
  <c r="R503" i="12"/>
  <c r="S503" i="12" s="1"/>
  <c r="U503" i="12"/>
  <c r="P504" i="12"/>
  <c r="Q504" i="12" s="1" a="1"/>
  <c r="Q504" i="12" s="1"/>
  <c r="R504" i="12"/>
  <c r="S504" i="12" s="1"/>
  <c r="U504" i="12"/>
  <c r="P505" i="12"/>
  <c r="Q505" i="12" s="1" a="1"/>
  <c r="Q505" i="12" s="1"/>
  <c r="R505" i="12"/>
  <c r="S505" i="12" s="1"/>
  <c r="U505" i="12"/>
  <c r="P506" i="12"/>
  <c r="Q506" i="12" s="1" a="1"/>
  <c r="Q506" i="12" s="1"/>
  <c r="R506" i="12"/>
  <c r="S506" i="12" s="1"/>
  <c r="U506" i="12"/>
  <c r="P507" i="12"/>
  <c r="Q507" i="12" s="1" a="1"/>
  <c r="Q507" i="12" s="1"/>
  <c r="R507" i="12"/>
  <c r="S507" i="12" s="1"/>
  <c r="U507" i="12"/>
  <c r="P508" i="12"/>
  <c r="Q508" i="12" s="1" a="1"/>
  <c r="Q508" i="12" s="1"/>
  <c r="R508" i="12"/>
  <c r="S508" i="12" s="1"/>
  <c r="U508" i="12"/>
  <c r="P509" i="12"/>
  <c r="Q509" i="12" s="1" a="1"/>
  <c r="Q509" i="12" s="1"/>
  <c r="R509" i="12"/>
  <c r="S509" i="12" s="1"/>
  <c r="U509" i="12"/>
  <c r="P510" i="12"/>
  <c r="Q510" i="12" s="1" a="1"/>
  <c r="Q510" i="12" s="1"/>
  <c r="R510" i="12"/>
  <c r="S510" i="12" s="1"/>
  <c r="U510" i="12"/>
  <c r="P511" i="12"/>
  <c r="Q511" i="12" s="1" a="1"/>
  <c r="Q511" i="12" s="1"/>
  <c r="R511" i="12"/>
  <c r="S511" i="12" s="1"/>
  <c r="U511" i="12"/>
  <c r="P512" i="12"/>
  <c r="Q512" i="12" s="1" a="1"/>
  <c r="Q512" i="12" s="1"/>
  <c r="R512" i="12"/>
  <c r="S512" i="12" s="1"/>
  <c r="U512" i="12"/>
  <c r="P513" i="12"/>
  <c r="Q513" i="12" s="1" a="1"/>
  <c r="Q513" i="12" s="1"/>
  <c r="R513" i="12"/>
  <c r="S513" i="12" s="1"/>
  <c r="U513" i="12"/>
  <c r="P514" i="12"/>
  <c r="Q514" i="12" s="1" a="1"/>
  <c r="Q514" i="12" s="1"/>
  <c r="R514" i="12"/>
  <c r="S514" i="12" s="1"/>
  <c r="U514" i="12"/>
  <c r="P515" i="12"/>
  <c r="Q515" i="12" s="1" a="1"/>
  <c r="Q515" i="12" s="1"/>
  <c r="R515" i="12"/>
  <c r="S515" i="12" s="1"/>
  <c r="U515" i="12"/>
  <c r="P516" i="12"/>
  <c r="Q516" i="12" s="1" a="1"/>
  <c r="Q516" i="12" s="1"/>
  <c r="R516" i="12"/>
  <c r="S516" i="12" s="1"/>
  <c r="U516" i="12"/>
  <c r="P517" i="12"/>
  <c r="Q517" i="12" s="1" a="1"/>
  <c r="Q517" i="12" s="1"/>
  <c r="R517" i="12"/>
  <c r="S517" i="12" s="1"/>
  <c r="U517" i="12"/>
  <c r="P518" i="12"/>
  <c r="Q518" i="12" s="1" a="1"/>
  <c r="Q518" i="12" s="1"/>
  <c r="R518" i="12"/>
  <c r="S518" i="12" s="1"/>
  <c r="U518" i="12"/>
  <c r="P519" i="12"/>
  <c r="Q519" i="12" s="1" a="1"/>
  <c r="Q519" i="12" s="1"/>
  <c r="R519" i="12"/>
  <c r="S519" i="12" s="1"/>
  <c r="U519" i="12"/>
  <c r="P520" i="12"/>
  <c r="Q520" i="12" s="1" a="1"/>
  <c r="Q520" i="12" s="1"/>
  <c r="R520" i="12"/>
  <c r="S520" i="12" s="1"/>
  <c r="U520" i="12"/>
  <c r="P521" i="12"/>
  <c r="Q521" i="12" s="1" a="1"/>
  <c r="Q521" i="12" s="1"/>
  <c r="R521" i="12"/>
  <c r="S521" i="12" s="1"/>
  <c r="U521" i="12"/>
  <c r="P522" i="12"/>
  <c r="Q522" i="12" s="1" a="1"/>
  <c r="Q522" i="12" s="1"/>
  <c r="R522" i="12"/>
  <c r="S522" i="12" s="1"/>
  <c r="U522" i="12"/>
  <c r="P523" i="12"/>
  <c r="Q523" i="12" s="1" a="1"/>
  <c r="Q523" i="12" s="1"/>
  <c r="R523" i="12"/>
  <c r="S523" i="12" s="1"/>
  <c r="U523" i="12"/>
  <c r="P524" i="12"/>
  <c r="Q524" i="12" s="1" a="1"/>
  <c r="Q524" i="12" s="1"/>
  <c r="R524" i="12"/>
  <c r="S524" i="12" s="1"/>
  <c r="U524" i="12"/>
  <c r="P525" i="12"/>
  <c r="Q525" i="12" s="1" a="1"/>
  <c r="Q525" i="12" s="1"/>
  <c r="R525" i="12"/>
  <c r="S525" i="12" s="1"/>
  <c r="U525" i="12"/>
  <c r="P526" i="12"/>
  <c r="Q526" i="12" s="1" a="1"/>
  <c r="Q526" i="12" s="1"/>
  <c r="R526" i="12"/>
  <c r="S526" i="12" s="1"/>
  <c r="U526" i="12"/>
  <c r="P527" i="12"/>
  <c r="Q527" i="12" s="1" a="1"/>
  <c r="Q527" i="12" s="1"/>
  <c r="R527" i="12"/>
  <c r="S527" i="12" s="1"/>
  <c r="U527" i="12"/>
  <c r="P528" i="12"/>
  <c r="Q528" i="12" s="1" a="1"/>
  <c r="Q528" i="12" s="1"/>
  <c r="R528" i="12"/>
  <c r="S528" i="12" s="1"/>
  <c r="U528" i="12"/>
  <c r="P529" i="12"/>
  <c r="Q529" i="12" s="1" a="1"/>
  <c r="Q529" i="12" s="1"/>
  <c r="R529" i="12"/>
  <c r="S529" i="12" s="1"/>
  <c r="U529" i="12"/>
  <c r="P530" i="12"/>
  <c r="Q530" i="12" s="1" a="1"/>
  <c r="Q530" i="12" s="1"/>
  <c r="R530" i="12"/>
  <c r="S530" i="12" s="1"/>
  <c r="U530" i="12"/>
  <c r="P531" i="12"/>
  <c r="Q531" i="12" s="1" a="1"/>
  <c r="Q531" i="12" s="1"/>
  <c r="R531" i="12"/>
  <c r="S531" i="12" s="1"/>
  <c r="U531" i="12"/>
  <c r="P532" i="12"/>
  <c r="Q532" i="12" s="1" a="1"/>
  <c r="Q532" i="12" s="1"/>
  <c r="R532" i="12"/>
  <c r="S532" i="12" s="1"/>
  <c r="U532" i="12"/>
  <c r="P533" i="12"/>
  <c r="Q533" i="12" s="1" a="1"/>
  <c r="Q533" i="12" s="1"/>
  <c r="R533" i="12"/>
  <c r="S533" i="12" s="1"/>
  <c r="U533" i="12"/>
  <c r="P534" i="12"/>
  <c r="Q534" i="12" s="1" a="1"/>
  <c r="Q534" i="12" s="1"/>
  <c r="R534" i="12"/>
  <c r="S534" i="12" s="1"/>
  <c r="U534" i="12"/>
  <c r="P535" i="12"/>
  <c r="Q535" i="12" s="1" a="1"/>
  <c r="Q535" i="12" s="1"/>
  <c r="R535" i="12"/>
  <c r="S535" i="12" s="1"/>
  <c r="U535" i="12"/>
  <c r="P536" i="12"/>
  <c r="Q536" i="12" s="1" a="1"/>
  <c r="Q536" i="12" s="1"/>
  <c r="R536" i="12"/>
  <c r="S536" i="12" s="1"/>
  <c r="U536" i="12"/>
  <c r="P537" i="12"/>
  <c r="Q537" i="12" s="1" a="1"/>
  <c r="Q537" i="12" s="1"/>
  <c r="R537" i="12"/>
  <c r="S537" i="12" s="1"/>
  <c r="U537" i="12"/>
  <c r="P538" i="12"/>
  <c r="Q538" i="12" s="1" a="1"/>
  <c r="Q538" i="12" s="1"/>
  <c r="R538" i="12"/>
  <c r="S538" i="12" s="1"/>
  <c r="U538" i="12"/>
  <c r="P539" i="12"/>
  <c r="Q539" i="12" s="1" a="1"/>
  <c r="Q539" i="12" s="1"/>
  <c r="R539" i="12"/>
  <c r="S539" i="12" s="1"/>
  <c r="U539" i="12"/>
  <c r="P540" i="12"/>
  <c r="Q540" i="12" s="1" a="1"/>
  <c r="Q540" i="12" s="1"/>
  <c r="R540" i="12"/>
  <c r="S540" i="12" s="1"/>
  <c r="U540" i="12"/>
  <c r="P541" i="12"/>
  <c r="Q541" i="12" s="1" a="1"/>
  <c r="Q541" i="12" s="1"/>
  <c r="R541" i="12"/>
  <c r="S541" i="12" s="1"/>
  <c r="U541" i="12"/>
  <c r="P542" i="12"/>
  <c r="Q542" i="12" s="1" a="1"/>
  <c r="Q542" i="12" s="1"/>
  <c r="R542" i="12"/>
  <c r="S542" i="12" s="1"/>
  <c r="U542" i="12"/>
  <c r="P543" i="12"/>
  <c r="Q543" i="12" s="1" a="1"/>
  <c r="Q543" i="12" s="1"/>
  <c r="R543" i="12"/>
  <c r="S543" i="12" s="1"/>
  <c r="U543" i="12"/>
  <c r="P544" i="12"/>
  <c r="Q544" i="12" s="1" a="1"/>
  <c r="Q544" i="12" s="1"/>
  <c r="R544" i="12"/>
  <c r="S544" i="12" s="1"/>
  <c r="U544" i="12"/>
  <c r="P545" i="12"/>
  <c r="Q545" i="12" s="1" a="1"/>
  <c r="Q545" i="12" s="1"/>
  <c r="R545" i="12"/>
  <c r="S545" i="12" s="1"/>
  <c r="U545" i="12"/>
  <c r="P546" i="12"/>
  <c r="Q546" i="12" s="1" a="1"/>
  <c r="Q546" i="12" s="1"/>
  <c r="R546" i="12"/>
  <c r="S546" i="12" s="1"/>
  <c r="U546" i="12"/>
  <c r="P547" i="12"/>
  <c r="Q547" i="12" s="1" a="1"/>
  <c r="Q547" i="12" s="1"/>
  <c r="R547" i="12"/>
  <c r="S547" i="12" s="1"/>
  <c r="U547" i="12"/>
  <c r="P548" i="12"/>
  <c r="Q548" i="12" s="1" a="1"/>
  <c r="Q548" i="12" s="1"/>
  <c r="R548" i="12"/>
  <c r="S548" i="12" s="1"/>
  <c r="U548" i="12"/>
  <c r="P549" i="12"/>
  <c r="Q549" i="12" s="1" a="1"/>
  <c r="Q549" i="12" s="1"/>
  <c r="R549" i="12"/>
  <c r="S549" i="12" s="1"/>
  <c r="U549" i="12"/>
  <c r="P550" i="12"/>
  <c r="Q550" i="12" s="1" a="1"/>
  <c r="Q550" i="12" s="1"/>
  <c r="R550" i="12"/>
  <c r="S550" i="12" s="1"/>
  <c r="U550" i="12"/>
  <c r="P551" i="12"/>
  <c r="Q551" i="12" s="1" a="1"/>
  <c r="Q551" i="12" s="1"/>
  <c r="R551" i="12"/>
  <c r="S551" i="12" s="1"/>
  <c r="U551" i="12"/>
  <c r="P552" i="12"/>
  <c r="Q552" i="12" s="1" a="1"/>
  <c r="Q552" i="12" s="1"/>
  <c r="R552" i="12"/>
  <c r="S552" i="12" s="1"/>
  <c r="U552" i="12"/>
  <c r="P553" i="12"/>
  <c r="Q553" i="12" s="1" a="1"/>
  <c r="Q553" i="12" s="1"/>
  <c r="R553" i="12"/>
  <c r="S553" i="12" s="1"/>
  <c r="U553" i="12"/>
  <c r="P554" i="12"/>
  <c r="Q554" i="12" s="1" a="1"/>
  <c r="Q554" i="12" s="1"/>
  <c r="R554" i="12"/>
  <c r="S554" i="12" s="1"/>
  <c r="U554" i="12"/>
  <c r="P555" i="12"/>
  <c r="Q555" i="12" s="1" a="1"/>
  <c r="Q555" i="12" s="1"/>
  <c r="R555" i="12"/>
  <c r="S555" i="12" s="1"/>
  <c r="U555" i="12"/>
  <c r="P556" i="12"/>
  <c r="Q556" i="12" s="1" a="1"/>
  <c r="Q556" i="12" s="1"/>
  <c r="R556" i="12"/>
  <c r="S556" i="12" s="1"/>
  <c r="U556" i="12"/>
  <c r="P557" i="12"/>
  <c r="Q557" i="12" s="1" a="1"/>
  <c r="Q557" i="12" s="1"/>
  <c r="R557" i="12"/>
  <c r="S557" i="12" s="1"/>
  <c r="U557" i="12"/>
  <c r="P558" i="12"/>
  <c r="Q558" i="12" s="1" a="1"/>
  <c r="Q558" i="12" s="1"/>
  <c r="R558" i="12"/>
  <c r="S558" i="12" s="1"/>
  <c r="U558" i="12"/>
  <c r="P559" i="12"/>
  <c r="Q559" i="12" s="1" a="1"/>
  <c r="Q559" i="12" s="1"/>
  <c r="R559" i="12"/>
  <c r="S559" i="12" s="1"/>
  <c r="U559" i="12"/>
  <c r="P560" i="12"/>
  <c r="Q560" i="12" s="1" a="1"/>
  <c r="Q560" i="12" s="1"/>
  <c r="R560" i="12"/>
  <c r="S560" i="12" s="1"/>
  <c r="U560" i="12"/>
  <c r="P561" i="12"/>
  <c r="Q561" i="12" s="1" a="1"/>
  <c r="Q561" i="12" s="1"/>
  <c r="R561" i="12"/>
  <c r="S561" i="12" s="1"/>
  <c r="U561" i="12"/>
  <c r="P562" i="12"/>
  <c r="Q562" i="12" s="1" a="1"/>
  <c r="Q562" i="12" s="1"/>
  <c r="R562" i="12"/>
  <c r="S562" i="12" s="1"/>
  <c r="U562" i="12"/>
  <c r="P563" i="12"/>
  <c r="Q563" i="12" s="1" a="1"/>
  <c r="Q563" i="12" s="1"/>
  <c r="R563" i="12"/>
  <c r="S563" i="12" s="1"/>
  <c r="U563" i="12"/>
  <c r="P564" i="12"/>
  <c r="Q564" i="12" s="1" a="1"/>
  <c r="Q564" i="12" s="1"/>
  <c r="R564" i="12"/>
  <c r="S564" i="12" s="1"/>
  <c r="U564" i="12"/>
  <c r="P565" i="12"/>
  <c r="Q565" i="12" s="1" a="1"/>
  <c r="Q565" i="12" s="1"/>
  <c r="R565" i="12"/>
  <c r="S565" i="12" s="1"/>
  <c r="U565" i="12"/>
  <c r="P566" i="12"/>
  <c r="Q566" i="12" s="1" a="1"/>
  <c r="Q566" i="12" s="1"/>
  <c r="R566" i="12"/>
  <c r="S566" i="12" s="1"/>
  <c r="U566" i="12"/>
  <c r="P567" i="12"/>
  <c r="Q567" i="12" s="1" a="1"/>
  <c r="Q567" i="12" s="1"/>
  <c r="R567" i="12"/>
  <c r="S567" i="12" s="1"/>
  <c r="U567" i="12"/>
  <c r="P568" i="12"/>
  <c r="Q568" i="12" s="1" a="1"/>
  <c r="Q568" i="12" s="1"/>
  <c r="R568" i="12"/>
  <c r="S568" i="12" s="1"/>
  <c r="U568" i="12"/>
  <c r="R375" i="12"/>
  <c r="N375" i="12" a="1"/>
  <c r="N375" i="12" s="1"/>
  <c r="U369" i="12"/>
  <c r="P367" i="12"/>
  <c r="Q367" i="12" s="1" a="1"/>
  <c r="Q367" i="12" s="1"/>
  <c r="P366" i="12"/>
  <c r="Q366" i="12" s="1" a="1"/>
  <c r="Q366" i="12" s="1"/>
  <c r="N367" i="12" a="1"/>
  <c r="N367" i="12" s="1"/>
  <c r="R367" i="12"/>
  <c r="S367" i="12" s="1"/>
  <c r="N366" i="12" a="1"/>
  <c r="N366" i="12" s="1"/>
  <c r="R366" i="12"/>
  <c r="S366" i="12" s="1"/>
  <c r="U367" i="12"/>
  <c r="U366" i="12"/>
  <c r="N372" i="12" a="1"/>
  <c r="N372" i="12" s="1"/>
  <c r="U372" i="12"/>
  <c r="R372" i="12"/>
  <c r="S372" i="12" s="1"/>
  <c r="P372" i="12"/>
  <c r="Q372" i="12" s="1" a="1"/>
  <c r="Q372" i="12" s="1"/>
  <c r="N370" i="12" a="1"/>
  <c r="N370" i="12" s="1"/>
  <c r="R370" i="12"/>
  <c r="S370" i="12" s="1"/>
  <c r="P370" i="12"/>
  <c r="Q370" i="12" s="1" a="1"/>
  <c r="Q370" i="12" s="1"/>
  <c r="N369" i="12" a="1"/>
  <c r="N369" i="12" s="1"/>
  <c r="R369" i="12"/>
  <c r="S369" i="12" s="1"/>
  <c r="P369" i="12"/>
  <c r="Q369" i="12" s="1" a="1"/>
  <c r="Q369" i="12" s="1"/>
  <c r="N386" i="12" l="1" a="1"/>
  <c r="N386" i="12" s="1"/>
  <c r="U346" i="12"/>
  <c r="U347" i="12"/>
  <c r="U348" i="12"/>
  <c r="U349" i="12"/>
  <c r="U350" i="12"/>
  <c r="U351" i="12"/>
  <c r="U352" i="12"/>
  <c r="U353" i="12"/>
  <c r="U360" i="12"/>
  <c r="U354" i="12"/>
  <c r="U355" i="12"/>
  <c r="U358" i="12"/>
  <c r="U359" i="12"/>
  <c r="N348" i="12" a="1"/>
  <c r="N348" i="12" s="1"/>
  <c r="P348" i="12"/>
  <c r="Q348" i="12" s="1" a="1"/>
  <c r="Q348" i="12" s="1"/>
  <c r="R348" i="12"/>
  <c r="S348" i="12" s="1"/>
  <c r="N349" i="12" a="1"/>
  <c r="N349" i="12" s="1"/>
  <c r="P349" i="12"/>
  <c r="Q349" i="12" s="1" a="1"/>
  <c r="Q349" i="12" s="1"/>
  <c r="R349" i="12"/>
  <c r="S349" i="12" s="1"/>
  <c r="N350" i="12" a="1"/>
  <c r="N350" i="12" s="1"/>
  <c r="P350" i="12"/>
  <c r="Q350" i="12" s="1" a="1"/>
  <c r="Q350" i="12" s="1"/>
  <c r="R350" i="12"/>
  <c r="S350" i="12" s="1"/>
  <c r="N360" i="12" a="1"/>
  <c r="N360" i="12" s="1"/>
  <c r="S360" i="12"/>
  <c r="P360" i="12"/>
  <c r="Q360" i="12" s="1" a="1"/>
  <c r="Q360" i="12" s="1"/>
  <c r="N357" i="12" a="1"/>
  <c r="N357" i="12" s="1"/>
  <c r="U357" i="12"/>
  <c r="R357" i="12"/>
  <c r="S357" i="12" s="1"/>
  <c r="P357" i="12"/>
  <c r="Q357" i="12" s="1" a="1"/>
  <c r="Q357" i="12" s="1"/>
  <c r="N356" i="12" a="1"/>
  <c r="N356" i="12" s="1"/>
  <c r="U356" i="12"/>
  <c r="R356" i="12"/>
  <c r="S356" i="12" s="1"/>
  <c r="P356" i="12"/>
  <c r="Q356" i="12" s="1" a="1"/>
  <c r="Q356" i="12" s="1"/>
  <c r="N346" i="12" a="1"/>
  <c r="N346" i="12" s="1"/>
  <c r="R346" i="12"/>
  <c r="S346" i="12" s="1"/>
  <c r="P346" i="12"/>
  <c r="Q346" i="12" s="1" a="1"/>
  <c r="Q346" i="12" s="1"/>
  <c r="R352" i="12"/>
  <c r="S352" i="12" s="1"/>
  <c r="R347" i="12"/>
  <c r="S347" i="12" s="1"/>
  <c r="P352" i="12"/>
  <c r="Q352" i="12" s="1" a="1"/>
  <c r="Q352" i="12" s="1"/>
  <c r="P347" i="12"/>
  <c r="Q347" i="12" s="1" a="1"/>
  <c r="Q347" i="12" s="1"/>
  <c r="N352" i="12" a="1"/>
  <c r="N352" i="12" s="1"/>
  <c r="N347" i="12" a="1"/>
  <c r="N347" i="12" s="1"/>
  <c r="R351" i="12" l="1"/>
  <c r="P351" i="12"/>
  <c r="N351" i="12" a="1"/>
  <c r="N351" i="12" s="1"/>
  <c r="P334" i="12" l="1"/>
  <c r="Q334" i="12" s="1" a="1"/>
  <c r="Q334" i="12" s="1"/>
  <c r="N334" i="12" a="1"/>
  <c r="N334" i="12" s="1"/>
  <c r="R334" i="12"/>
  <c r="S334" i="12" s="1"/>
  <c r="R331" i="12"/>
  <c r="S331" i="12" s="1"/>
  <c r="N331" i="12" a="1"/>
  <c r="N331" i="12" s="1"/>
  <c r="P331" i="12"/>
  <c r="Q331" i="12" s="1" a="1"/>
  <c r="Q331" i="12" s="1"/>
  <c r="U331" i="12"/>
  <c r="U327" i="12"/>
  <c r="U328" i="12"/>
  <c r="U332" i="12"/>
  <c r="P325" i="12"/>
  <c r="U334" i="12" l="1"/>
  <c r="R327" i="12" l="1"/>
  <c r="S327" i="12" s="1"/>
  <c r="P327" i="12"/>
  <c r="Q327" i="12" s="1" a="1"/>
  <c r="Q327" i="12" s="1"/>
  <c r="N327" i="12" a="1"/>
  <c r="N327" i="12" s="1"/>
  <c r="S326" i="12"/>
  <c r="P326" i="12"/>
  <c r="Q326" i="12" s="1" a="1"/>
  <c r="Q326" i="12" s="1"/>
  <c r="U326" i="12"/>
  <c r="N326" i="12" a="1"/>
  <c r="N326" i="12" s="1"/>
  <c r="U314" i="12"/>
  <c r="U310" i="12"/>
  <c r="N315" i="12" a="1"/>
  <c r="N315" i="12" s="1"/>
  <c r="P315" i="12"/>
  <c r="Q315" i="12" s="1" a="1"/>
  <c r="Q315" i="12" s="1"/>
  <c r="R315" i="12"/>
  <c r="S315" i="12" s="1"/>
  <c r="N320" i="12" a="1"/>
  <c r="N320" i="12" s="1"/>
  <c r="P320" i="12"/>
  <c r="Q320" i="12" s="1" a="1"/>
  <c r="Q320" i="12" s="1"/>
  <c r="R320" i="12"/>
  <c r="S320" i="12" s="1"/>
  <c r="N316" i="12" a="1"/>
  <c r="N316" i="12" s="1"/>
  <c r="P316" i="12"/>
  <c r="Q316" i="12" s="1" a="1"/>
  <c r="Q316" i="12" s="1"/>
  <c r="R316" i="12"/>
  <c r="S316" i="12" s="1"/>
  <c r="N317" i="12" a="1"/>
  <c r="N317" i="12" s="1"/>
  <c r="P317" i="12"/>
  <c r="R317" i="12"/>
  <c r="S317" i="12" s="1"/>
  <c r="U313" i="12"/>
  <c r="R313" i="12"/>
  <c r="S313" i="12" s="1"/>
  <c r="P313" i="12"/>
  <c r="Q313" i="12" s="1" a="1"/>
  <c r="Q313" i="12" s="1"/>
  <c r="N313" i="12" a="1"/>
  <c r="N313" i="12" s="1"/>
  <c r="P310" i="12"/>
  <c r="Q310" i="12" s="1" a="1"/>
  <c r="Q310" i="12" s="1"/>
  <c r="N310" i="12" a="1"/>
  <c r="N310" i="12" s="1"/>
  <c r="R310" i="12"/>
  <c r="S310" i="12" s="1"/>
  <c r="R306" i="12" l="1"/>
  <c r="N306" i="12" a="1"/>
  <c r="N306" i="12" s="1"/>
  <c r="P308" i="12"/>
  <c r="Q308" i="12" s="1" a="1"/>
  <c r="Q308" i="12" s="1"/>
  <c r="N308" i="12" a="1"/>
  <c r="N308" i="12" s="1"/>
  <c r="R308" i="12"/>
  <c r="S308" i="12" s="1"/>
  <c r="U308" i="12"/>
  <c r="G17" i="4"/>
  <c r="N163" i="12" a="1"/>
  <c r="N163" i="12" s="1"/>
  <c r="U287" i="12"/>
  <c r="R287" i="12"/>
  <c r="S287" i="12" s="1"/>
  <c r="P287" i="12"/>
  <c r="Q287" i="12" s="1" a="1"/>
  <c r="Q287" i="12" s="1"/>
  <c r="N287" i="12" a="1"/>
  <c r="N287" i="12" s="1"/>
  <c r="N283" i="12" a="1"/>
  <c r="N283" i="12" s="1"/>
  <c r="R283" i="12"/>
  <c r="S283" i="12" s="1"/>
  <c r="P283" i="12"/>
  <c r="Q283" i="12" s="1" a="1"/>
  <c r="Q283" i="12" s="1"/>
  <c r="U283" i="12"/>
  <c r="N281" i="12" a="1"/>
  <c r="N281" i="12" s="1"/>
  <c r="R281" i="12"/>
  <c r="U281" i="12"/>
  <c r="N286" i="12" a="1"/>
  <c r="N286" i="12" s="1"/>
  <c r="N285" i="12" a="1"/>
  <c r="N285" i="12" s="1"/>
  <c r="U267" i="12" l="1"/>
  <c r="U273" i="12" l="1"/>
  <c r="R273" i="12"/>
  <c r="S273" i="12" s="1"/>
  <c r="P273" i="12"/>
  <c r="Q273" i="12" s="1" a="1"/>
  <c r="Q273" i="12" s="1"/>
  <c r="N273" i="12" a="1"/>
  <c r="N273" i="12" s="1"/>
  <c r="N266" i="12" a="1"/>
  <c r="N266" i="12" s="1"/>
  <c r="P266" i="12"/>
  <c r="Q266" i="12" s="1" a="1"/>
  <c r="Q266" i="12" s="1"/>
  <c r="R266" i="12"/>
  <c r="S266" i="12" s="1"/>
  <c r="N267" i="12" a="1"/>
  <c r="N267" i="12" s="1"/>
  <c r="P267" i="12"/>
  <c r="Q267" i="12" s="1" a="1"/>
  <c r="Q267" i="12" s="1"/>
  <c r="R267" i="12"/>
  <c r="S267" i="12" s="1"/>
  <c r="N263" i="12" a="1"/>
  <c r="N263" i="12" s="1"/>
  <c r="P263" i="12"/>
  <c r="Q263" i="12" s="1" a="1"/>
  <c r="Q263" i="12" s="1"/>
  <c r="R263" i="12"/>
  <c r="S263" i="12" s="1"/>
  <c r="N264" i="12" a="1"/>
  <c r="N264" i="12" s="1"/>
  <c r="P264" i="12"/>
  <c r="Q264" i="12" s="1" a="1"/>
  <c r="Q264" i="12" s="1"/>
  <c r="R264" i="12"/>
  <c r="S264" i="12" s="1"/>
  <c r="N265" i="12" a="1"/>
  <c r="N265" i="12" s="1"/>
  <c r="P265" i="12"/>
  <c r="Q265" i="12" s="1" a="1"/>
  <c r="Q265" i="12" s="1"/>
  <c r="R265" i="12"/>
  <c r="S265" i="12" s="1"/>
  <c r="U265" i="12"/>
  <c r="U264" i="12"/>
  <c r="U263" i="12"/>
  <c r="N260" i="12" l="1" a="1"/>
  <c r="N260" i="12" s="1"/>
  <c r="P260" i="12"/>
  <c r="Q260" i="12" s="1" a="1"/>
  <c r="Q260" i="12" s="1"/>
  <c r="R260" i="12"/>
  <c r="S260" i="12" s="1"/>
  <c r="N259" i="12" a="1"/>
  <c r="N259" i="12" s="1"/>
  <c r="P259" i="12"/>
  <c r="Q259" i="12" s="1" a="1"/>
  <c r="Q259" i="12" s="1"/>
  <c r="R259" i="12"/>
  <c r="S259" i="12" s="1"/>
  <c r="U259" i="12"/>
  <c r="U256" i="12"/>
  <c r="R256" i="12"/>
  <c r="S256" i="12" s="1"/>
  <c r="P256" i="12"/>
  <c r="Q256" i="12" s="1" a="1"/>
  <c r="Q256" i="12" s="1"/>
  <c r="N256" i="12" a="1"/>
  <c r="N256" i="12" s="1"/>
  <c r="P255" i="12"/>
  <c r="Q255" i="12" s="1" a="1"/>
  <c r="Q255" i="12" s="1"/>
  <c r="N255" i="12" a="1"/>
  <c r="N255" i="12" s="1"/>
  <c r="R255" i="12"/>
  <c r="S255" i="12" s="1"/>
  <c r="U255" i="12"/>
  <c r="P254" i="12" l="1"/>
  <c r="Q254" i="12" s="1" a="1"/>
  <c r="Q254" i="12" s="1"/>
  <c r="N254" i="12" a="1"/>
  <c r="N254" i="12" s="1"/>
  <c r="R254" i="12"/>
  <c r="S254" i="12" s="1"/>
  <c r="U254" i="12"/>
  <c r="P253" i="12" l="1"/>
  <c r="Q253" i="12" s="1" a="1"/>
  <c r="Q253" i="12" s="1"/>
  <c r="N253" i="12" a="1"/>
  <c r="N253" i="12" s="1"/>
  <c r="R253" i="12"/>
  <c r="S253" i="12" s="1"/>
  <c r="U251" i="12"/>
  <c r="U253" i="12"/>
  <c r="P251" i="12"/>
  <c r="Q251" i="12" s="1" a="1"/>
  <c r="Q251" i="12" s="1"/>
  <c r="N251" i="12" a="1"/>
  <c r="N251" i="12" s="1"/>
  <c r="R251" i="12"/>
  <c r="S251" i="12" s="1"/>
  <c r="U250" i="12"/>
  <c r="U252" i="12"/>
  <c r="U248" i="12"/>
  <c r="U262" i="12"/>
  <c r="U257" i="12"/>
  <c r="P248" i="12"/>
  <c r="Q248" i="12" s="1" a="1"/>
  <c r="Q248" i="12" s="1"/>
  <c r="N248" i="12" a="1"/>
  <c r="N248" i="12" s="1"/>
  <c r="R248" i="12"/>
  <c r="S248" i="12" s="1"/>
  <c r="P252" i="12"/>
  <c r="Q252" i="12" s="1" a="1"/>
  <c r="Q252" i="12" s="1"/>
  <c r="N252" i="12" a="1"/>
  <c r="N252" i="12" s="1"/>
  <c r="R252" i="12"/>
  <c r="S252" i="12" s="1"/>
  <c r="P247" i="12"/>
  <c r="Q247" i="12" s="1" a="1"/>
  <c r="Q247" i="12" s="1"/>
  <c r="N247" i="12" a="1"/>
  <c r="N247" i="12" s="1"/>
  <c r="R247" i="12"/>
  <c r="S247" i="12" s="1"/>
  <c r="U246" i="12"/>
  <c r="U249" i="12"/>
  <c r="U247" i="12"/>
  <c r="N249" i="12" a="1"/>
  <c r="N249" i="12" s="1"/>
  <c r="P249" i="12"/>
  <c r="Q249" i="12" s="1" a="1"/>
  <c r="Q249" i="12" s="1"/>
  <c r="R249" i="12"/>
  <c r="S249" i="12" s="1"/>
  <c r="N250" i="12" a="1"/>
  <c r="N250" i="12" s="1"/>
  <c r="P250" i="12"/>
  <c r="Q250" i="12" s="1" a="1"/>
  <c r="Q250" i="12" s="1"/>
  <c r="R250" i="12"/>
  <c r="S250" i="12" s="1"/>
  <c r="R246" i="12"/>
  <c r="S246" i="12" s="1"/>
  <c r="P246" i="12"/>
  <c r="Q246" i="12" s="1" a="1"/>
  <c r="Q246" i="12" s="1"/>
  <c r="N246" i="12" a="1"/>
  <c r="N246" i="12" s="1"/>
  <c r="S245" i="12"/>
  <c r="P245" i="12"/>
  <c r="Q245" i="12" s="1" a="1"/>
  <c r="Q245" i="12" s="1"/>
  <c r="U245" i="12"/>
  <c r="N245" i="12" a="1"/>
  <c r="N245" i="12" s="1"/>
  <c r="P244" i="12"/>
  <c r="Q244" i="12" s="1" a="1"/>
  <c r="Q244" i="12" s="1"/>
  <c r="P243" i="12"/>
  <c r="Q243" i="12" s="1" a="1"/>
  <c r="Q243" i="12" s="1"/>
  <c r="P242" i="12"/>
  <c r="Q242" i="12" s="1" a="1"/>
  <c r="Q242" i="12" s="1"/>
  <c r="R244" i="12"/>
  <c r="S244" i="12" s="1"/>
  <c r="N244" i="12" a="1"/>
  <c r="N244" i="12" s="1"/>
  <c r="R243" i="12"/>
  <c r="S243" i="12" s="1"/>
  <c r="N243" i="12" a="1"/>
  <c r="N243" i="12" s="1"/>
  <c r="R242" i="12"/>
  <c r="S242" i="12" s="1"/>
  <c r="N242" i="12" a="1"/>
  <c r="N242" i="12" s="1"/>
  <c r="U244" i="12"/>
  <c r="U243" i="12"/>
  <c r="U242" i="12"/>
  <c r="P240" i="12"/>
  <c r="Q240" i="12" s="1" a="1"/>
  <c r="Q240" i="12" s="1"/>
  <c r="R240" i="12"/>
  <c r="S240" i="12" s="1"/>
  <c r="N240" i="12" a="1"/>
  <c r="N240" i="12" s="1"/>
  <c r="U240" i="12"/>
  <c r="P241" i="12"/>
  <c r="Q241" i="12" s="1" a="1"/>
  <c r="Q241" i="12" s="1"/>
  <c r="N241" i="12" a="1"/>
  <c r="N241" i="12" s="1"/>
  <c r="S241" i="12"/>
  <c r="U241" i="12"/>
  <c r="E16" i="4"/>
  <c r="G16" i="4" s="1"/>
  <c r="K16" i="4"/>
  <c r="J16" i="4" s="1"/>
  <c r="L16" i="4"/>
  <c r="H16" i="4" l="1"/>
  <c r="P239" i="12"/>
  <c r="Q239" i="12" s="1" a="1"/>
  <c r="Q239" i="12" s="1"/>
  <c r="R239" i="12"/>
  <c r="S239" i="12" s="1"/>
  <c r="N239" i="12" a="1"/>
  <c r="N239" i="12" s="1"/>
  <c r="U239" i="12"/>
  <c r="P238" i="12" l="1"/>
  <c r="Q238" i="12" s="1" a="1"/>
  <c r="Q238" i="12" s="1"/>
  <c r="R238" i="12"/>
  <c r="S238" i="12" s="1"/>
  <c r="N238" i="12" a="1"/>
  <c r="N238" i="12" s="1"/>
  <c r="U238" i="12"/>
  <c r="P236" i="12"/>
  <c r="Q236" i="12" s="1" a="1"/>
  <c r="Q236" i="12" s="1"/>
  <c r="R236" i="12"/>
  <c r="S236" i="12" s="1"/>
  <c r="N236" i="12" a="1"/>
  <c r="N236" i="12" s="1"/>
  <c r="U236" i="12"/>
  <c r="N237" i="12" a="1"/>
  <c r="N237" i="12" s="1"/>
  <c r="U237" i="12"/>
  <c r="S237" i="12"/>
  <c r="P237" i="12"/>
  <c r="Q237" i="12" s="1" a="1"/>
  <c r="Q237" i="12" s="1"/>
  <c r="R235" i="12"/>
  <c r="S235" i="12" s="1"/>
  <c r="P235" i="12"/>
  <c r="Q235" i="12" s="1" a="1"/>
  <c r="Q235" i="12" s="1"/>
  <c r="N235" i="12" a="1"/>
  <c r="N235" i="12" s="1"/>
  <c r="U235" i="12"/>
  <c r="U234" i="12"/>
  <c r="S234" i="12"/>
  <c r="P234" i="12"/>
  <c r="Q234" i="12" s="1" a="1"/>
  <c r="Q234" i="12" s="1"/>
  <c r="N234" i="12" a="1"/>
  <c r="N234" i="12" s="1"/>
  <c r="R233" i="12"/>
  <c r="S233" i="12" s="1"/>
  <c r="P233" i="12"/>
  <c r="Q233" i="12" s="1" a="1"/>
  <c r="Q233" i="12" s="1"/>
  <c r="N233" i="12" a="1"/>
  <c r="N233" i="12" s="1"/>
  <c r="U233" i="12"/>
  <c r="R232" i="12"/>
  <c r="S232" i="12" s="1"/>
  <c r="P232" i="12"/>
  <c r="Q232" i="12" s="1" a="1"/>
  <c r="Q232" i="12" s="1"/>
  <c r="N232" i="12" a="1"/>
  <c r="N232" i="12" s="1"/>
  <c r="U232" i="12"/>
  <c r="N1533" i="12" a="1"/>
  <c r="N1533" i="12" s="1"/>
  <c r="P1533" i="12"/>
  <c r="Q1533" i="12" s="1" a="1"/>
  <c r="Q1533" i="12" s="1"/>
  <c r="R1533" i="12"/>
  <c r="S1533" i="12" s="1"/>
  <c r="U1533" i="12"/>
  <c r="N1204" i="12" a="1"/>
  <c r="N1204" i="12" s="1"/>
  <c r="P1204" i="12"/>
  <c r="Q1204" i="12" s="1" a="1"/>
  <c r="Q1204" i="12" s="1"/>
  <c r="R1204" i="12"/>
  <c r="S1204" i="12" s="1"/>
  <c r="U1204" i="12"/>
  <c r="N1205" i="12" a="1"/>
  <c r="N1205" i="12" s="1"/>
  <c r="P1205" i="12"/>
  <c r="Q1205" i="12" s="1" a="1"/>
  <c r="Q1205" i="12" s="1"/>
  <c r="R1205" i="12"/>
  <c r="S1205" i="12" s="1"/>
  <c r="U1205" i="12"/>
  <c r="N1206" i="12" a="1"/>
  <c r="N1206" i="12" s="1"/>
  <c r="P1206" i="12"/>
  <c r="Q1206" i="12" s="1" a="1"/>
  <c r="Q1206" i="12" s="1"/>
  <c r="R1206" i="12"/>
  <c r="S1206" i="12" s="1"/>
  <c r="U1206" i="12"/>
  <c r="N1207" i="12" a="1"/>
  <c r="N1207" i="12" s="1"/>
  <c r="P1207" i="12"/>
  <c r="Q1207" i="12" s="1" a="1"/>
  <c r="Q1207" i="12" s="1"/>
  <c r="R1207" i="12"/>
  <c r="S1207" i="12" s="1"/>
  <c r="U1207" i="12"/>
  <c r="N1208" i="12" a="1"/>
  <c r="N1208" i="12" s="1"/>
  <c r="P1208" i="12"/>
  <c r="Q1208" i="12" s="1" a="1"/>
  <c r="Q1208" i="12" s="1"/>
  <c r="R1208" i="12"/>
  <c r="S1208" i="12" s="1"/>
  <c r="U1208" i="12"/>
  <c r="N1209" i="12" a="1"/>
  <c r="N1209" i="12" s="1"/>
  <c r="P1209" i="12"/>
  <c r="Q1209" i="12" s="1" a="1"/>
  <c r="Q1209" i="12" s="1"/>
  <c r="R1209" i="12"/>
  <c r="S1209" i="12" s="1"/>
  <c r="U1209" i="12"/>
  <c r="N1210" i="12" a="1"/>
  <c r="N1210" i="12" s="1"/>
  <c r="P1210" i="12"/>
  <c r="Q1210" i="12" s="1" a="1"/>
  <c r="Q1210" i="12" s="1"/>
  <c r="R1210" i="12"/>
  <c r="S1210" i="12" s="1"/>
  <c r="U1210" i="12"/>
  <c r="N1211" i="12" a="1"/>
  <c r="N1211" i="12" s="1"/>
  <c r="P1211" i="12"/>
  <c r="Q1211" i="12" s="1" a="1"/>
  <c r="Q1211" i="12" s="1"/>
  <c r="R1211" i="12"/>
  <c r="S1211" i="12" s="1"/>
  <c r="U1211" i="12"/>
  <c r="N1212" i="12" a="1"/>
  <c r="N1212" i="12" s="1"/>
  <c r="P1212" i="12"/>
  <c r="Q1212" i="12" s="1" a="1"/>
  <c r="Q1212" i="12" s="1"/>
  <c r="R1212" i="12"/>
  <c r="S1212" i="12" s="1"/>
  <c r="U1212" i="12"/>
  <c r="N1213" i="12" a="1"/>
  <c r="N1213" i="12" s="1"/>
  <c r="P1213" i="12"/>
  <c r="Q1213" i="12" s="1" a="1"/>
  <c r="Q1213" i="12" s="1"/>
  <c r="R1213" i="12"/>
  <c r="S1213" i="12" s="1"/>
  <c r="U1213" i="12"/>
  <c r="N1214" i="12" a="1"/>
  <c r="N1214" i="12" s="1"/>
  <c r="P1214" i="12"/>
  <c r="Q1214" i="12" s="1" a="1"/>
  <c r="Q1214" i="12" s="1"/>
  <c r="R1214" i="12"/>
  <c r="S1214" i="12" s="1"/>
  <c r="U1214" i="12"/>
  <c r="N1215" i="12" a="1"/>
  <c r="N1215" i="12" s="1"/>
  <c r="P1215" i="12"/>
  <c r="Q1215" i="12" s="1" a="1"/>
  <c r="Q1215" i="12" s="1"/>
  <c r="R1215" i="12"/>
  <c r="S1215" i="12" s="1"/>
  <c r="U1215" i="12"/>
  <c r="N1216" i="12" a="1"/>
  <c r="N1216" i="12" s="1"/>
  <c r="P1216" i="12"/>
  <c r="Q1216" i="12" s="1" a="1"/>
  <c r="Q1216" i="12" s="1"/>
  <c r="R1216" i="12"/>
  <c r="S1216" i="12" s="1"/>
  <c r="U1216" i="12"/>
  <c r="N1217" i="12" a="1"/>
  <c r="N1217" i="12" s="1"/>
  <c r="P1217" i="12"/>
  <c r="Q1217" i="12" s="1" a="1"/>
  <c r="Q1217" i="12" s="1"/>
  <c r="R1217" i="12"/>
  <c r="S1217" i="12" s="1"/>
  <c r="U1217" i="12"/>
  <c r="N1218" i="12" a="1"/>
  <c r="N1218" i="12" s="1"/>
  <c r="P1218" i="12"/>
  <c r="Q1218" i="12" s="1" a="1"/>
  <c r="Q1218" i="12" s="1"/>
  <c r="R1218" i="12"/>
  <c r="S1218" i="12" s="1"/>
  <c r="U1218" i="12"/>
  <c r="N1219" i="12" a="1"/>
  <c r="N1219" i="12" s="1"/>
  <c r="P1219" i="12"/>
  <c r="Q1219" i="12" s="1" a="1"/>
  <c r="Q1219" i="12" s="1"/>
  <c r="R1219" i="12"/>
  <c r="S1219" i="12" s="1"/>
  <c r="U1219" i="12"/>
  <c r="N1220" i="12" a="1"/>
  <c r="N1220" i="12" s="1"/>
  <c r="P1220" i="12"/>
  <c r="Q1220" i="12" s="1" a="1"/>
  <c r="Q1220" i="12" s="1"/>
  <c r="R1220" i="12"/>
  <c r="S1220" i="12" s="1"/>
  <c r="U1220" i="12"/>
  <c r="N1221" i="12" a="1"/>
  <c r="N1221" i="12" s="1"/>
  <c r="P1221" i="12"/>
  <c r="Q1221" i="12" s="1" a="1"/>
  <c r="Q1221" i="12" s="1"/>
  <c r="R1221" i="12"/>
  <c r="S1221" i="12" s="1"/>
  <c r="U1221" i="12"/>
  <c r="N1222" i="12" a="1"/>
  <c r="N1222" i="12" s="1"/>
  <c r="P1222" i="12"/>
  <c r="Q1222" i="12" s="1" a="1"/>
  <c r="Q1222" i="12" s="1"/>
  <c r="R1222" i="12"/>
  <c r="S1222" i="12" s="1"/>
  <c r="U1222" i="12"/>
  <c r="N1223" i="12" a="1"/>
  <c r="N1223" i="12" s="1"/>
  <c r="P1223" i="12"/>
  <c r="Q1223" i="12" s="1" a="1"/>
  <c r="Q1223" i="12" s="1"/>
  <c r="R1223" i="12"/>
  <c r="S1223" i="12" s="1"/>
  <c r="U1223" i="12"/>
  <c r="N1224" i="12" a="1"/>
  <c r="N1224" i="12" s="1"/>
  <c r="P1224" i="12"/>
  <c r="Q1224" i="12" s="1" a="1"/>
  <c r="Q1224" i="12" s="1"/>
  <c r="R1224" i="12"/>
  <c r="S1224" i="12" s="1"/>
  <c r="U1224" i="12"/>
  <c r="N1225" i="12" a="1"/>
  <c r="N1225" i="12" s="1"/>
  <c r="P1225" i="12"/>
  <c r="Q1225" i="12" s="1" a="1"/>
  <c r="Q1225" i="12" s="1"/>
  <c r="R1225" i="12"/>
  <c r="S1225" i="12" s="1"/>
  <c r="U1225" i="12"/>
  <c r="N1226" i="12" a="1"/>
  <c r="N1226" i="12" s="1"/>
  <c r="P1226" i="12"/>
  <c r="Q1226" i="12" s="1" a="1"/>
  <c r="Q1226" i="12" s="1"/>
  <c r="R1226" i="12"/>
  <c r="S1226" i="12" s="1"/>
  <c r="U1226" i="12"/>
  <c r="N1227" i="12" a="1"/>
  <c r="N1227" i="12" s="1"/>
  <c r="P1227" i="12"/>
  <c r="Q1227" i="12" s="1" a="1"/>
  <c r="Q1227" i="12" s="1"/>
  <c r="R1227" i="12"/>
  <c r="S1227" i="12" s="1"/>
  <c r="U1227" i="12"/>
  <c r="N1228" i="12" a="1"/>
  <c r="N1228" i="12" s="1"/>
  <c r="P1228" i="12"/>
  <c r="Q1228" i="12" s="1" a="1"/>
  <c r="Q1228" i="12" s="1"/>
  <c r="R1228" i="12"/>
  <c r="S1228" i="12" s="1"/>
  <c r="U1228" i="12"/>
  <c r="N1229" i="12" a="1"/>
  <c r="N1229" i="12" s="1"/>
  <c r="P1229" i="12"/>
  <c r="Q1229" i="12" s="1" a="1"/>
  <c r="Q1229" i="12" s="1"/>
  <c r="R1229" i="12"/>
  <c r="S1229" i="12" s="1"/>
  <c r="U1229" i="12"/>
  <c r="N1230" i="12" a="1"/>
  <c r="N1230" i="12" s="1"/>
  <c r="P1230" i="12"/>
  <c r="Q1230" i="12" s="1" a="1"/>
  <c r="Q1230" i="12" s="1"/>
  <c r="R1230" i="12"/>
  <c r="S1230" i="12" s="1"/>
  <c r="U1230" i="12"/>
  <c r="N1231" i="12" a="1"/>
  <c r="N1231" i="12" s="1"/>
  <c r="P1231" i="12"/>
  <c r="Q1231" i="12" s="1" a="1"/>
  <c r="Q1231" i="12" s="1"/>
  <c r="R1231" i="12"/>
  <c r="S1231" i="12" s="1"/>
  <c r="U1231" i="12"/>
  <c r="N1232" i="12" a="1"/>
  <c r="N1232" i="12" s="1"/>
  <c r="P1232" i="12"/>
  <c r="Q1232" i="12" s="1" a="1"/>
  <c r="Q1232" i="12" s="1"/>
  <c r="R1232" i="12"/>
  <c r="S1232" i="12" s="1"/>
  <c r="U1232" i="12"/>
  <c r="N1233" i="12" a="1"/>
  <c r="N1233" i="12" s="1"/>
  <c r="P1233" i="12"/>
  <c r="Q1233" i="12" s="1" a="1"/>
  <c r="Q1233" i="12" s="1"/>
  <c r="R1233" i="12"/>
  <c r="S1233" i="12" s="1"/>
  <c r="U1233" i="12"/>
  <c r="N1234" i="12" a="1"/>
  <c r="N1234" i="12" s="1"/>
  <c r="P1234" i="12"/>
  <c r="Q1234" i="12" s="1" a="1"/>
  <c r="Q1234" i="12" s="1"/>
  <c r="R1234" i="12"/>
  <c r="S1234" i="12" s="1"/>
  <c r="U1234" i="12"/>
  <c r="N1235" i="12" a="1"/>
  <c r="N1235" i="12" s="1"/>
  <c r="P1235" i="12"/>
  <c r="Q1235" i="12" s="1" a="1"/>
  <c r="Q1235" i="12" s="1"/>
  <c r="R1235" i="12"/>
  <c r="S1235" i="12" s="1"/>
  <c r="U1235" i="12"/>
  <c r="N1236" i="12" a="1"/>
  <c r="N1236" i="12" s="1"/>
  <c r="P1236" i="12"/>
  <c r="Q1236" i="12" s="1" a="1"/>
  <c r="Q1236" i="12" s="1"/>
  <c r="R1236" i="12"/>
  <c r="S1236" i="12" s="1"/>
  <c r="U1236" i="12"/>
  <c r="N1237" i="12" a="1"/>
  <c r="N1237" i="12" s="1"/>
  <c r="P1237" i="12"/>
  <c r="Q1237" i="12" s="1" a="1"/>
  <c r="Q1237" i="12" s="1"/>
  <c r="R1237" i="12"/>
  <c r="S1237" i="12" s="1"/>
  <c r="U1237" i="12"/>
  <c r="N1238" i="12" a="1"/>
  <c r="N1238" i="12" s="1"/>
  <c r="P1238" i="12"/>
  <c r="Q1238" i="12" s="1" a="1"/>
  <c r="Q1238" i="12" s="1"/>
  <c r="R1238" i="12"/>
  <c r="S1238" i="12" s="1"/>
  <c r="U1238" i="12"/>
  <c r="N1239" i="12" a="1"/>
  <c r="N1239" i="12" s="1"/>
  <c r="P1239" i="12"/>
  <c r="Q1239" i="12" s="1" a="1"/>
  <c r="Q1239" i="12" s="1"/>
  <c r="R1239" i="12"/>
  <c r="S1239" i="12" s="1"/>
  <c r="U1239" i="12"/>
  <c r="N1240" i="12" a="1"/>
  <c r="N1240" i="12" s="1"/>
  <c r="P1240" i="12"/>
  <c r="Q1240" i="12" s="1" a="1"/>
  <c r="Q1240" i="12" s="1"/>
  <c r="R1240" i="12"/>
  <c r="S1240" i="12" s="1"/>
  <c r="U1240" i="12"/>
  <c r="N1241" i="12" a="1"/>
  <c r="N1241" i="12" s="1"/>
  <c r="P1241" i="12"/>
  <c r="Q1241" i="12" s="1" a="1"/>
  <c r="Q1241" i="12" s="1"/>
  <c r="R1241" i="12"/>
  <c r="S1241" i="12" s="1"/>
  <c r="U1241" i="12"/>
  <c r="N1242" i="12" a="1"/>
  <c r="N1242" i="12" s="1"/>
  <c r="P1242" i="12"/>
  <c r="Q1242" i="12" s="1" a="1"/>
  <c r="Q1242" i="12" s="1"/>
  <c r="R1242" i="12"/>
  <c r="S1242" i="12" s="1"/>
  <c r="U1242" i="12"/>
  <c r="N1243" i="12" a="1"/>
  <c r="N1243" i="12" s="1"/>
  <c r="P1243" i="12"/>
  <c r="Q1243" i="12" s="1" a="1"/>
  <c r="Q1243" i="12" s="1"/>
  <c r="R1243" i="12"/>
  <c r="S1243" i="12" s="1"/>
  <c r="U1243" i="12"/>
  <c r="N1244" i="12" a="1"/>
  <c r="N1244" i="12" s="1"/>
  <c r="P1244" i="12"/>
  <c r="Q1244" i="12" s="1" a="1"/>
  <c r="Q1244" i="12" s="1"/>
  <c r="R1244" i="12"/>
  <c r="S1244" i="12" s="1"/>
  <c r="U1244" i="12"/>
  <c r="N1245" i="12" a="1"/>
  <c r="N1245" i="12" s="1"/>
  <c r="P1245" i="12"/>
  <c r="Q1245" i="12" s="1" a="1"/>
  <c r="Q1245" i="12" s="1"/>
  <c r="R1245" i="12"/>
  <c r="S1245" i="12" s="1"/>
  <c r="U1245" i="12"/>
  <c r="N1246" i="12" a="1"/>
  <c r="N1246" i="12" s="1"/>
  <c r="P1246" i="12"/>
  <c r="Q1246" i="12" s="1" a="1"/>
  <c r="Q1246" i="12" s="1"/>
  <c r="R1246" i="12"/>
  <c r="S1246" i="12" s="1"/>
  <c r="U1246" i="12"/>
  <c r="N1247" i="12" a="1"/>
  <c r="N1247" i="12" s="1"/>
  <c r="P1247" i="12"/>
  <c r="Q1247" i="12" s="1" a="1"/>
  <c r="Q1247" i="12" s="1"/>
  <c r="R1247" i="12"/>
  <c r="S1247" i="12" s="1"/>
  <c r="U1247" i="12"/>
  <c r="N1248" i="12" a="1"/>
  <c r="N1248" i="12" s="1"/>
  <c r="P1248" i="12"/>
  <c r="Q1248" i="12" s="1" a="1"/>
  <c r="Q1248" i="12" s="1"/>
  <c r="R1248" i="12"/>
  <c r="S1248" i="12" s="1"/>
  <c r="U1248" i="12"/>
  <c r="N1249" i="12" a="1"/>
  <c r="N1249" i="12" s="1"/>
  <c r="P1249" i="12"/>
  <c r="Q1249" i="12" s="1" a="1"/>
  <c r="Q1249" i="12" s="1"/>
  <c r="R1249" i="12"/>
  <c r="S1249" i="12" s="1"/>
  <c r="U1249" i="12"/>
  <c r="N1250" i="12" a="1"/>
  <c r="N1250" i="12" s="1"/>
  <c r="P1250" i="12"/>
  <c r="Q1250" i="12" s="1" a="1"/>
  <c r="Q1250" i="12" s="1"/>
  <c r="R1250" i="12"/>
  <c r="S1250" i="12" s="1"/>
  <c r="U1250" i="12"/>
  <c r="N1251" i="12" a="1"/>
  <c r="N1251" i="12" s="1"/>
  <c r="P1251" i="12"/>
  <c r="Q1251" i="12" s="1" a="1"/>
  <c r="Q1251" i="12" s="1"/>
  <c r="R1251" i="12"/>
  <c r="S1251" i="12" s="1"/>
  <c r="U1251" i="12"/>
  <c r="N1252" i="12" a="1"/>
  <c r="N1252" i="12" s="1"/>
  <c r="P1252" i="12"/>
  <c r="Q1252" i="12" s="1" a="1"/>
  <c r="Q1252" i="12" s="1"/>
  <c r="R1252" i="12"/>
  <c r="S1252" i="12" s="1"/>
  <c r="U1252" i="12"/>
  <c r="N1253" i="12" a="1"/>
  <c r="N1253" i="12" s="1"/>
  <c r="P1253" i="12"/>
  <c r="Q1253" i="12" s="1" a="1"/>
  <c r="Q1253" i="12" s="1"/>
  <c r="R1253" i="12"/>
  <c r="S1253" i="12" s="1"/>
  <c r="U1253" i="12"/>
  <c r="N1254" i="12" a="1"/>
  <c r="N1254" i="12" s="1"/>
  <c r="P1254" i="12"/>
  <c r="Q1254" i="12" s="1" a="1"/>
  <c r="Q1254" i="12" s="1"/>
  <c r="R1254" i="12"/>
  <c r="S1254" i="12" s="1"/>
  <c r="U1254" i="12"/>
  <c r="N1255" i="12" a="1"/>
  <c r="N1255" i="12" s="1"/>
  <c r="P1255" i="12"/>
  <c r="Q1255" i="12" s="1" a="1"/>
  <c r="Q1255" i="12" s="1"/>
  <c r="R1255" i="12"/>
  <c r="S1255" i="12" s="1"/>
  <c r="U1255" i="12"/>
  <c r="N1256" i="12" a="1"/>
  <c r="N1256" i="12" s="1"/>
  <c r="P1256" i="12"/>
  <c r="Q1256" i="12" s="1" a="1"/>
  <c r="Q1256" i="12" s="1"/>
  <c r="R1256" i="12"/>
  <c r="S1256" i="12" s="1"/>
  <c r="U1256" i="12"/>
  <c r="N1257" i="12" a="1"/>
  <c r="N1257" i="12" s="1"/>
  <c r="P1257" i="12"/>
  <c r="Q1257" i="12" s="1" a="1"/>
  <c r="Q1257" i="12" s="1"/>
  <c r="R1257" i="12"/>
  <c r="S1257" i="12" s="1"/>
  <c r="U1257" i="12"/>
  <c r="N1258" i="12" a="1"/>
  <c r="N1258" i="12" s="1"/>
  <c r="P1258" i="12"/>
  <c r="Q1258" i="12" s="1" a="1"/>
  <c r="Q1258" i="12" s="1"/>
  <c r="R1258" i="12"/>
  <c r="S1258" i="12" s="1"/>
  <c r="U1258" i="12"/>
  <c r="N1259" i="12" a="1"/>
  <c r="N1259" i="12" s="1"/>
  <c r="P1259" i="12"/>
  <c r="Q1259" i="12" s="1" a="1"/>
  <c r="Q1259" i="12" s="1"/>
  <c r="R1259" i="12"/>
  <c r="S1259" i="12" s="1"/>
  <c r="U1259" i="12"/>
  <c r="N1260" i="12" a="1"/>
  <c r="N1260" i="12" s="1"/>
  <c r="P1260" i="12"/>
  <c r="Q1260" i="12" s="1" a="1"/>
  <c r="Q1260" i="12" s="1"/>
  <c r="R1260" i="12"/>
  <c r="S1260" i="12" s="1"/>
  <c r="U1260" i="12"/>
  <c r="N1261" i="12" a="1"/>
  <c r="N1261" i="12" s="1"/>
  <c r="P1261" i="12"/>
  <c r="Q1261" i="12" s="1" a="1"/>
  <c r="Q1261" i="12" s="1"/>
  <c r="R1261" i="12"/>
  <c r="S1261" i="12" s="1"/>
  <c r="U1261" i="12"/>
  <c r="N1262" i="12" a="1"/>
  <c r="N1262" i="12" s="1"/>
  <c r="P1262" i="12"/>
  <c r="Q1262" i="12" s="1" a="1"/>
  <c r="Q1262" i="12" s="1"/>
  <c r="R1262" i="12"/>
  <c r="S1262" i="12" s="1"/>
  <c r="U1262" i="12"/>
  <c r="N1263" i="12" a="1"/>
  <c r="N1263" i="12" s="1"/>
  <c r="P1263" i="12"/>
  <c r="Q1263" i="12" s="1" a="1"/>
  <c r="Q1263" i="12" s="1"/>
  <c r="R1263" i="12"/>
  <c r="S1263" i="12" s="1"/>
  <c r="U1263" i="12"/>
  <c r="N1264" i="12" a="1"/>
  <c r="N1264" i="12" s="1"/>
  <c r="P1264" i="12"/>
  <c r="Q1264" i="12" s="1" a="1"/>
  <c r="Q1264" i="12" s="1"/>
  <c r="R1264" i="12"/>
  <c r="S1264" i="12" s="1"/>
  <c r="U1264" i="12"/>
  <c r="N1265" i="12" a="1"/>
  <c r="N1265" i="12" s="1"/>
  <c r="P1265" i="12"/>
  <c r="Q1265" i="12" s="1" a="1"/>
  <c r="Q1265" i="12" s="1"/>
  <c r="R1265" i="12"/>
  <c r="S1265" i="12" s="1"/>
  <c r="U1265" i="12"/>
  <c r="N1266" i="12" a="1"/>
  <c r="N1266" i="12" s="1"/>
  <c r="P1266" i="12"/>
  <c r="Q1266" i="12" s="1" a="1"/>
  <c r="Q1266" i="12" s="1"/>
  <c r="R1266" i="12"/>
  <c r="S1266" i="12" s="1"/>
  <c r="U1266" i="12"/>
  <c r="N1267" i="12" a="1"/>
  <c r="N1267" i="12" s="1"/>
  <c r="P1267" i="12"/>
  <c r="Q1267" i="12" s="1" a="1"/>
  <c r="Q1267" i="12" s="1"/>
  <c r="R1267" i="12"/>
  <c r="S1267" i="12" s="1"/>
  <c r="U1267" i="12"/>
  <c r="N1268" i="12" a="1"/>
  <c r="N1268" i="12" s="1"/>
  <c r="P1268" i="12"/>
  <c r="Q1268" i="12" s="1" a="1"/>
  <c r="Q1268" i="12" s="1"/>
  <c r="R1268" i="12"/>
  <c r="S1268" i="12" s="1"/>
  <c r="U1268" i="12"/>
  <c r="N1269" i="12" a="1"/>
  <c r="N1269" i="12" s="1"/>
  <c r="P1269" i="12"/>
  <c r="Q1269" i="12" s="1" a="1"/>
  <c r="Q1269" i="12" s="1"/>
  <c r="R1269" i="12"/>
  <c r="S1269" i="12" s="1"/>
  <c r="U1269" i="12"/>
  <c r="N1270" i="12" a="1"/>
  <c r="N1270" i="12" s="1"/>
  <c r="P1270" i="12"/>
  <c r="Q1270" i="12" s="1" a="1"/>
  <c r="Q1270" i="12" s="1"/>
  <c r="R1270" i="12"/>
  <c r="S1270" i="12" s="1"/>
  <c r="U1270" i="12"/>
  <c r="N1271" i="12" a="1"/>
  <c r="N1271" i="12" s="1"/>
  <c r="P1271" i="12"/>
  <c r="Q1271" i="12" s="1" a="1"/>
  <c r="Q1271" i="12" s="1"/>
  <c r="R1271" i="12"/>
  <c r="S1271" i="12" s="1"/>
  <c r="U1271" i="12"/>
  <c r="N1272" i="12" a="1"/>
  <c r="N1272" i="12" s="1"/>
  <c r="P1272" i="12"/>
  <c r="Q1272" i="12" s="1" a="1"/>
  <c r="Q1272" i="12" s="1"/>
  <c r="R1272" i="12"/>
  <c r="S1272" i="12" s="1"/>
  <c r="U1272" i="12"/>
  <c r="N1273" i="12" a="1"/>
  <c r="N1273" i="12" s="1"/>
  <c r="P1273" i="12"/>
  <c r="Q1273" i="12" s="1" a="1"/>
  <c r="Q1273" i="12" s="1"/>
  <c r="R1273" i="12"/>
  <c r="S1273" i="12" s="1"/>
  <c r="U1273" i="12"/>
  <c r="N1274" i="12" a="1"/>
  <c r="N1274" i="12" s="1"/>
  <c r="P1274" i="12"/>
  <c r="Q1274" i="12" s="1" a="1"/>
  <c r="Q1274" i="12" s="1"/>
  <c r="R1274" i="12"/>
  <c r="S1274" i="12" s="1"/>
  <c r="U1274" i="12"/>
  <c r="N1275" i="12" a="1"/>
  <c r="N1275" i="12" s="1"/>
  <c r="P1275" i="12"/>
  <c r="Q1275" i="12" s="1" a="1"/>
  <c r="Q1275" i="12" s="1"/>
  <c r="R1275" i="12"/>
  <c r="S1275" i="12" s="1"/>
  <c r="U1275" i="12"/>
  <c r="N1276" i="12" a="1"/>
  <c r="N1276" i="12" s="1"/>
  <c r="P1276" i="12"/>
  <c r="Q1276" i="12" s="1" a="1"/>
  <c r="Q1276" i="12" s="1"/>
  <c r="R1276" i="12"/>
  <c r="S1276" i="12" s="1"/>
  <c r="U1276" i="12"/>
  <c r="N1277" i="12" a="1"/>
  <c r="N1277" i="12" s="1"/>
  <c r="P1277" i="12"/>
  <c r="Q1277" i="12" s="1" a="1"/>
  <c r="Q1277" i="12" s="1"/>
  <c r="R1277" i="12"/>
  <c r="S1277" i="12" s="1"/>
  <c r="U1277" i="12"/>
  <c r="N1278" i="12" a="1"/>
  <c r="N1278" i="12" s="1"/>
  <c r="P1278" i="12"/>
  <c r="Q1278" i="12" s="1" a="1"/>
  <c r="Q1278" i="12" s="1"/>
  <c r="R1278" i="12"/>
  <c r="S1278" i="12" s="1"/>
  <c r="U1278" i="12"/>
  <c r="N1279" i="12" a="1"/>
  <c r="N1279" i="12" s="1"/>
  <c r="P1279" i="12"/>
  <c r="Q1279" i="12" s="1" a="1"/>
  <c r="Q1279" i="12" s="1"/>
  <c r="R1279" i="12"/>
  <c r="S1279" i="12" s="1"/>
  <c r="U1279" i="12"/>
  <c r="N1280" i="12" a="1"/>
  <c r="N1280" i="12" s="1"/>
  <c r="P1280" i="12"/>
  <c r="Q1280" i="12" s="1" a="1"/>
  <c r="Q1280" i="12" s="1"/>
  <c r="R1280" i="12"/>
  <c r="S1280" i="12" s="1"/>
  <c r="U1280" i="12"/>
  <c r="N1281" i="12" a="1"/>
  <c r="N1281" i="12" s="1"/>
  <c r="P1281" i="12"/>
  <c r="Q1281" i="12" s="1" a="1"/>
  <c r="Q1281" i="12" s="1"/>
  <c r="R1281" i="12"/>
  <c r="S1281" i="12" s="1"/>
  <c r="U1281" i="12"/>
  <c r="N1282" i="12" a="1"/>
  <c r="N1282" i="12" s="1"/>
  <c r="P1282" i="12"/>
  <c r="Q1282" i="12" s="1" a="1"/>
  <c r="Q1282" i="12" s="1"/>
  <c r="R1282" i="12"/>
  <c r="S1282" i="12" s="1"/>
  <c r="U1282" i="12"/>
  <c r="N1283" i="12" a="1"/>
  <c r="N1283" i="12" s="1"/>
  <c r="P1283" i="12"/>
  <c r="Q1283" i="12" s="1" a="1"/>
  <c r="Q1283" i="12" s="1"/>
  <c r="R1283" i="12"/>
  <c r="S1283" i="12" s="1"/>
  <c r="U1283" i="12"/>
  <c r="N1284" i="12" a="1"/>
  <c r="N1284" i="12" s="1"/>
  <c r="P1284" i="12"/>
  <c r="Q1284" i="12" s="1" a="1"/>
  <c r="Q1284" i="12" s="1"/>
  <c r="R1284" i="12"/>
  <c r="S1284" i="12" s="1"/>
  <c r="U1284" i="12"/>
  <c r="N1285" i="12" a="1"/>
  <c r="N1285" i="12" s="1"/>
  <c r="P1285" i="12"/>
  <c r="Q1285" i="12" s="1" a="1"/>
  <c r="Q1285" i="12" s="1"/>
  <c r="R1285" i="12"/>
  <c r="S1285" i="12" s="1"/>
  <c r="U1285" i="12"/>
  <c r="N1286" i="12" a="1"/>
  <c r="N1286" i="12" s="1"/>
  <c r="P1286" i="12"/>
  <c r="Q1286" i="12" s="1" a="1"/>
  <c r="Q1286" i="12" s="1"/>
  <c r="R1286" i="12"/>
  <c r="S1286" i="12" s="1"/>
  <c r="U1286" i="12"/>
  <c r="N1287" i="12" a="1"/>
  <c r="N1287" i="12" s="1"/>
  <c r="P1287" i="12"/>
  <c r="Q1287" i="12" s="1" a="1"/>
  <c r="Q1287" i="12" s="1"/>
  <c r="R1287" i="12"/>
  <c r="S1287" i="12" s="1"/>
  <c r="U1287" i="12"/>
  <c r="N1288" i="12" a="1"/>
  <c r="N1288" i="12" s="1"/>
  <c r="P1288" i="12"/>
  <c r="Q1288" i="12" s="1" a="1"/>
  <c r="Q1288" i="12" s="1"/>
  <c r="R1288" i="12"/>
  <c r="S1288" i="12" s="1"/>
  <c r="U1288" i="12"/>
  <c r="N1289" i="12" a="1"/>
  <c r="N1289" i="12" s="1"/>
  <c r="P1289" i="12"/>
  <c r="Q1289" i="12" s="1" a="1"/>
  <c r="Q1289" i="12" s="1"/>
  <c r="R1289" i="12"/>
  <c r="S1289" i="12" s="1"/>
  <c r="U1289" i="12"/>
  <c r="N1290" i="12" a="1"/>
  <c r="N1290" i="12" s="1"/>
  <c r="P1290" i="12"/>
  <c r="Q1290" i="12" s="1" a="1"/>
  <c r="Q1290" i="12" s="1"/>
  <c r="R1290" i="12"/>
  <c r="S1290" i="12" s="1"/>
  <c r="U1290" i="12"/>
  <c r="N1291" i="12" a="1"/>
  <c r="N1291" i="12" s="1"/>
  <c r="P1291" i="12"/>
  <c r="Q1291" i="12" s="1" a="1"/>
  <c r="Q1291" i="12" s="1"/>
  <c r="R1291" i="12"/>
  <c r="S1291" i="12" s="1"/>
  <c r="U1291" i="12"/>
  <c r="N1292" i="12" a="1"/>
  <c r="N1292" i="12" s="1"/>
  <c r="P1292" i="12"/>
  <c r="Q1292" i="12" s="1" a="1"/>
  <c r="Q1292" i="12" s="1"/>
  <c r="R1292" i="12"/>
  <c r="S1292" i="12" s="1"/>
  <c r="U1292" i="12"/>
  <c r="N1293" i="12" a="1"/>
  <c r="N1293" i="12" s="1"/>
  <c r="P1293" i="12"/>
  <c r="Q1293" i="12" s="1" a="1"/>
  <c r="Q1293" i="12" s="1"/>
  <c r="R1293" i="12"/>
  <c r="S1293" i="12" s="1"/>
  <c r="U1293" i="12"/>
  <c r="N1294" i="12" a="1"/>
  <c r="N1294" i="12" s="1"/>
  <c r="P1294" i="12"/>
  <c r="Q1294" i="12" s="1" a="1"/>
  <c r="Q1294" i="12" s="1"/>
  <c r="R1294" i="12"/>
  <c r="S1294" i="12" s="1"/>
  <c r="U1294" i="12"/>
  <c r="N1295" i="12" a="1"/>
  <c r="N1295" i="12" s="1"/>
  <c r="P1295" i="12"/>
  <c r="Q1295" i="12" s="1" a="1"/>
  <c r="Q1295" i="12" s="1"/>
  <c r="R1295" i="12"/>
  <c r="S1295" i="12" s="1"/>
  <c r="U1295" i="12"/>
  <c r="N1296" i="12" a="1"/>
  <c r="N1296" i="12" s="1"/>
  <c r="P1296" i="12"/>
  <c r="Q1296" i="12" s="1" a="1"/>
  <c r="Q1296" i="12" s="1"/>
  <c r="R1296" i="12"/>
  <c r="S1296" i="12" s="1"/>
  <c r="U1296" i="12"/>
  <c r="N1297" i="12" a="1"/>
  <c r="N1297" i="12" s="1"/>
  <c r="P1297" i="12"/>
  <c r="Q1297" i="12" s="1" a="1"/>
  <c r="Q1297" i="12" s="1"/>
  <c r="R1297" i="12"/>
  <c r="S1297" i="12" s="1"/>
  <c r="U1297" i="12"/>
  <c r="N1298" i="12" a="1"/>
  <c r="N1298" i="12" s="1"/>
  <c r="P1298" i="12"/>
  <c r="Q1298" i="12" s="1" a="1"/>
  <c r="Q1298" i="12" s="1"/>
  <c r="R1298" i="12"/>
  <c r="S1298" i="12" s="1"/>
  <c r="U1298" i="12"/>
  <c r="N1299" i="12" a="1"/>
  <c r="N1299" i="12" s="1"/>
  <c r="P1299" i="12"/>
  <c r="Q1299" i="12" s="1" a="1"/>
  <c r="Q1299" i="12" s="1"/>
  <c r="R1299" i="12"/>
  <c r="S1299" i="12" s="1"/>
  <c r="U1299" i="12"/>
  <c r="N1300" i="12" a="1"/>
  <c r="N1300" i="12" s="1"/>
  <c r="P1300" i="12"/>
  <c r="Q1300" i="12" s="1" a="1"/>
  <c r="Q1300" i="12" s="1"/>
  <c r="R1300" i="12"/>
  <c r="S1300" i="12" s="1"/>
  <c r="U1300" i="12"/>
  <c r="N1301" i="12" a="1"/>
  <c r="N1301" i="12" s="1"/>
  <c r="P1301" i="12"/>
  <c r="Q1301" i="12" s="1" a="1"/>
  <c r="Q1301" i="12" s="1"/>
  <c r="R1301" i="12"/>
  <c r="S1301" i="12" s="1"/>
  <c r="U1301" i="12"/>
  <c r="N1302" i="12" a="1"/>
  <c r="N1302" i="12" s="1"/>
  <c r="P1302" i="12"/>
  <c r="Q1302" i="12" s="1" a="1"/>
  <c r="Q1302" i="12" s="1"/>
  <c r="R1302" i="12"/>
  <c r="S1302" i="12" s="1"/>
  <c r="U1302" i="12"/>
  <c r="N1303" i="12" a="1"/>
  <c r="N1303" i="12" s="1"/>
  <c r="P1303" i="12"/>
  <c r="Q1303" i="12" s="1" a="1"/>
  <c r="Q1303" i="12" s="1"/>
  <c r="R1303" i="12"/>
  <c r="S1303" i="12" s="1"/>
  <c r="U1303" i="12"/>
  <c r="N1304" i="12" a="1"/>
  <c r="N1304" i="12" s="1"/>
  <c r="P1304" i="12"/>
  <c r="Q1304" i="12" s="1" a="1"/>
  <c r="Q1304" i="12" s="1"/>
  <c r="R1304" i="12"/>
  <c r="S1304" i="12" s="1"/>
  <c r="U1304" i="12"/>
  <c r="N1305" i="12" a="1"/>
  <c r="N1305" i="12" s="1"/>
  <c r="P1305" i="12"/>
  <c r="Q1305" i="12" s="1" a="1"/>
  <c r="Q1305" i="12" s="1"/>
  <c r="R1305" i="12"/>
  <c r="S1305" i="12" s="1"/>
  <c r="U1305" i="12"/>
  <c r="N1306" i="12" a="1"/>
  <c r="N1306" i="12" s="1"/>
  <c r="P1306" i="12"/>
  <c r="Q1306" i="12" s="1" a="1"/>
  <c r="Q1306" i="12" s="1"/>
  <c r="R1306" i="12"/>
  <c r="S1306" i="12" s="1"/>
  <c r="U1306" i="12"/>
  <c r="N1307" i="12" a="1"/>
  <c r="N1307" i="12" s="1"/>
  <c r="P1307" i="12"/>
  <c r="Q1307" i="12" s="1" a="1"/>
  <c r="Q1307" i="12" s="1"/>
  <c r="R1307" i="12"/>
  <c r="S1307" i="12" s="1"/>
  <c r="U1307" i="12"/>
  <c r="N1308" i="12" a="1"/>
  <c r="N1308" i="12" s="1"/>
  <c r="P1308" i="12"/>
  <c r="Q1308" i="12" s="1" a="1"/>
  <c r="Q1308" i="12" s="1"/>
  <c r="R1308" i="12"/>
  <c r="S1308" i="12" s="1"/>
  <c r="U1308" i="12"/>
  <c r="N1309" i="12" a="1"/>
  <c r="N1309" i="12" s="1"/>
  <c r="P1309" i="12"/>
  <c r="Q1309" i="12" s="1" a="1"/>
  <c r="Q1309" i="12" s="1"/>
  <c r="R1309" i="12"/>
  <c r="S1309" i="12" s="1"/>
  <c r="U1309" i="12"/>
  <c r="N1310" i="12" a="1"/>
  <c r="N1310" i="12" s="1"/>
  <c r="P1310" i="12"/>
  <c r="Q1310" i="12" s="1" a="1"/>
  <c r="Q1310" i="12" s="1"/>
  <c r="R1310" i="12"/>
  <c r="S1310" i="12" s="1"/>
  <c r="U1310" i="12"/>
  <c r="N1311" i="12" a="1"/>
  <c r="N1311" i="12" s="1"/>
  <c r="P1311" i="12"/>
  <c r="Q1311" i="12" s="1" a="1"/>
  <c r="Q1311" i="12" s="1"/>
  <c r="R1311" i="12"/>
  <c r="S1311" i="12" s="1"/>
  <c r="U1311" i="12"/>
  <c r="N1312" i="12" a="1"/>
  <c r="N1312" i="12" s="1"/>
  <c r="P1312" i="12"/>
  <c r="Q1312" i="12" s="1" a="1"/>
  <c r="Q1312" i="12" s="1"/>
  <c r="R1312" i="12"/>
  <c r="S1312" i="12" s="1"/>
  <c r="U1312" i="12"/>
  <c r="N1313" i="12" a="1"/>
  <c r="N1313" i="12" s="1"/>
  <c r="P1313" i="12"/>
  <c r="Q1313" i="12" s="1" a="1"/>
  <c r="Q1313" i="12" s="1"/>
  <c r="R1313" i="12"/>
  <c r="S1313" i="12" s="1"/>
  <c r="U1313" i="12"/>
  <c r="N1314" i="12" a="1"/>
  <c r="N1314" i="12" s="1"/>
  <c r="P1314" i="12"/>
  <c r="Q1314" i="12" s="1" a="1"/>
  <c r="Q1314" i="12" s="1"/>
  <c r="R1314" i="12"/>
  <c r="S1314" i="12" s="1"/>
  <c r="U1314" i="12"/>
  <c r="N1315" i="12" a="1"/>
  <c r="N1315" i="12" s="1"/>
  <c r="P1315" i="12"/>
  <c r="Q1315" i="12" s="1" a="1"/>
  <c r="Q1315" i="12" s="1"/>
  <c r="R1315" i="12"/>
  <c r="S1315" i="12" s="1"/>
  <c r="U1315" i="12"/>
  <c r="N1316" i="12" a="1"/>
  <c r="N1316" i="12" s="1"/>
  <c r="P1316" i="12"/>
  <c r="Q1316" i="12" s="1" a="1"/>
  <c r="Q1316" i="12" s="1"/>
  <c r="R1316" i="12"/>
  <c r="S1316" i="12" s="1"/>
  <c r="U1316" i="12"/>
  <c r="N1317" i="12" a="1"/>
  <c r="N1317" i="12" s="1"/>
  <c r="P1317" i="12"/>
  <c r="Q1317" i="12" s="1" a="1"/>
  <c r="Q1317" i="12" s="1"/>
  <c r="R1317" i="12"/>
  <c r="S1317" i="12" s="1"/>
  <c r="U1317" i="12"/>
  <c r="N1318" i="12" a="1"/>
  <c r="N1318" i="12" s="1"/>
  <c r="P1318" i="12"/>
  <c r="Q1318" i="12" s="1" a="1"/>
  <c r="Q1318" i="12" s="1"/>
  <c r="R1318" i="12"/>
  <c r="S1318" i="12" s="1"/>
  <c r="U1318" i="12"/>
  <c r="N1319" i="12" a="1"/>
  <c r="N1319" i="12" s="1"/>
  <c r="P1319" i="12"/>
  <c r="Q1319" i="12" s="1" a="1"/>
  <c r="Q1319" i="12" s="1"/>
  <c r="R1319" i="12"/>
  <c r="S1319" i="12" s="1"/>
  <c r="U1319" i="12"/>
  <c r="N1320" i="12" a="1"/>
  <c r="N1320" i="12" s="1"/>
  <c r="P1320" i="12"/>
  <c r="Q1320" i="12" s="1" a="1"/>
  <c r="Q1320" i="12" s="1"/>
  <c r="R1320" i="12"/>
  <c r="S1320" i="12" s="1"/>
  <c r="U1320" i="12"/>
  <c r="N1321" i="12" a="1"/>
  <c r="N1321" i="12" s="1"/>
  <c r="P1321" i="12"/>
  <c r="Q1321" i="12" s="1" a="1"/>
  <c r="Q1321" i="12" s="1"/>
  <c r="R1321" i="12"/>
  <c r="S1321" i="12" s="1"/>
  <c r="U1321" i="12"/>
  <c r="N1322" i="12" a="1"/>
  <c r="N1322" i="12" s="1"/>
  <c r="P1322" i="12"/>
  <c r="Q1322" i="12" s="1" a="1"/>
  <c r="Q1322" i="12" s="1"/>
  <c r="R1322" i="12"/>
  <c r="S1322" i="12" s="1"/>
  <c r="U1322" i="12"/>
  <c r="N1323" i="12" a="1"/>
  <c r="N1323" i="12" s="1"/>
  <c r="P1323" i="12"/>
  <c r="Q1323" i="12" s="1" a="1"/>
  <c r="Q1323" i="12" s="1"/>
  <c r="R1323" i="12"/>
  <c r="S1323" i="12" s="1"/>
  <c r="U1323" i="12"/>
  <c r="N1324" i="12" a="1"/>
  <c r="N1324" i="12" s="1"/>
  <c r="P1324" i="12"/>
  <c r="Q1324" i="12" s="1" a="1"/>
  <c r="Q1324" i="12" s="1"/>
  <c r="R1324" i="12"/>
  <c r="S1324" i="12" s="1"/>
  <c r="U1324" i="12"/>
  <c r="N1325" i="12" a="1"/>
  <c r="N1325" i="12" s="1"/>
  <c r="P1325" i="12"/>
  <c r="Q1325" i="12" s="1" a="1"/>
  <c r="Q1325" i="12" s="1"/>
  <c r="R1325" i="12"/>
  <c r="S1325" i="12" s="1"/>
  <c r="U1325" i="12"/>
  <c r="N1326" i="12" a="1"/>
  <c r="N1326" i="12" s="1"/>
  <c r="P1326" i="12"/>
  <c r="Q1326" i="12" s="1" a="1"/>
  <c r="Q1326" i="12" s="1"/>
  <c r="R1326" i="12"/>
  <c r="S1326" i="12" s="1"/>
  <c r="U1326" i="12"/>
  <c r="N1327" i="12" a="1"/>
  <c r="N1327" i="12" s="1"/>
  <c r="P1327" i="12"/>
  <c r="Q1327" i="12" s="1" a="1"/>
  <c r="Q1327" i="12" s="1"/>
  <c r="R1327" i="12"/>
  <c r="S1327" i="12" s="1"/>
  <c r="U1327" i="12"/>
  <c r="N1328" i="12" a="1"/>
  <c r="N1328" i="12" s="1"/>
  <c r="P1328" i="12"/>
  <c r="Q1328" i="12" s="1" a="1"/>
  <c r="Q1328" i="12" s="1"/>
  <c r="R1328" i="12"/>
  <c r="S1328" i="12" s="1"/>
  <c r="U1328" i="12"/>
  <c r="N1329" i="12" a="1"/>
  <c r="N1329" i="12" s="1"/>
  <c r="P1329" i="12"/>
  <c r="Q1329" i="12" s="1" a="1"/>
  <c r="Q1329" i="12" s="1"/>
  <c r="R1329" i="12"/>
  <c r="S1329" i="12" s="1"/>
  <c r="U1329" i="12"/>
  <c r="N1330" i="12" a="1"/>
  <c r="N1330" i="12" s="1"/>
  <c r="P1330" i="12"/>
  <c r="Q1330" i="12" s="1" a="1"/>
  <c r="Q1330" i="12" s="1"/>
  <c r="R1330" i="12"/>
  <c r="S1330" i="12" s="1"/>
  <c r="U1330" i="12"/>
  <c r="N1331" i="12" a="1"/>
  <c r="N1331" i="12" s="1"/>
  <c r="P1331" i="12"/>
  <c r="Q1331" i="12" s="1" a="1"/>
  <c r="Q1331" i="12" s="1"/>
  <c r="R1331" i="12"/>
  <c r="S1331" i="12" s="1"/>
  <c r="U1331" i="12"/>
  <c r="N1332" i="12" a="1"/>
  <c r="N1332" i="12" s="1"/>
  <c r="P1332" i="12"/>
  <c r="Q1332" i="12" s="1" a="1"/>
  <c r="Q1332" i="12" s="1"/>
  <c r="R1332" i="12"/>
  <c r="S1332" i="12" s="1"/>
  <c r="U1332" i="12"/>
  <c r="N1333" i="12" a="1"/>
  <c r="N1333" i="12" s="1"/>
  <c r="P1333" i="12"/>
  <c r="Q1333" i="12" s="1" a="1"/>
  <c r="Q1333" i="12" s="1"/>
  <c r="R1333" i="12"/>
  <c r="S1333" i="12" s="1"/>
  <c r="U1333" i="12"/>
  <c r="N1334" i="12" a="1"/>
  <c r="N1334" i="12" s="1"/>
  <c r="P1334" i="12"/>
  <c r="Q1334" i="12" s="1" a="1"/>
  <c r="Q1334" i="12" s="1"/>
  <c r="R1334" i="12"/>
  <c r="S1334" i="12" s="1"/>
  <c r="U1334" i="12"/>
  <c r="N1335" i="12" a="1"/>
  <c r="N1335" i="12" s="1"/>
  <c r="P1335" i="12"/>
  <c r="Q1335" i="12" s="1" a="1"/>
  <c r="Q1335" i="12" s="1"/>
  <c r="R1335" i="12"/>
  <c r="S1335" i="12" s="1"/>
  <c r="U1335" i="12"/>
  <c r="N1336" i="12" a="1"/>
  <c r="N1336" i="12" s="1"/>
  <c r="P1336" i="12"/>
  <c r="Q1336" i="12" s="1" a="1"/>
  <c r="Q1336" i="12" s="1"/>
  <c r="R1336" i="12"/>
  <c r="S1336" i="12" s="1"/>
  <c r="U1336" i="12"/>
  <c r="N1337" i="12" a="1"/>
  <c r="N1337" i="12" s="1"/>
  <c r="P1337" i="12"/>
  <c r="Q1337" i="12" s="1" a="1"/>
  <c r="Q1337" i="12" s="1"/>
  <c r="R1337" i="12"/>
  <c r="S1337" i="12" s="1"/>
  <c r="U1337" i="12"/>
  <c r="N1338" i="12" a="1"/>
  <c r="N1338" i="12" s="1"/>
  <c r="P1338" i="12"/>
  <c r="Q1338" i="12" s="1" a="1"/>
  <c r="Q1338" i="12" s="1"/>
  <c r="R1338" i="12"/>
  <c r="S1338" i="12" s="1"/>
  <c r="U1338" i="12"/>
  <c r="N1339" i="12" a="1"/>
  <c r="N1339" i="12" s="1"/>
  <c r="P1339" i="12"/>
  <c r="Q1339" i="12" s="1" a="1"/>
  <c r="Q1339" i="12" s="1"/>
  <c r="R1339" i="12"/>
  <c r="S1339" i="12" s="1"/>
  <c r="U1339" i="12"/>
  <c r="N1340" i="12" a="1"/>
  <c r="N1340" i="12" s="1"/>
  <c r="P1340" i="12"/>
  <c r="Q1340" i="12" s="1" a="1"/>
  <c r="Q1340" i="12" s="1"/>
  <c r="R1340" i="12"/>
  <c r="S1340" i="12" s="1"/>
  <c r="U1340" i="12"/>
  <c r="N1341" i="12" a="1"/>
  <c r="N1341" i="12" s="1"/>
  <c r="P1341" i="12"/>
  <c r="Q1341" i="12" s="1" a="1"/>
  <c r="Q1341" i="12" s="1"/>
  <c r="R1341" i="12"/>
  <c r="S1341" i="12" s="1"/>
  <c r="U1341" i="12"/>
  <c r="N1342" i="12" a="1"/>
  <c r="N1342" i="12" s="1"/>
  <c r="P1342" i="12"/>
  <c r="Q1342" i="12" s="1" a="1"/>
  <c r="Q1342" i="12" s="1"/>
  <c r="R1342" i="12"/>
  <c r="S1342" i="12" s="1"/>
  <c r="U1342" i="12"/>
  <c r="N1343" i="12" a="1"/>
  <c r="N1343" i="12" s="1"/>
  <c r="P1343" i="12"/>
  <c r="Q1343" i="12" s="1" a="1"/>
  <c r="Q1343" i="12" s="1"/>
  <c r="R1343" i="12"/>
  <c r="S1343" i="12" s="1"/>
  <c r="U1343" i="12"/>
  <c r="N1344" i="12" a="1"/>
  <c r="N1344" i="12" s="1"/>
  <c r="P1344" i="12"/>
  <c r="Q1344" i="12" s="1" a="1"/>
  <c r="Q1344" i="12" s="1"/>
  <c r="R1344" i="12"/>
  <c r="S1344" i="12" s="1"/>
  <c r="U1344" i="12"/>
  <c r="N1345" i="12" a="1"/>
  <c r="N1345" i="12" s="1"/>
  <c r="P1345" i="12"/>
  <c r="Q1345" i="12" s="1" a="1"/>
  <c r="Q1345" i="12" s="1"/>
  <c r="R1345" i="12"/>
  <c r="S1345" i="12" s="1"/>
  <c r="U1345" i="12"/>
  <c r="N1346" i="12" a="1"/>
  <c r="N1346" i="12" s="1"/>
  <c r="P1346" i="12"/>
  <c r="Q1346" i="12" s="1" a="1"/>
  <c r="Q1346" i="12" s="1"/>
  <c r="R1346" i="12"/>
  <c r="S1346" i="12" s="1"/>
  <c r="U1346" i="12"/>
  <c r="N1347" i="12" a="1"/>
  <c r="N1347" i="12" s="1"/>
  <c r="P1347" i="12"/>
  <c r="Q1347" i="12" s="1" a="1"/>
  <c r="Q1347" i="12" s="1"/>
  <c r="R1347" i="12"/>
  <c r="S1347" i="12" s="1"/>
  <c r="U1347" i="12"/>
  <c r="N1348" i="12" a="1"/>
  <c r="N1348" i="12" s="1"/>
  <c r="P1348" i="12"/>
  <c r="Q1348" i="12" s="1" a="1"/>
  <c r="Q1348" i="12" s="1"/>
  <c r="R1348" i="12"/>
  <c r="S1348" i="12" s="1"/>
  <c r="U1348" i="12"/>
  <c r="N1349" i="12" a="1"/>
  <c r="N1349" i="12" s="1"/>
  <c r="P1349" i="12"/>
  <c r="Q1349" i="12" s="1" a="1"/>
  <c r="Q1349" i="12" s="1"/>
  <c r="R1349" i="12"/>
  <c r="S1349" i="12" s="1"/>
  <c r="U1349" i="12"/>
  <c r="N1350" i="12" a="1"/>
  <c r="N1350" i="12" s="1"/>
  <c r="P1350" i="12"/>
  <c r="Q1350" i="12" s="1" a="1"/>
  <c r="Q1350" i="12" s="1"/>
  <c r="R1350" i="12"/>
  <c r="S1350" i="12" s="1"/>
  <c r="U1350" i="12"/>
  <c r="N1351" i="12" a="1"/>
  <c r="N1351" i="12" s="1"/>
  <c r="P1351" i="12"/>
  <c r="Q1351" i="12" s="1" a="1"/>
  <c r="Q1351" i="12" s="1"/>
  <c r="R1351" i="12"/>
  <c r="S1351" i="12" s="1"/>
  <c r="U1351" i="12"/>
  <c r="N1352" i="12" a="1"/>
  <c r="N1352" i="12" s="1"/>
  <c r="P1352" i="12"/>
  <c r="Q1352" i="12" s="1" a="1"/>
  <c r="Q1352" i="12" s="1"/>
  <c r="R1352" i="12"/>
  <c r="S1352" i="12" s="1"/>
  <c r="U1352" i="12"/>
  <c r="N1353" i="12" a="1"/>
  <c r="N1353" i="12" s="1"/>
  <c r="P1353" i="12"/>
  <c r="Q1353" i="12" s="1" a="1"/>
  <c r="Q1353" i="12" s="1"/>
  <c r="R1353" i="12"/>
  <c r="S1353" i="12" s="1"/>
  <c r="U1353" i="12"/>
  <c r="N1354" i="12" a="1"/>
  <c r="N1354" i="12" s="1"/>
  <c r="P1354" i="12"/>
  <c r="Q1354" i="12" s="1" a="1"/>
  <c r="Q1354" i="12" s="1"/>
  <c r="R1354" i="12"/>
  <c r="S1354" i="12" s="1"/>
  <c r="U1354" i="12"/>
  <c r="N1355" i="12" a="1"/>
  <c r="N1355" i="12" s="1"/>
  <c r="P1355" i="12"/>
  <c r="Q1355" i="12" s="1" a="1"/>
  <c r="Q1355" i="12" s="1"/>
  <c r="R1355" i="12"/>
  <c r="S1355" i="12" s="1"/>
  <c r="U1355" i="12"/>
  <c r="N1356" i="12" a="1"/>
  <c r="N1356" i="12" s="1"/>
  <c r="P1356" i="12"/>
  <c r="Q1356" i="12" s="1" a="1"/>
  <c r="Q1356" i="12" s="1"/>
  <c r="R1356" i="12"/>
  <c r="S1356" i="12" s="1"/>
  <c r="U1356" i="12"/>
  <c r="N1357" i="12" a="1"/>
  <c r="N1357" i="12" s="1"/>
  <c r="P1357" i="12"/>
  <c r="Q1357" i="12" s="1" a="1"/>
  <c r="Q1357" i="12" s="1"/>
  <c r="R1357" i="12"/>
  <c r="S1357" i="12" s="1"/>
  <c r="U1357" i="12"/>
  <c r="N1358" i="12" a="1"/>
  <c r="N1358" i="12" s="1"/>
  <c r="P1358" i="12"/>
  <c r="Q1358" i="12" s="1" a="1"/>
  <c r="Q1358" i="12" s="1"/>
  <c r="R1358" i="12"/>
  <c r="S1358" i="12" s="1"/>
  <c r="U1358" i="12"/>
  <c r="N1359" i="12" a="1"/>
  <c r="N1359" i="12" s="1"/>
  <c r="P1359" i="12"/>
  <c r="Q1359" i="12" s="1" a="1"/>
  <c r="Q1359" i="12" s="1"/>
  <c r="R1359" i="12"/>
  <c r="S1359" i="12" s="1"/>
  <c r="U1359" i="12"/>
  <c r="N1360" i="12" a="1"/>
  <c r="N1360" i="12" s="1"/>
  <c r="P1360" i="12"/>
  <c r="Q1360" i="12" s="1" a="1"/>
  <c r="Q1360" i="12" s="1"/>
  <c r="R1360" i="12"/>
  <c r="S1360" i="12" s="1"/>
  <c r="U1360" i="12"/>
  <c r="N1361" i="12" a="1"/>
  <c r="N1361" i="12" s="1"/>
  <c r="P1361" i="12"/>
  <c r="Q1361" i="12" s="1" a="1"/>
  <c r="Q1361" i="12" s="1"/>
  <c r="R1361" i="12"/>
  <c r="S1361" i="12" s="1"/>
  <c r="U1361" i="12"/>
  <c r="N1362" i="12" a="1"/>
  <c r="N1362" i="12" s="1"/>
  <c r="P1362" i="12"/>
  <c r="Q1362" i="12" s="1" a="1"/>
  <c r="Q1362" i="12" s="1"/>
  <c r="R1362" i="12"/>
  <c r="S1362" i="12" s="1"/>
  <c r="U1362" i="12"/>
  <c r="N1363" i="12" a="1"/>
  <c r="N1363" i="12" s="1"/>
  <c r="P1363" i="12"/>
  <c r="Q1363" i="12" s="1" a="1"/>
  <c r="Q1363" i="12" s="1"/>
  <c r="R1363" i="12"/>
  <c r="S1363" i="12" s="1"/>
  <c r="U1363" i="12"/>
  <c r="N1364" i="12" a="1"/>
  <c r="N1364" i="12" s="1"/>
  <c r="P1364" i="12"/>
  <c r="Q1364" i="12" s="1" a="1"/>
  <c r="Q1364" i="12" s="1"/>
  <c r="R1364" i="12"/>
  <c r="S1364" i="12" s="1"/>
  <c r="U1364" i="12"/>
  <c r="N1365" i="12" a="1"/>
  <c r="N1365" i="12" s="1"/>
  <c r="P1365" i="12"/>
  <c r="Q1365" i="12" s="1" a="1"/>
  <c r="Q1365" i="12" s="1"/>
  <c r="R1365" i="12"/>
  <c r="S1365" i="12" s="1"/>
  <c r="U1365" i="12"/>
  <c r="N1366" i="12" a="1"/>
  <c r="N1366" i="12" s="1"/>
  <c r="P1366" i="12"/>
  <c r="Q1366" i="12" s="1" a="1"/>
  <c r="Q1366" i="12" s="1"/>
  <c r="R1366" i="12"/>
  <c r="S1366" i="12" s="1"/>
  <c r="U1366" i="12"/>
  <c r="N1367" i="12" a="1"/>
  <c r="N1367" i="12" s="1"/>
  <c r="P1367" i="12"/>
  <c r="Q1367" i="12" s="1" a="1"/>
  <c r="Q1367" i="12" s="1"/>
  <c r="R1367" i="12"/>
  <c r="S1367" i="12" s="1"/>
  <c r="U1367" i="12"/>
  <c r="N1368" i="12" a="1"/>
  <c r="N1368" i="12" s="1"/>
  <c r="P1368" i="12"/>
  <c r="Q1368" i="12" s="1" a="1"/>
  <c r="Q1368" i="12" s="1"/>
  <c r="R1368" i="12"/>
  <c r="S1368" i="12" s="1"/>
  <c r="U1368" i="12"/>
  <c r="N1369" i="12" a="1"/>
  <c r="N1369" i="12" s="1"/>
  <c r="P1369" i="12"/>
  <c r="Q1369" i="12" s="1" a="1"/>
  <c r="Q1369" i="12" s="1"/>
  <c r="R1369" i="12"/>
  <c r="S1369" i="12" s="1"/>
  <c r="U1369" i="12"/>
  <c r="N1370" i="12" a="1"/>
  <c r="N1370" i="12" s="1"/>
  <c r="P1370" i="12"/>
  <c r="Q1370" i="12" s="1" a="1"/>
  <c r="Q1370" i="12" s="1"/>
  <c r="R1370" i="12"/>
  <c r="S1370" i="12" s="1"/>
  <c r="U1370" i="12"/>
  <c r="N1371" i="12" a="1"/>
  <c r="N1371" i="12" s="1"/>
  <c r="P1371" i="12"/>
  <c r="Q1371" i="12" s="1" a="1"/>
  <c r="Q1371" i="12" s="1"/>
  <c r="R1371" i="12"/>
  <c r="S1371" i="12" s="1"/>
  <c r="U1371" i="12"/>
  <c r="N1372" i="12" a="1"/>
  <c r="N1372" i="12" s="1"/>
  <c r="P1372" i="12"/>
  <c r="Q1372" i="12" s="1" a="1"/>
  <c r="Q1372" i="12" s="1"/>
  <c r="R1372" i="12"/>
  <c r="S1372" i="12" s="1"/>
  <c r="U1372" i="12"/>
  <c r="N1373" i="12" a="1"/>
  <c r="N1373" i="12" s="1"/>
  <c r="P1373" i="12"/>
  <c r="Q1373" i="12" s="1" a="1"/>
  <c r="Q1373" i="12" s="1"/>
  <c r="R1373" i="12"/>
  <c r="S1373" i="12" s="1"/>
  <c r="U1373" i="12"/>
  <c r="N1374" i="12" a="1"/>
  <c r="N1374" i="12" s="1"/>
  <c r="P1374" i="12"/>
  <c r="Q1374" i="12" s="1" a="1"/>
  <c r="Q1374" i="12" s="1"/>
  <c r="R1374" i="12"/>
  <c r="S1374" i="12" s="1"/>
  <c r="U1374" i="12"/>
  <c r="N1375" i="12" a="1"/>
  <c r="N1375" i="12" s="1"/>
  <c r="P1375" i="12"/>
  <c r="Q1375" i="12" s="1" a="1"/>
  <c r="Q1375" i="12" s="1"/>
  <c r="R1375" i="12"/>
  <c r="S1375" i="12" s="1"/>
  <c r="U1375" i="12"/>
  <c r="N1376" i="12" a="1"/>
  <c r="N1376" i="12" s="1"/>
  <c r="P1376" i="12"/>
  <c r="Q1376" i="12" s="1" a="1"/>
  <c r="Q1376" i="12" s="1"/>
  <c r="R1376" i="12"/>
  <c r="S1376" i="12" s="1"/>
  <c r="U1376" i="12"/>
  <c r="N1377" i="12" a="1"/>
  <c r="N1377" i="12" s="1"/>
  <c r="P1377" i="12"/>
  <c r="Q1377" i="12" s="1" a="1"/>
  <c r="Q1377" i="12" s="1"/>
  <c r="R1377" i="12"/>
  <c r="S1377" i="12" s="1"/>
  <c r="U1377" i="12"/>
  <c r="N1378" i="12" a="1"/>
  <c r="N1378" i="12" s="1"/>
  <c r="P1378" i="12"/>
  <c r="Q1378" i="12" s="1" a="1"/>
  <c r="Q1378" i="12" s="1"/>
  <c r="R1378" i="12"/>
  <c r="S1378" i="12" s="1"/>
  <c r="U1378" i="12"/>
  <c r="N1379" i="12" a="1"/>
  <c r="N1379" i="12" s="1"/>
  <c r="P1379" i="12"/>
  <c r="Q1379" i="12" s="1" a="1"/>
  <c r="Q1379" i="12" s="1"/>
  <c r="R1379" i="12"/>
  <c r="S1379" i="12" s="1"/>
  <c r="U1379" i="12"/>
  <c r="N1380" i="12" a="1"/>
  <c r="N1380" i="12" s="1"/>
  <c r="P1380" i="12"/>
  <c r="Q1380" i="12" s="1" a="1"/>
  <c r="Q1380" i="12" s="1"/>
  <c r="R1380" i="12"/>
  <c r="S1380" i="12" s="1"/>
  <c r="U1380" i="12"/>
  <c r="N1381" i="12" a="1"/>
  <c r="N1381" i="12" s="1"/>
  <c r="P1381" i="12"/>
  <c r="Q1381" i="12" s="1" a="1"/>
  <c r="Q1381" i="12" s="1"/>
  <c r="R1381" i="12"/>
  <c r="S1381" i="12" s="1"/>
  <c r="U1381" i="12"/>
  <c r="N1382" i="12" a="1"/>
  <c r="N1382" i="12" s="1"/>
  <c r="P1382" i="12"/>
  <c r="Q1382" i="12" s="1" a="1"/>
  <c r="Q1382" i="12" s="1"/>
  <c r="R1382" i="12"/>
  <c r="S1382" i="12" s="1"/>
  <c r="U1382" i="12"/>
  <c r="N1383" i="12" a="1"/>
  <c r="N1383" i="12" s="1"/>
  <c r="P1383" i="12"/>
  <c r="Q1383" i="12" s="1" a="1"/>
  <c r="Q1383" i="12" s="1"/>
  <c r="R1383" i="12"/>
  <c r="S1383" i="12" s="1"/>
  <c r="U1383" i="12"/>
  <c r="N1384" i="12" a="1"/>
  <c r="N1384" i="12" s="1"/>
  <c r="P1384" i="12"/>
  <c r="Q1384" i="12" s="1" a="1"/>
  <c r="Q1384" i="12" s="1"/>
  <c r="R1384" i="12"/>
  <c r="S1384" i="12" s="1"/>
  <c r="U1384" i="12"/>
  <c r="N1385" i="12" a="1"/>
  <c r="N1385" i="12" s="1"/>
  <c r="P1385" i="12"/>
  <c r="Q1385" i="12" s="1" a="1"/>
  <c r="Q1385" i="12" s="1"/>
  <c r="R1385" i="12"/>
  <c r="S1385" i="12" s="1"/>
  <c r="U1385" i="12"/>
  <c r="N1386" i="12" a="1"/>
  <c r="N1386" i="12" s="1"/>
  <c r="P1386" i="12"/>
  <c r="Q1386" i="12" s="1" a="1"/>
  <c r="Q1386" i="12" s="1"/>
  <c r="R1386" i="12"/>
  <c r="S1386" i="12" s="1"/>
  <c r="U1386" i="12"/>
  <c r="N1387" i="12" a="1"/>
  <c r="N1387" i="12" s="1"/>
  <c r="P1387" i="12"/>
  <c r="Q1387" i="12" s="1" a="1"/>
  <c r="Q1387" i="12" s="1"/>
  <c r="R1387" i="12"/>
  <c r="S1387" i="12" s="1"/>
  <c r="U1387" i="12"/>
  <c r="N1388" i="12" a="1"/>
  <c r="N1388" i="12" s="1"/>
  <c r="P1388" i="12"/>
  <c r="Q1388" i="12" s="1" a="1"/>
  <c r="Q1388" i="12" s="1"/>
  <c r="R1388" i="12"/>
  <c r="S1388" i="12" s="1"/>
  <c r="U1388" i="12"/>
  <c r="N1389" i="12" a="1"/>
  <c r="N1389" i="12" s="1"/>
  <c r="P1389" i="12"/>
  <c r="Q1389" i="12" s="1" a="1"/>
  <c r="Q1389" i="12" s="1"/>
  <c r="R1389" i="12"/>
  <c r="S1389" i="12" s="1"/>
  <c r="U1389" i="12"/>
  <c r="N1390" i="12" a="1"/>
  <c r="N1390" i="12" s="1"/>
  <c r="P1390" i="12"/>
  <c r="Q1390" i="12" s="1" a="1"/>
  <c r="Q1390" i="12" s="1"/>
  <c r="R1390" i="12"/>
  <c r="S1390" i="12" s="1"/>
  <c r="U1390" i="12"/>
  <c r="N1391" i="12" a="1"/>
  <c r="N1391" i="12" s="1"/>
  <c r="P1391" i="12"/>
  <c r="Q1391" i="12" s="1" a="1"/>
  <c r="Q1391" i="12" s="1"/>
  <c r="R1391" i="12"/>
  <c r="S1391" i="12" s="1"/>
  <c r="U1391" i="12"/>
  <c r="N1392" i="12" a="1"/>
  <c r="N1392" i="12" s="1"/>
  <c r="P1392" i="12"/>
  <c r="Q1392" i="12" s="1" a="1"/>
  <c r="Q1392" i="12" s="1"/>
  <c r="R1392" i="12"/>
  <c r="S1392" i="12" s="1"/>
  <c r="U1392" i="12"/>
  <c r="N1393" i="12" a="1"/>
  <c r="N1393" i="12" s="1"/>
  <c r="P1393" i="12"/>
  <c r="Q1393" i="12" s="1" a="1"/>
  <c r="Q1393" i="12" s="1"/>
  <c r="R1393" i="12"/>
  <c r="S1393" i="12" s="1"/>
  <c r="U1393" i="12"/>
  <c r="N1394" i="12" a="1"/>
  <c r="N1394" i="12" s="1"/>
  <c r="P1394" i="12"/>
  <c r="Q1394" i="12" s="1" a="1"/>
  <c r="Q1394" i="12" s="1"/>
  <c r="R1394" i="12"/>
  <c r="S1394" i="12" s="1"/>
  <c r="U1394" i="12"/>
  <c r="N1395" i="12" a="1"/>
  <c r="N1395" i="12" s="1"/>
  <c r="P1395" i="12"/>
  <c r="Q1395" i="12" s="1" a="1"/>
  <c r="Q1395" i="12" s="1"/>
  <c r="R1395" i="12"/>
  <c r="S1395" i="12" s="1"/>
  <c r="U1395" i="12"/>
  <c r="N1396" i="12" a="1"/>
  <c r="N1396" i="12" s="1"/>
  <c r="P1396" i="12"/>
  <c r="Q1396" i="12" s="1" a="1"/>
  <c r="Q1396" i="12" s="1"/>
  <c r="R1396" i="12"/>
  <c r="S1396" i="12" s="1"/>
  <c r="U1396" i="12"/>
  <c r="N1397" i="12" a="1"/>
  <c r="N1397" i="12" s="1"/>
  <c r="P1397" i="12"/>
  <c r="Q1397" i="12" s="1" a="1"/>
  <c r="Q1397" i="12" s="1"/>
  <c r="R1397" i="12"/>
  <c r="S1397" i="12" s="1"/>
  <c r="U1397" i="12"/>
  <c r="N1398" i="12" a="1"/>
  <c r="N1398" i="12" s="1"/>
  <c r="P1398" i="12"/>
  <c r="Q1398" i="12" s="1" a="1"/>
  <c r="Q1398" i="12" s="1"/>
  <c r="R1398" i="12"/>
  <c r="S1398" i="12" s="1"/>
  <c r="U1398" i="12"/>
  <c r="N1399" i="12" a="1"/>
  <c r="N1399" i="12" s="1"/>
  <c r="P1399" i="12"/>
  <c r="Q1399" i="12" s="1" a="1"/>
  <c r="Q1399" i="12" s="1"/>
  <c r="R1399" i="12"/>
  <c r="S1399" i="12" s="1"/>
  <c r="U1399" i="12"/>
  <c r="N1400" i="12" a="1"/>
  <c r="N1400" i="12" s="1"/>
  <c r="P1400" i="12"/>
  <c r="Q1400" i="12" s="1" a="1"/>
  <c r="Q1400" i="12" s="1"/>
  <c r="R1400" i="12"/>
  <c r="S1400" i="12" s="1"/>
  <c r="U1400" i="12"/>
  <c r="N1401" i="12" a="1"/>
  <c r="N1401" i="12" s="1"/>
  <c r="P1401" i="12"/>
  <c r="Q1401" i="12" s="1" a="1"/>
  <c r="Q1401" i="12" s="1"/>
  <c r="R1401" i="12"/>
  <c r="S1401" i="12" s="1"/>
  <c r="U1401" i="12"/>
  <c r="N1402" i="12" a="1"/>
  <c r="N1402" i="12" s="1"/>
  <c r="P1402" i="12"/>
  <c r="Q1402" i="12" s="1" a="1"/>
  <c r="Q1402" i="12" s="1"/>
  <c r="R1402" i="12"/>
  <c r="S1402" i="12" s="1"/>
  <c r="U1402" i="12"/>
  <c r="N1403" i="12" a="1"/>
  <c r="N1403" i="12" s="1"/>
  <c r="P1403" i="12"/>
  <c r="Q1403" i="12" s="1" a="1"/>
  <c r="Q1403" i="12" s="1"/>
  <c r="R1403" i="12"/>
  <c r="S1403" i="12" s="1"/>
  <c r="U1403" i="12"/>
  <c r="N1404" i="12" a="1"/>
  <c r="N1404" i="12" s="1"/>
  <c r="P1404" i="12"/>
  <c r="Q1404" i="12" s="1" a="1"/>
  <c r="Q1404" i="12" s="1"/>
  <c r="R1404" i="12"/>
  <c r="S1404" i="12" s="1"/>
  <c r="U1404" i="12"/>
  <c r="N1405" i="12" a="1"/>
  <c r="N1405" i="12" s="1"/>
  <c r="P1405" i="12"/>
  <c r="Q1405" i="12" s="1" a="1"/>
  <c r="Q1405" i="12" s="1"/>
  <c r="R1405" i="12"/>
  <c r="S1405" i="12" s="1"/>
  <c r="U1405" i="12"/>
  <c r="N1406" i="12" a="1"/>
  <c r="N1406" i="12" s="1"/>
  <c r="P1406" i="12"/>
  <c r="Q1406" i="12" s="1" a="1"/>
  <c r="Q1406" i="12" s="1"/>
  <c r="R1406" i="12"/>
  <c r="S1406" i="12" s="1"/>
  <c r="U1406" i="12"/>
  <c r="N1407" i="12" a="1"/>
  <c r="N1407" i="12" s="1"/>
  <c r="P1407" i="12"/>
  <c r="Q1407" i="12" s="1" a="1"/>
  <c r="Q1407" i="12" s="1"/>
  <c r="R1407" i="12"/>
  <c r="S1407" i="12" s="1"/>
  <c r="U1407" i="12"/>
  <c r="N1408" i="12" a="1"/>
  <c r="N1408" i="12" s="1"/>
  <c r="P1408" i="12"/>
  <c r="Q1408" i="12" s="1" a="1"/>
  <c r="Q1408" i="12" s="1"/>
  <c r="R1408" i="12"/>
  <c r="S1408" i="12" s="1"/>
  <c r="U1408" i="12"/>
  <c r="N1409" i="12" a="1"/>
  <c r="N1409" i="12" s="1"/>
  <c r="P1409" i="12"/>
  <c r="Q1409" i="12" s="1" a="1"/>
  <c r="Q1409" i="12" s="1"/>
  <c r="R1409" i="12"/>
  <c r="S1409" i="12" s="1"/>
  <c r="U1409" i="12"/>
  <c r="N1410" i="12" a="1"/>
  <c r="N1410" i="12" s="1"/>
  <c r="P1410" i="12"/>
  <c r="Q1410" i="12" s="1" a="1"/>
  <c r="Q1410" i="12" s="1"/>
  <c r="R1410" i="12"/>
  <c r="S1410" i="12" s="1"/>
  <c r="U1410" i="12"/>
  <c r="N1411" i="12" a="1"/>
  <c r="N1411" i="12" s="1"/>
  <c r="P1411" i="12"/>
  <c r="Q1411" i="12" s="1" a="1"/>
  <c r="Q1411" i="12" s="1"/>
  <c r="R1411" i="12"/>
  <c r="S1411" i="12" s="1"/>
  <c r="U1411" i="12"/>
  <c r="N1412" i="12" a="1"/>
  <c r="N1412" i="12" s="1"/>
  <c r="P1412" i="12"/>
  <c r="Q1412" i="12" s="1" a="1"/>
  <c r="Q1412" i="12" s="1"/>
  <c r="R1412" i="12"/>
  <c r="S1412" i="12" s="1"/>
  <c r="U1412" i="12"/>
  <c r="N1413" i="12" a="1"/>
  <c r="N1413" i="12" s="1"/>
  <c r="P1413" i="12"/>
  <c r="Q1413" i="12" s="1" a="1"/>
  <c r="Q1413" i="12" s="1"/>
  <c r="R1413" i="12"/>
  <c r="S1413" i="12" s="1"/>
  <c r="U1413" i="12"/>
  <c r="N1414" i="12" a="1"/>
  <c r="N1414" i="12" s="1"/>
  <c r="P1414" i="12"/>
  <c r="Q1414" i="12" s="1" a="1"/>
  <c r="Q1414" i="12" s="1"/>
  <c r="R1414" i="12"/>
  <c r="S1414" i="12" s="1"/>
  <c r="U1414" i="12"/>
  <c r="N1415" i="12" a="1"/>
  <c r="N1415" i="12" s="1"/>
  <c r="P1415" i="12"/>
  <c r="Q1415" i="12" s="1" a="1"/>
  <c r="Q1415" i="12" s="1"/>
  <c r="R1415" i="12"/>
  <c r="S1415" i="12" s="1"/>
  <c r="U1415" i="12"/>
  <c r="N1416" i="12" a="1"/>
  <c r="N1416" i="12" s="1"/>
  <c r="P1416" i="12"/>
  <c r="Q1416" i="12" s="1" a="1"/>
  <c r="Q1416" i="12" s="1"/>
  <c r="R1416" i="12"/>
  <c r="S1416" i="12" s="1"/>
  <c r="U1416" i="12"/>
  <c r="N1417" i="12" a="1"/>
  <c r="N1417" i="12" s="1"/>
  <c r="P1417" i="12"/>
  <c r="Q1417" i="12" s="1" a="1"/>
  <c r="Q1417" i="12" s="1"/>
  <c r="R1417" i="12"/>
  <c r="S1417" i="12" s="1"/>
  <c r="U1417" i="12"/>
  <c r="N1418" i="12" a="1"/>
  <c r="N1418" i="12" s="1"/>
  <c r="P1418" i="12"/>
  <c r="Q1418" i="12" s="1" a="1"/>
  <c r="Q1418" i="12" s="1"/>
  <c r="R1418" i="12"/>
  <c r="S1418" i="12" s="1"/>
  <c r="U1418" i="12"/>
  <c r="N1419" i="12" a="1"/>
  <c r="N1419" i="12" s="1"/>
  <c r="P1419" i="12"/>
  <c r="Q1419" i="12" s="1" a="1"/>
  <c r="Q1419" i="12" s="1"/>
  <c r="R1419" i="12"/>
  <c r="S1419" i="12" s="1"/>
  <c r="U1419" i="12"/>
  <c r="N1420" i="12" a="1"/>
  <c r="N1420" i="12" s="1"/>
  <c r="P1420" i="12"/>
  <c r="Q1420" i="12" s="1" a="1"/>
  <c r="Q1420" i="12" s="1"/>
  <c r="R1420" i="12"/>
  <c r="S1420" i="12" s="1"/>
  <c r="U1420" i="12"/>
  <c r="N1421" i="12" a="1"/>
  <c r="N1421" i="12" s="1"/>
  <c r="P1421" i="12"/>
  <c r="Q1421" i="12" s="1" a="1"/>
  <c r="Q1421" i="12" s="1"/>
  <c r="R1421" i="12"/>
  <c r="S1421" i="12" s="1"/>
  <c r="U1421" i="12"/>
  <c r="N1422" i="12" a="1"/>
  <c r="N1422" i="12" s="1"/>
  <c r="P1422" i="12"/>
  <c r="Q1422" i="12" s="1" a="1"/>
  <c r="Q1422" i="12" s="1"/>
  <c r="R1422" i="12"/>
  <c r="S1422" i="12" s="1"/>
  <c r="U1422" i="12"/>
  <c r="N1423" i="12" a="1"/>
  <c r="N1423" i="12" s="1"/>
  <c r="P1423" i="12"/>
  <c r="Q1423" i="12" s="1" a="1"/>
  <c r="Q1423" i="12" s="1"/>
  <c r="R1423" i="12"/>
  <c r="S1423" i="12" s="1"/>
  <c r="U1423" i="12"/>
  <c r="N1424" i="12" a="1"/>
  <c r="N1424" i="12" s="1"/>
  <c r="P1424" i="12"/>
  <c r="Q1424" i="12" s="1" a="1"/>
  <c r="Q1424" i="12" s="1"/>
  <c r="R1424" i="12"/>
  <c r="S1424" i="12" s="1"/>
  <c r="U1424" i="12"/>
  <c r="N1425" i="12" a="1"/>
  <c r="N1425" i="12" s="1"/>
  <c r="P1425" i="12"/>
  <c r="Q1425" i="12" s="1" a="1"/>
  <c r="Q1425" i="12" s="1"/>
  <c r="R1425" i="12"/>
  <c r="S1425" i="12" s="1"/>
  <c r="U1425" i="12"/>
  <c r="N1426" i="12" a="1"/>
  <c r="N1426" i="12" s="1"/>
  <c r="P1426" i="12"/>
  <c r="Q1426" i="12" s="1" a="1"/>
  <c r="Q1426" i="12" s="1"/>
  <c r="R1426" i="12"/>
  <c r="S1426" i="12" s="1"/>
  <c r="U1426" i="12"/>
  <c r="N1427" i="12" a="1"/>
  <c r="N1427" i="12" s="1"/>
  <c r="P1427" i="12"/>
  <c r="Q1427" i="12" s="1" a="1"/>
  <c r="Q1427" i="12" s="1"/>
  <c r="R1427" i="12"/>
  <c r="S1427" i="12" s="1"/>
  <c r="U1427" i="12"/>
  <c r="N1428" i="12" a="1"/>
  <c r="N1428" i="12" s="1"/>
  <c r="P1428" i="12"/>
  <c r="Q1428" i="12" s="1" a="1"/>
  <c r="Q1428" i="12" s="1"/>
  <c r="R1428" i="12"/>
  <c r="S1428" i="12" s="1"/>
  <c r="U1428" i="12"/>
  <c r="N1429" i="12" a="1"/>
  <c r="N1429" i="12" s="1"/>
  <c r="P1429" i="12"/>
  <c r="Q1429" i="12" s="1" a="1"/>
  <c r="Q1429" i="12" s="1"/>
  <c r="R1429" i="12"/>
  <c r="S1429" i="12" s="1"/>
  <c r="U1429" i="12"/>
  <c r="N1430" i="12" a="1"/>
  <c r="N1430" i="12" s="1"/>
  <c r="P1430" i="12"/>
  <c r="Q1430" i="12" s="1" a="1"/>
  <c r="Q1430" i="12" s="1"/>
  <c r="R1430" i="12"/>
  <c r="S1430" i="12" s="1"/>
  <c r="U1430" i="12"/>
  <c r="N1431" i="12" a="1"/>
  <c r="N1431" i="12" s="1"/>
  <c r="P1431" i="12"/>
  <c r="Q1431" i="12" s="1" a="1"/>
  <c r="Q1431" i="12" s="1"/>
  <c r="R1431" i="12"/>
  <c r="S1431" i="12" s="1"/>
  <c r="U1431" i="12"/>
  <c r="N1432" i="12" a="1"/>
  <c r="N1432" i="12" s="1"/>
  <c r="P1432" i="12"/>
  <c r="Q1432" i="12" s="1" a="1"/>
  <c r="Q1432" i="12" s="1"/>
  <c r="R1432" i="12"/>
  <c r="S1432" i="12" s="1"/>
  <c r="U1432" i="12"/>
  <c r="N1433" i="12" a="1"/>
  <c r="N1433" i="12" s="1"/>
  <c r="P1433" i="12"/>
  <c r="Q1433" i="12" s="1" a="1"/>
  <c r="Q1433" i="12" s="1"/>
  <c r="R1433" i="12"/>
  <c r="S1433" i="12" s="1"/>
  <c r="U1433" i="12"/>
  <c r="N1434" i="12" a="1"/>
  <c r="N1434" i="12" s="1"/>
  <c r="P1434" i="12"/>
  <c r="Q1434" i="12" s="1" a="1"/>
  <c r="Q1434" i="12" s="1"/>
  <c r="R1434" i="12"/>
  <c r="S1434" i="12" s="1"/>
  <c r="U1434" i="12"/>
  <c r="N1435" i="12" a="1"/>
  <c r="N1435" i="12" s="1"/>
  <c r="P1435" i="12"/>
  <c r="Q1435" i="12" s="1" a="1"/>
  <c r="Q1435" i="12" s="1"/>
  <c r="R1435" i="12"/>
  <c r="S1435" i="12" s="1"/>
  <c r="U1435" i="12"/>
  <c r="N1436" i="12" a="1"/>
  <c r="N1436" i="12" s="1"/>
  <c r="P1436" i="12"/>
  <c r="Q1436" i="12" s="1" a="1"/>
  <c r="Q1436" i="12" s="1"/>
  <c r="R1436" i="12"/>
  <c r="S1436" i="12" s="1"/>
  <c r="U1436" i="12"/>
  <c r="N1437" i="12" a="1"/>
  <c r="N1437" i="12" s="1"/>
  <c r="P1437" i="12"/>
  <c r="Q1437" i="12" s="1" a="1"/>
  <c r="Q1437" i="12" s="1"/>
  <c r="R1437" i="12"/>
  <c r="S1437" i="12" s="1"/>
  <c r="U1437" i="12"/>
  <c r="N1438" i="12" a="1"/>
  <c r="N1438" i="12" s="1"/>
  <c r="P1438" i="12"/>
  <c r="Q1438" i="12" s="1" a="1"/>
  <c r="Q1438" i="12" s="1"/>
  <c r="R1438" i="12"/>
  <c r="S1438" i="12" s="1"/>
  <c r="U1438" i="12"/>
  <c r="N1439" i="12" a="1"/>
  <c r="N1439" i="12" s="1"/>
  <c r="P1439" i="12"/>
  <c r="Q1439" i="12" s="1" a="1"/>
  <c r="Q1439" i="12" s="1"/>
  <c r="R1439" i="12"/>
  <c r="S1439" i="12" s="1"/>
  <c r="U1439" i="12"/>
  <c r="N1440" i="12" a="1"/>
  <c r="N1440" i="12" s="1"/>
  <c r="P1440" i="12"/>
  <c r="Q1440" i="12" s="1" a="1"/>
  <c r="Q1440" i="12" s="1"/>
  <c r="R1440" i="12"/>
  <c r="S1440" i="12" s="1"/>
  <c r="U1440" i="12"/>
  <c r="N1441" i="12" a="1"/>
  <c r="N1441" i="12" s="1"/>
  <c r="P1441" i="12"/>
  <c r="Q1441" i="12" s="1" a="1"/>
  <c r="Q1441" i="12" s="1"/>
  <c r="R1441" i="12"/>
  <c r="S1441" i="12" s="1"/>
  <c r="U1441" i="12"/>
  <c r="N1442" i="12" a="1"/>
  <c r="N1442" i="12" s="1"/>
  <c r="P1442" i="12"/>
  <c r="Q1442" i="12" s="1" a="1"/>
  <c r="Q1442" i="12" s="1"/>
  <c r="R1442" i="12"/>
  <c r="S1442" i="12" s="1"/>
  <c r="U1442" i="12"/>
  <c r="N1443" i="12" a="1"/>
  <c r="N1443" i="12" s="1"/>
  <c r="P1443" i="12"/>
  <c r="Q1443" i="12" s="1" a="1"/>
  <c r="Q1443" i="12" s="1"/>
  <c r="R1443" i="12"/>
  <c r="S1443" i="12" s="1"/>
  <c r="U1443" i="12"/>
  <c r="N1444" i="12" a="1"/>
  <c r="N1444" i="12" s="1"/>
  <c r="P1444" i="12"/>
  <c r="Q1444" i="12" s="1" a="1"/>
  <c r="Q1444" i="12" s="1"/>
  <c r="R1444" i="12"/>
  <c r="S1444" i="12" s="1"/>
  <c r="U1444" i="12"/>
  <c r="N1445" i="12" a="1"/>
  <c r="N1445" i="12" s="1"/>
  <c r="P1445" i="12"/>
  <c r="Q1445" i="12" s="1" a="1"/>
  <c r="Q1445" i="12" s="1"/>
  <c r="R1445" i="12"/>
  <c r="S1445" i="12" s="1"/>
  <c r="U1445" i="12"/>
  <c r="N1446" i="12" a="1"/>
  <c r="N1446" i="12" s="1"/>
  <c r="P1446" i="12"/>
  <c r="Q1446" i="12" s="1" a="1"/>
  <c r="Q1446" i="12" s="1"/>
  <c r="R1446" i="12"/>
  <c r="S1446" i="12" s="1"/>
  <c r="U1446" i="12"/>
  <c r="N1447" i="12" a="1"/>
  <c r="N1447" i="12" s="1"/>
  <c r="P1447" i="12"/>
  <c r="Q1447" i="12" s="1" a="1"/>
  <c r="Q1447" i="12" s="1"/>
  <c r="R1447" i="12"/>
  <c r="S1447" i="12" s="1"/>
  <c r="U1447" i="12"/>
  <c r="N1448" i="12" a="1"/>
  <c r="N1448" i="12" s="1"/>
  <c r="P1448" i="12"/>
  <c r="Q1448" i="12" s="1" a="1"/>
  <c r="Q1448" i="12" s="1"/>
  <c r="R1448" i="12"/>
  <c r="S1448" i="12" s="1"/>
  <c r="U1448" i="12"/>
  <c r="N1449" i="12" a="1"/>
  <c r="N1449" i="12" s="1"/>
  <c r="P1449" i="12"/>
  <c r="Q1449" i="12" s="1" a="1"/>
  <c r="Q1449" i="12" s="1"/>
  <c r="R1449" i="12"/>
  <c r="S1449" i="12" s="1"/>
  <c r="U1449" i="12"/>
  <c r="N1450" i="12" a="1"/>
  <c r="N1450" i="12" s="1"/>
  <c r="P1450" i="12"/>
  <c r="Q1450" i="12" s="1" a="1"/>
  <c r="Q1450" i="12" s="1"/>
  <c r="R1450" i="12"/>
  <c r="S1450" i="12" s="1"/>
  <c r="U1450" i="12"/>
  <c r="N1451" i="12" a="1"/>
  <c r="N1451" i="12" s="1"/>
  <c r="P1451" i="12"/>
  <c r="Q1451" i="12" s="1" a="1"/>
  <c r="Q1451" i="12" s="1"/>
  <c r="R1451" i="12"/>
  <c r="S1451" i="12" s="1"/>
  <c r="U1451" i="12"/>
  <c r="N1452" i="12" a="1"/>
  <c r="N1452" i="12" s="1"/>
  <c r="P1452" i="12"/>
  <c r="Q1452" i="12" s="1" a="1"/>
  <c r="Q1452" i="12" s="1"/>
  <c r="R1452" i="12"/>
  <c r="S1452" i="12" s="1"/>
  <c r="U1452" i="12"/>
  <c r="N1453" i="12" a="1"/>
  <c r="N1453" i="12" s="1"/>
  <c r="P1453" i="12"/>
  <c r="Q1453" i="12" s="1" a="1"/>
  <c r="Q1453" i="12" s="1"/>
  <c r="R1453" i="12"/>
  <c r="S1453" i="12" s="1"/>
  <c r="U1453" i="12"/>
  <c r="N1454" i="12" a="1"/>
  <c r="N1454" i="12" s="1"/>
  <c r="P1454" i="12"/>
  <c r="Q1454" i="12" s="1" a="1"/>
  <c r="Q1454" i="12" s="1"/>
  <c r="R1454" i="12"/>
  <c r="S1454" i="12" s="1"/>
  <c r="U1454" i="12"/>
  <c r="N1455" i="12" a="1"/>
  <c r="N1455" i="12" s="1"/>
  <c r="P1455" i="12"/>
  <c r="Q1455" i="12" s="1" a="1"/>
  <c r="Q1455" i="12" s="1"/>
  <c r="R1455" i="12"/>
  <c r="S1455" i="12" s="1"/>
  <c r="U1455" i="12"/>
  <c r="N1456" i="12" a="1"/>
  <c r="N1456" i="12" s="1"/>
  <c r="P1456" i="12"/>
  <c r="Q1456" i="12" s="1" a="1"/>
  <c r="Q1456" i="12" s="1"/>
  <c r="R1456" i="12"/>
  <c r="S1456" i="12" s="1"/>
  <c r="U1456" i="12"/>
  <c r="N1457" i="12" a="1"/>
  <c r="N1457" i="12" s="1"/>
  <c r="P1457" i="12"/>
  <c r="Q1457" i="12" s="1" a="1"/>
  <c r="Q1457" i="12" s="1"/>
  <c r="R1457" i="12"/>
  <c r="S1457" i="12" s="1"/>
  <c r="U1457" i="12"/>
  <c r="N1458" i="12" a="1"/>
  <c r="N1458" i="12" s="1"/>
  <c r="P1458" i="12"/>
  <c r="Q1458" i="12" s="1" a="1"/>
  <c r="Q1458" i="12" s="1"/>
  <c r="R1458" i="12"/>
  <c r="S1458" i="12" s="1"/>
  <c r="U1458" i="12"/>
  <c r="N1459" i="12" a="1"/>
  <c r="N1459" i="12" s="1"/>
  <c r="P1459" i="12"/>
  <c r="Q1459" i="12" s="1" a="1"/>
  <c r="Q1459" i="12" s="1"/>
  <c r="R1459" i="12"/>
  <c r="S1459" i="12" s="1"/>
  <c r="U1459" i="12"/>
  <c r="N1460" i="12" a="1"/>
  <c r="N1460" i="12" s="1"/>
  <c r="P1460" i="12"/>
  <c r="Q1460" i="12" s="1" a="1"/>
  <c r="Q1460" i="12" s="1"/>
  <c r="R1460" i="12"/>
  <c r="S1460" i="12" s="1"/>
  <c r="U1460" i="12"/>
  <c r="N1461" i="12" a="1"/>
  <c r="N1461" i="12" s="1"/>
  <c r="P1461" i="12"/>
  <c r="Q1461" i="12" s="1" a="1"/>
  <c r="Q1461" i="12" s="1"/>
  <c r="R1461" i="12"/>
  <c r="S1461" i="12" s="1"/>
  <c r="U1461" i="12"/>
  <c r="N1462" i="12" a="1"/>
  <c r="N1462" i="12" s="1"/>
  <c r="P1462" i="12"/>
  <c r="Q1462" i="12" s="1" a="1"/>
  <c r="Q1462" i="12" s="1"/>
  <c r="R1462" i="12"/>
  <c r="S1462" i="12" s="1"/>
  <c r="U1462" i="12"/>
  <c r="N1463" i="12" a="1"/>
  <c r="N1463" i="12" s="1"/>
  <c r="P1463" i="12"/>
  <c r="Q1463" i="12" s="1" a="1"/>
  <c r="Q1463" i="12" s="1"/>
  <c r="R1463" i="12"/>
  <c r="S1463" i="12" s="1"/>
  <c r="U1463" i="12"/>
  <c r="N1464" i="12" a="1"/>
  <c r="N1464" i="12" s="1"/>
  <c r="P1464" i="12"/>
  <c r="Q1464" i="12" s="1" a="1"/>
  <c r="Q1464" i="12" s="1"/>
  <c r="R1464" i="12"/>
  <c r="S1464" i="12" s="1"/>
  <c r="U1464" i="12"/>
  <c r="N1465" i="12" a="1"/>
  <c r="N1465" i="12" s="1"/>
  <c r="P1465" i="12"/>
  <c r="Q1465" i="12" s="1" a="1"/>
  <c r="Q1465" i="12" s="1"/>
  <c r="R1465" i="12"/>
  <c r="S1465" i="12" s="1"/>
  <c r="U1465" i="12"/>
  <c r="N1466" i="12" a="1"/>
  <c r="N1466" i="12" s="1"/>
  <c r="P1466" i="12"/>
  <c r="Q1466" i="12" s="1" a="1"/>
  <c r="Q1466" i="12" s="1"/>
  <c r="R1466" i="12"/>
  <c r="S1466" i="12" s="1"/>
  <c r="U1466" i="12"/>
  <c r="N1467" i="12" a="1"/>
  <c r="N1467" i="12" s="1"/>
  <c r="P1467" i="12"/>
  <c r="Q1467" i="12" s="1" a="1"/>
  <c r="Q1467" i="12" s="1"/>
  <c r="R1467" i="12"/>
  <c r="S1467" i="12" s="1"/>
  <c r="U1467" i="12"/>
  <c r="N1468" i="12" a="1"/>
  <c r="N1468" i="12" s="1"/>
  <c r="P1468" i="12"/>
  <c r="Q1468" i="12" s="1" a="1"/>
  <c r="Q1468" i="12" s="1"/>
  <c r="R1468" i="12"/>
  <c r="S1468" i="12" s="1"/>
  <c r="U1468" i="12"/>
  <c r="N1469" i="12" a="1"/>
  <c r="N1469" i="12" s="1"/>
  <c r="P1469" i="12"/>
  <c r="Q1469" i="12" s="1" a="1"/>
  <c r="Q1469" i="12" s="1"/>
  <c r="R1469" i="12"/>
  <c r="S1469" i="12" s="1"/>
  <c r="U1469" i="12"/>
  <c r="N1470" i="12" a="1"/>
  <c r="N1470" i="12" s="1"/>
  <c r="P1470" i="12"/>
  <c r="Q1470" i="12" s="1" a="1"/>
  <c r="Q1470" i="12" s="1"/>
  <c r="R1470" i="12"/>
  <c r="S1470" i="12" s="1"/>
  <c r="U1470" i="12"/>
  <c r="N1471" i="12" a="1"/>
  <c r="N1471" i="12" s="1"/>
  <c r="P1471" i="12"/>
  <c r="Q1471" i="12" s="1" a="1"/>
  <c r="Q1471" i="12" s="1"/>
  <c r="R1471" i="12"/>
  <c r="S1471" i="12" s="1"/>
  <c r="U1471" i="12"/>
  <c r="N1472" i="12" a="1"/>
  <c r="N1472" i="12" s="1"/>
  <c r="P1472" i="12"/>
  <c r="Q1472" i="12" s="1" a="1"/>
  <c r="Q1472" i="12" s="1"/>
  <c r="R1472" i="12"/>
  <c r="S1472" i="12" s="1"/>
  <c r="U1472" i="12"/>
  <c r="N1473" i="12" a="1"/>
  <c r="N1473" i="12" s="1"/>
  <c r="P1473" i="12"/>
  <c r="Q1473" i="12" s="1" a="1"/>
  <c r="Q1473" i="12" s="1"/>
  <c r="R1473" i="12"/>
  <c r="S1473" i="12" s="1"/>
  <c r="U1473" i="12"/>
  <c r="N1474" i="12" a="1"/>
  <c r="N1474" i="12" s="1"/>
  <c r="P1474" i="12"/>
  <c r="Q1474" i="12" s="1" a="1"/>
  <c r="Q1474" i="12" s="1"/>
  <c r="R1474" i="12"/>
  <c r="S1474" i="12" s="1"/>
  <c r="U1474" i="12"/>
  <c r="N1475" i="12" a="1"/>
  <c r="N1475" i="12" s="1"/>
  <c r="P1475" i="12"/>
  <c r="Q1475" i="12" s="1" a="1"/>
  <c r="Q1475" i="12" s="1"/>
  <c r="R1475" i="12"/>
  <c r="S1475" i="12" s="1"/>
  <c r="U1475" i="12"/>
  <c r="N1476" i="12" a="1"/>
  <c r="N1476" i="12" s="1"/>
  <c r="P1476" i="12"/>
  <c r="Q1476" i="12" s="1" a="1"/>
  <c r="Q1476" i="12" s="1"/>
  <c r="R1476" i="12"/>
  <c r="S1476" i="12" s="1"/>
  <c r="U1476" i="12"/>
  <c r="N1477" i="12" a="1"/>
  <c r="N1477" i="12" s="1"/>
  <c r="P1477" i="12"/>
  <c r="Q1477" i="12" s="1" a="1"/>
  <c r="Q1477" i="12" s="1"/>
  <c r="R1477" i="12"/>
  <c r="S1477" i="12" s="1"/>
  <c r="U1477" i="12"/>
  <c r="N1478" i="12" a="1"/>
  <c r="N1478" i="12" s="1"/>
  <c r="P1478" i="12"/>
  <c r="Q1478" i="12" s="1" a="1"/>
  <c r="Q1478" i="12" s="1"/>
  <c r="R1478" i="12"/>
  <c r="S1478" i="12" s="1"/>
  <c r="U1478" i="12"/>
  <c r="N1479" i="12" a="1"/>
  <c r="N1479" i="12" s="1"/>
  <c r="P1479" i="12"/>
  <c r="Q1479" i="12" s="1" a="1"/>
  <c r="Q1479" i="12" s="1"/>
  <c r="R1479" i="12"/>
  <c r="S1479" i="12" s="1"/>
  <c r="U1479" i="12"/>
  <c r="N1480" i="12" a="1"/>
  <c r="N1480" i="12" s="1"/>
  <c r="P1480" i="12"/>
  <c r="Q1480" i="12" s="1" a="1"/>
  <c r="Q1480" i="12" s="1"/>
  <c r="R1480" i="12"/>
  <c r="S1480" i="12" s="1"/>
  <c r="U1480" i="12"/>
  <c r="N1481" i="12" a="1"/>
  <c r="N1481" i="12" s="1"/>
  <c r="P1481" i="12"/>
  <c r="Q1481" i="12" s="1" a="1"/>
  <c r="Q1481" i="12" s="1"/>
  <c r="R1481" i="12"/>
  <c r="S1481" i="12" s="1"/>
  <c r="U1481" i="12"/>
  <c r="N1482" i="12" a="1"/>
  <c r="N1482" i="12" s="1"/>
  <c r="P1482" i="12"/>
  <c r="Q1482" i="12" s="1" a="1"/>
  <c r="Q1482" i="12" s="1"/>
  <c r="R1482" i="12"/>
  <c r="S1482" i="12" s="1"/>
  <c r="U1482" i="12"/>
  <c r="N1483" i="12" a="1"/>
  <c r="N1483" i="12" s="1"/>
  <c r="P1483" i="12"/>
  <c r="Q1483" i="12" s="1" a="1"/>
  <c r="Q1483" i="12" s="1"/>
  <c r="R1483" i="12"/>
  <c r="S1483" i="12" s="1"/>
  <c r="U1483" i="12"/>
  <c r="N1484" i="12" a="1"/>
  <c r="N1484" i="12" s="1"/>
  <c r="P1484" i="12"/>
  <c r="Q1484" i="12" s="1" a="1"/>
  <c r="Q1484" i="12" s="1"/>
  <c r="R1484" i="12"/>
  <c r="S1484" i="12" s="1"/>
  <c r="U1484" i="12"/>
  <c r="N1485" i="12" a="1"/>
  <c r="N1485" i="12" s="1"/>
  <c r="P1485" i="12"/>
  <c r="Q1485" i="12" s="1" a="1"/>
  <c r="Q1485" i="12" s="1"/>
  <c r="R1485" i="12"/>
  <c r="S1485" i="12" s="1"/>
  <c r="U1485" i="12"/>
  <c r="N1486" i="12" a="1"/>
  <c r="N1486" i="12" s="1"/>
  <c r="P1486" i="12"/>
  <c r="Q1486" i="12" s="1" a="1"/>
  <c r="Q1486" i="12" s="1"/>
  <c r="R1486" i="12"/>
  <c r="S1486" i="12" s="1"/>
  <c r="U1486" i="12"/>
  <c r="N1487" i="12" a="1"/>
  <c r="N1487" i="12" s="1"/>
  <c r="P1487" i="12"/>
  <c r="Q1487" i="12" s="1" a="1"/>
  <c r="Q1487" i="12" s="1"/>
  <c r="R1487" i="12"/>
  <c r="S1487" i="12" s="1"/>
  <c r="U1487" i="12"/>
  <c r="N1488" i="12" a="1"/>
  <c r="N1488" i="12" s="1"/>
  <c r="P1488" i="12"/>
  <c r="Q1488" i="12" s="1" a="1"/>
  <c r="Q1488" i="12" s="1"/>
  <c r="R1488" i="12"/>
  <c r="S1488" i="12" s="1"/>
  <c r="U1488" i="12"/>
  <c r="N1489" i="12" a="1"/>
  <c r="N1489" i="12" s="1"/>
  <c r="P1489" i="12"/>
  <c r="Q1489" i="12" s="1" a="1"/>
  <c r="Q1489" i="12" s="1"/>
  <c r="R1489" i="12"/>
  <c r="S1489" i="12" s="1"/>
  <c r="U1489" i="12"/>
  <c r="N1490" i="12" a="1"/>
  <c r="N1490" i="12" s="1"/>
  <c r="P1490" i="12"/>
  <c r="Q1490" i="12" s="1" a="1"/>
  <c r="Q1490" i="12" s="1"/>
  <c r="R1490" i="12"/>
  <c r="S1490" i="12" s="1"/>
  <c r="U1490" i="12"/>
  <c r="N1491" i="12" a="1"/>
  <c r="N1491" i="12" s="1"/>
  <c r="P1491" i="12"/>
  <c r="Q1491" i="12" s="1" a="1"/>
  <c r="Q1491" i="12" s="1"/>
  <c r="R1491" i="12"/>
  <c r="S1491" i="12" s="1"/>
  <c r="U1491" i="12"/>
  <c r="N1492" i="12" a="1"/>
  <c r="N1492" i="12" s="1"/>
  <c r="P1492" i="12"/>
  <c r="Q1492" i="12" s="1" a="1"/>
  <c r="Q1492" i="12" s="1"/>
  <c r="R1492" i="12"/>
  <c r="S1492" i="12" s="1"/>
  <c r="U1492" i="12"/>
  <c r="N1493" i="12" a="1"/>
  <c r="N1493" i="12" s="1"/>
  <c r="P1493" i="12"/>
  <c r="Q1493" i="12" s="1" a="1"/>
  <c r="Q1493" i="12" s="1"/>
  <c r="R1493" i="12"/>
  <c r="S1493" i="12" s="1"/>
  <c r="U1493" i="12"/>
  <c r="N1494" i="12" a="1"/>
  <c r="N1494" i="12" s="1"/>
  <c r="P1494" i="12"/>
  <c r="Q1494" i="12" s="1" a="1"/>
  <c r="Q1494" i="12" s="1"/>
  <c r="R1494" i="12"/>
  <c r="S1494" i="12" s="1"/>
  <c r="U1494" i="12"/>
  <c r="N1495" i="12" a="1"/>
  <c r="N1495" i="12" s="1"/>
  <c r="P1495" i="12"/>
  <c r="Q1495" i="12" s="1" a="1"/>
  <c r="Q1495" i="12" s="1"/>
  <c r="R1495" i="12"/>
  <c r="S1495" i="12" s="1"/>
  <c r="U1495" i="12"/>
  <c r="N1496" i="12" a="1"/>
  <c r="N1496" i="12" s="1"/>
  <c r="P1496" i="12"/>
  <c r="Q1496" i="12" s="1" a="1"/>
  <c r="Q1496" i="12" s="1"/>
  <c r="R1496" i="12"/>
  <c r="S1496" i="12" s="1"/>
  <c r="U1496" i="12"/>
  <c r="N1497" i="12" a="1"/>
  <c r="N1497" i="12" s="1"/>
  <c r="P1497" i="12"/>
  <c r="Q1497" i="12" s="1" a="1"/>
  <c r="Q1497" i="12" s="1"/>
  <c r="R1497" i="12"/>
  <c r="S1497" i="12" s="1"/>
  <c r="U1497" i="12"/>
  <c r="N1498" i="12" a="1"/>
  <c r="N1498" i="12" s="1"/>
  <c r="P1498" i="12"/>
  <c r="Q1498" i="12" s="1" a="1"/>
  <c r="Q1498" i="12" s="1"/>
  <c r="R1498" i="12"/>
  <c r="S1498" i="12" s="1"/>
  <c r="U1498" i="12"/>
  <c r="N1499" i="12" a="1"/>
  <c r="N1499" i="12" s="1"/>
  <c r="P1499" i="12"/>
  <c r="Q1499" i="12" s="1" a="1"/>
  <c r="Q1499" i="12" s="1"/>
  <c r="R1499" i="12"/>
  <c r="S1499" i="12" s="1"/>
  <c r="U1499" i="12"/>
  <c r="N1500" i="12" a="1"/>
  <c r="N1500" i="12" s="1"/>
  <c r="P1500" i="12"/>
  <c r="Q1500" i="12" s="1" a="1"/>
  <c r="Q1500" i="12" s="1"/>
  <c r="R1500" i="12"/>
  <c r="S1500" i="12" s="1"/>
  <c r="U1500" i="12"/>
  <c r="N1501" i="12" a="1"/>
  <c r="N1501" i="12" s="1"/>
  <c r="P1501" i="12"/>
  <c r="Q1501" i="12" s="1" a="1"/>
  <c r="Q1501" i="12" s="1"/>
  <c r="R1501" i="12"/>
  <c r="S1501" i="12" s="1"/>
  <c r="U1501" i="12"/>
  <c r="N1502" i="12" a="1"/>
  <c r="N1502" i="12" s="1"/>
  <c r="P1502" i="12"/>
  <c r="Q1502" i="12" s="1" a="1"/>
  <c r="Q1502" i="12" s="1"/>
  <c r="R1502" i="12"/>
  <c r="S1502" i="12" s="1"/>
  <c r="U1502" i="12"/>
  <c r="N1503" i="12" a="1"/>
  <c r="N1503" i="12" s="1"/>
  <c r="P1503" i="12"/>
  <c r="Q1503" i="12" s="1" a="1"/>
  <c r="Q1503" i="12" s="1"/>
  <c r="R1503" i="12"/>
  <c r="S1503" i="12" s="1"/>
  <c r="U1503" i="12"/>
  <c r="N1504" i="12" a="1"/>
  <c r="N1504" i="12" s="1"/>
  <c r="P1504" i="12"/>
  <c r="Q1504" i="12" s="1" a="1"/>
  <c r="Q1504" i="12" s="1"/>
  <c r="R1504" i="12"/>
  <c r="S1504" i="12" s="1"/>
  <c r="U1504" i="12"/>
  <c r="N1505" i="12" a="1"/>
  <c r="N1505" i="12" s="1"/>
  <c r="P1505" i="12"/>
  <c r="Q1505" i="12" s="1" a="1"/>
  <c r="Q1505" i="12" s="1"/>
  <c r="R1505" i="12"/>
  <c r="S1505" i="12" s="1"/>
  <c r="U1505" i="12"/>
  <c r="N1506" i="12" a="1"/>
  <c r="N1506" i="12" s="1"/>
  <c r="P1506" i="12"/>
  <c r="Q1506" i="12" s="1" a="1"/>
  <c r="Q1506" i="12" s="1"/>
  <c r="R1506" i="12"/>
  <c r="S1506" i="12" s="1"/>
  <c r="U1506" i="12"/>
  <c r="N1507" i="12" a="1"/>
  <c r="N1507" i="12" s="1"/>
  <c r="P1507" i="12"/>
  <c r="Q1507" i="12" s="1" a="1"/>
  <c r="Q1507" i="12" s="1"/>
  <c r="R1507" i="12"/>
  <c r="S1507" i="12" s="1"/>
  <c r="U1507" i="12"/>
  <c r="N1508" i="12" a="1"/>
  <c r="N1508" i="12" s="1"/>
  <c r="P1508" i="12"/>
  <c r="Q1508" i="12" s="1" a="1"/>
  <c r="Q1508" i="12" s="1"/>
  <c r="R1508" i="12"/>
  <c r="S1508" i="12" s="1"/>
  <c r="U1508" i="12"/>
  <c r="N1509" i="12" a="1"/>
  <c r="N1509" i="12" s="1"/>
  <c r="P1509" i="12"/>
  <c r="Q1509" i="12" s="1" a="1"/>
  <c r="Q1509" i="12" s="1"/>
  <c r="R1509" i="12"/>
  <c r="S1509" i="12" s="1"/>
  <c r="U1509" i="12"/>
  <c r="N1510" i="12" a="1"/>
  <c r="N1510" i="12" s="1"/>
  <c r="P1510" i="12"/>
  <c r="Q1510" i="12" s="1" a="1"/>
  <c r="Q1510" i="12" s="1"/>
  <c r="R1510" i="12"/>
  <c r="S1510" i="12" s="1"/>
  <c r="U1510" i="12"/>
  <c r="N1511" i="12" a="1"/>
  <c r="N1511" i="12" s="1"/>
  <c r="P1511" i="12"/>
  <c r="Q1511" i="12" s="1" a="1"/>
  <c r="Q1511" i="12" s="1"/>
  <c r="R1511" i="12"/>
  <c r="S1511" i="12" s="1"/>
  <c r="U1511" i="12"/>
  <c r="N1512" i="12" a="1"/>
  <c r="N1512" i="12" s="1"/>
  <c r="P1512" i="12"/>
  <c r="Q1512" i="12" s="1" a="1"/>
  <c r="Q1512" i="12" s="1"/>
  <c r="R1512" i="12"/>
  <c r="S1512" i="12" s="1"/>
  <c r="U1512" i="12"/>
  <c r="N1513" i="12" a="1"/>
  <c r="N1513" i="12" s="1"/>
  <c r="P1513" i="12"/>
  <c r="Q1513" i="12" s="1" a="1"/>
  <c r="Q1513" i="12" s="1"/>
  <c r="R1513" i="12"/>
  <c r="S1513" i="12" s="1"/>
  <c r="U1513" i="12"/>
  <c r="N1514" i="12" a="1"/>
  <c r="N1514" i="12" s="1"/>
  <c r="P1514" i="12"/>
  <c r="Q1514" i="12" s="1" a="1"/>
  <c r="Q1514" i="12" s="1"/>
  <c r="R1514" i="12"/>
  <c r="S1514" i="12" s="1"/>
  <c r="U1514" i="12"/>
  <c r="N1515" i="12" a="1"/>
  <c r="N1515" i="12" s="1"/>
  <c r="P1515" i="12"/>
  <c r="Q1515" i="12" s="1" a="1"/>
  <c r="Q1515" i="12" s="1"/>
  <c r="R1515" i="12"/>
  <c r="S1515" i="12" s="1"/>
  <c r="U1515" i="12"/>
  <c r="N1516" i="12" a="1"/>
  <c r="N1516" i="12" s="1"/>
  <c r="P1516" i="12"/>
  <c r="Q1516" i="12" s="1" a="1"/>
  <c r="Q1516" i="12" s="1"/>
  <c r="R1516" i="12"/>
  <c r="S1516" i="12" s="1"/>
  <c r="U1516" i="12"/>
  <c r="N1517" i="12" a="1"/>
  <c r="N1517" i="12" s="1"/>
  <c r="P1517" i="12"/>
  <c r="Q1517" i="12" s="1" a="1"/>
  <c r="Q1517" i="12" s="1"/>
  <c r="R1517" i="12"/>
  <c r="S1517" i="12" s="1"/>
  <c r="U1517" i="12"/>
  <c r="N1518" i="12" a="1"/>
  <c r="N1518" i="12" s="1"/>
  <c r="P1518" i="12"/>
  <c r="Q1518" i="12" s="1" a="1"/>
  <c r="Q1518" i="12" s="1"/>
  <c r="R1518" i="12"/>
  <c r="S1518" i="12" s="1"/>
  <c r="U1518" i="12"/>
  <c r="N1519" i="12" a="1"/>
  <c r="N1519" i="12" s="1"/>
  <c r="P1519" i="12"/>
  <c r="Q1519" i="12" s="1" a="1"/>
  <c r="Q1519" i="12" s="1"/>
  <c r="R1519" i="12"/>
  <c r="S1519" i="12" s="1"/>
  <c r="U1519" i="12"/>
  <c r="N1520" i="12" a="1"/>
  <c r="N1520" i="12" s="1"/>
  <c r="P1520" i="12"/>
  <c r="Q1520" i="12" s="1" a="1"/>
  <c r="Q1520" i="12" s="1"/>
  <c r="R1520" i="12"/>
  <c r="S1520" i="12" s="1"/>
  <c r="U1520" i="12"/>
  <c r="N1521" i="12" a="1"/>
  <c r="N1521" i="12" s="1"/>
  <c r="P1521" i="12"/>
  <c r="Q1521" i="12" s="1" a="1"/>
  <c r="Q1521" i="12" s="1"/>
  <c r="R1521" i="12"/>
  <c r="S1521" i="12" s="1"/>
  <c r="U1521" i="12"/>
  <c r="N1522" i="12" a="1"/>
  <c r="N1522" i="12" s="1"/>
  <c r="P1522" i="12"/>
  <c r="Q1522" i="12" s="1" a="1"/>
  <c r="Q1522" i="12" s="1"/>
  <c r="R1522" i="12"/>
  <c r="S1522" i="12" s="1"/>
  <c r="U1522" i="12"/>
  <c r="N1523" i="12" a="1"/>
  <c r="N1523" i="12" s="1"/>
  <c r="P1523" i="12"/>
  <c r="Q1523" i="12" s="1" a="1"/>
  <c r="Q1523" i="12" s="1"/>
  <c r="R1523" i="12"/>
  <c r="S1523" i="12" s="1"/>
  <c r="U1523" i="12"/>
  <c r="N1524" i="12" a="1"/>
  <c r="N1524" i="12" s="1"/>
  <c r="P1524" i="12"/>
  <c r="Q1524" i="12" s="1" a="1"/>
  <c r="Q1524" i="12" s="1"/>
  <c r="R1524" i="12"/>
  <c r="S1524" i="12" s="1"/>
  <c r="U1524" i="12"/>
  <c r="N1525" i="12" a="1"/>
  <c r="N1525" i="12" s="1"/>
  <c r="P1525" i="12"/>
  <c r="Q1525" i="12" s="1" a="1"/>
  <c r="Q1525" i="12" s="1"/>
  <c r="R1525" i="12"/>
  <c r="S1525" i="12" s="1"/>
  <c r="U1525" i="12"/>
  <c r="N1526" i="12" a="1"/>
  <c r="N1526" i="12" s="1"/>
  <c r="P1526" i="12"/>
  <c r="Q1526" i="12" s="1" a="1"/>
  <c r="Q1526" i="12" s="1"/>
  <c r="R1526" i="12"/>
  <c r="S1526" i="12" s="1"/>
  <c r="U1526" i="12"/>
  <c r="N1527" i="12" a="1"/>
  <c r="N1527" i="12" s="1"/>
  <c r="P1527" i="12"/>
  <c r="Q1527" i="12" s="1" a="1"/>
  <c r="Q1527" i="12" s="1"/>
  <c r="R1527" i="12"/>
  <c r="S1527" i="12" s="1"/>
  <c r="U1527" i="12"/>
  <c r="N1528" i="12" a="1"/>
  <c r="N1528" i="12" s="1"/>
  <c r="P1528" i="12"/>
  <c r="Q1528" i="12" s="1" a="1"/>
  <c r="Q1528" i="12" s="1"/>
  <c r="R1528" i="12"/>
  <c r="S1528" i="12" s="1"/>
  <c r="U1528" i="12"/>
  <c r="N1529" i="12" a="1"/>
  <c r="N1529" i="12" s="1"/>
  <c r="P1529" i="12"/>
  <c r="Q1529" i="12" s="1" a="1"/>
  <c r="Q1529" i="12" s="1"/>
  <c r="R1529" i="12"/>
  <c r="S1529" i="12" s="1"/>
  <c r="U1529" i="12"/>
  <c r="N1530" i="12" a="1"/>
  <c r="N1530" i="12" s="1"/>
  <c r="P1530" i="12"/>
  <c r="Q1530" i="12" s="1" a="1"/>
  <c r="Q1530" i="12" s="1"/>
  <c r="R1530" i="12"/>
  <c r="S1530" i="12" s="1"/>
  <c r="U1530" i="12"/>
  <c r="N1531" i="12" a="1"/>
  <c r="N1531" i="12" s="1"/>
  <c r="P1531" i="12"/>
  <c r="Q1531" i="12" s="1" a="1"/>
  <c r="Q1531" i="12" s="1"/>
  <c r="R1531" i="12"/>
  <c r="S1531" i="12" s="1"/>
  <c r="U1531" i="12"/>
  <c r="N1532" i="12" a="1"/>
  <c r="N1532" i="12" s="1"/>
  <c r="P1532" i="12"/>
  <c r="Q1532" i="12" s="1" a="1"/>
  <c r="Q1532" i="12" s="1"/>
  <c r="R1532" i="12"/>
  <c r="S1532" i="12" s="1"/>
  <c r="U1532" i="12"/>
  <c r="U223" i="12"/>
  <c r="P227" i="12"/>
  <c r="P223" i="12"/>
  <c r="Q223" i="12" s="1" a="1"/>
  <c r="Q223" i="12" s="1"/>
  <c r="R223" i="12"/>
  <c r="S223" i="12" s="1"/>
  <c r="N223" i="12" a="1"/>
  <c r="N223" i="12" s="1"/>
  <c r="U222" i="12"/>
  <c r="R222" i="12"/>
  <c r="S222" i="12" s="1"/>
  <c r="P222" i="12"/>
  <c r="Q222" i="12" s="1" a="1"/>
  <c r="Q222" i="12" s="1"/>
  <c r="N222" i="12" a="1"/>
  <c r="N222" i="12" s="1"/>
  <c r="P225" i="12"/>
  <c r="Q225" i="12" s="1" a="1"/>
  <c r="Q225" i="12" s="1"/>
  <c r="N225" i="12" a="1"/>
  <c r="N225" i="12" s="1"/>
  <c r="R225" i="12"/>
  <c r="S225" i="12" s="1"/>
  <c r="U225" i="12"/>
  <c r="N229" i="12" a="1"/>
  <c r="N229" i="12" s="1"/>
  <c r="U226" i="12"/>
  <c r="R226" i="12"/>
  <c r="S226" i="12" s="1"/>
  <c r="P226" i="12"/>
  <c r="Q226" i="12" s="1" a="1"/>
  <c r="Q226" i="12" s="1"/>
  <c r="N226" i="12" a="1"/>
  <c r="N226" i="12" s="1"/>
  <c r="P221" i="12"/>
  <c r="Q221" i="12" s="1" a="1"/>
  <c r="Q221" i="12" s="1"/>
  <c r="N221" i="12" a="1"/>
  <c r="N221" i="12" s="1"/>
  <c r="R221" i="12"/>
  <c r="S221" i="12" s="1"/>
  <c r="U221" i="12"/>
  <c r="U213" i="12" l="1"/>
  <c r="U211" i="12"/>
  <c r="U212" i="12"/>
  <c r="P208" i="12" l="1"/>
  <c r="Q208" i="12" s="1" a="1"/>
  <c r="Q208" i="12" s="1"/>
  <c r="N208" i="12" a="1"/>
  <c r="N208" i="12" s="1"/>
  <c r="R208" i="12"/>
  <c r="S208" i="12" s="1"/>
  <c r="U208" i="12"/>
  <c r="P206" i="12" l="1"/>
  <c r="Q206" i="12" s="1" a="1"/>
  <c r="Q206" i="12" s="1"/>
  <c r="N206" i="12" a="1"/>
  <c r="N206" i="12" s="1"/>
  <c r="R206" i="12"/>
  <c r="S206" i="12" s="1"/>
  <c r="U206" i="12"/>
  <c r="P205" i="12" l="1"/>
  <c r="Q205" i="12" s="1" a="1"/>
  <c r="Q205" i="12" s="1"/>
  <c r="N205" i="12" a="1"/>
  <c r="N205" i="12" s="1"/>
  <c r="R205" i="12"/>
  <c r="S205" i="12" s="1"/>
  <c r="U205" i="12"/>
  <c r="N210" i="12" a="1"/>
  <c r="N210" i="12" s="1"/>
  <c r="P210" i="12"/>
  <c r="Q210" i="12" s="1" a="1"/>
  <c r="Q210" i="12" s="1"/>
  <c r="R210" i="12"/>
  <c r="S210" i="12" s="1"/>
  <c r="U210" i="12"/>
  <c r="N207" i="12" a="1"/>
  <c r="N207" i="12" s="1"/>
  <c r="P207" i="12"/>
  <c r="Q207" i="12" s="1" a="1"/>
  <c r="Q207" i="12" s="1"/>
  <c r="R207" i="12"/>
  <c r="S207" i="12" s="1"/>
  <c r="U207" i="12"/>
  <c r="N209" i="12" a="1"/>
  <c r="N209" i="12" s="1"/>
  <c r="P209" i="12"/>
  <c r="Q209" i="12" s="1" a="1"/>
  <c r="Q209" i="12" s="1"/>
  <c r="R209" i="12"/>
  <c r="S209" i="12" s="1"/>
  <c r="U209" i="12"/>
  <c r="N213" i="12" a="1"/>
  <c r="N213" i="12" s="1"/>
  <c r="P213" i="12"/>
  <c r="Q213" i="12" s="1" a="1"/>
  <c r="Q213" i="12" s="1"/>
  <c r="R213" i="12"/>
  <c r="S213" i="12" s="1"/>
  <c r="N211" i="12" a="1"/>
  <c r="N211" i="12" s="1"/>
  <c r="P211" i="12"/>
  <c r="Q211" i="12" s="1" a="1"/>
  <c r="Q211" i="12" s="1"/>
  <c r="R211" i="12"/>
  <c r="S211" i="12" s="1"/>
  <c r="N212" i="12" a="1"/>
  <c r="N212" i="12" s="1"/>
  <c r="P212" i="12"/>
  <c r="Q212" i="12" s="1" a="1"/>
  <c r="Q212" i="12" s="1"/>
  <c r="R212" i="12"/>
  <c r="S212" i="12" s="1"/>
  <c r="N214" i="12" a="1"/>
  <c r="N214" i="12" s="1"/>
  <c r="P214" i="12"/>
  <c r="Q214" i="12" s="1" a="1"/>
  <c r="Q214" i="12" s="1"/>
  <c r="R214" i="12"/>
  <c r="S214" i="12" s="1"/>
  <c r="U214" i="12"/>
  <c r="N215" i="12" a="1"/>
  <c r="N215" i="12" s="1"/>
  <c r="P215" i="12"/>
  <c r="Q215" i="12" s="1" a="1"/>
  <c r="Q215" i="12" s="1"/>
  <c r="R215" i="12"/>
  <c r="S215" i="12" s="1"/>
  <c r="U215" i="12"/>
  <c r="N216" i="12" a="1"/>
  <c r="N216" i="12" s="1"/>
  <c r="P216" i="12"/>
  <c r="Q216" i="12" s="1" a="1"/>
  <c r="Q216" i="12" s="1"/>
  <c r="R216" i="12"/>
  <c r="S216" i="12" s="1"/>
  <c r="U216" i="12"/>
  <c r="N227" i="12" a="1"/>
  <c r="N227" i="12" s="1"/>
  <c r="Q227" i="12" a="1"/>
  <c r="Q227" i="12" s="1"/>
  <c r="S227" i="12"/>
  <c r="U227" i="12"/>
  <c r="N217" i="12" a="1"/>
  <c r="N217" i="12" s="1"/>
  <c r="P217" i="12"/>
  <c r="Q217" i="12" s="1" a="1"/>
  <c r="Q217" i="12" s="1"/>
  <c r="R217" i="12"/>
  <c r="S217" i="12" s="1"/>
  <c r="U217" i="12"/>
  <c r="N218" i="12" a="1"/>
  <c r="N218" i="12" s="1"/>
  <c r="P218" i="12"/>
  <c r="Q218" i="12" s="1" a="1"/>
  <c r="Q218" i="12" s="1"/>
  <c r="R218" i="12"/>
  <c r="S218" i="12" s="1"/>
  <c r="U218" i="12"/>
  <c r="N219" i="12" a="1"/>
  <c r="N219" i="12" s="1"/>
  <c r="P219" i="12"/>
  <c r="Q219" i="12" s="1" a="1"/>
  <c r="Q219" i="12" s="1"/>
  <c r="R219" i="12"/>
  <c r="S219" i="12" s="1"/>
  <c r="U219" i="12"/>
  <c r="N220" i="12" a="1"/>
  <c r="N220" i="12" s="1"/>
  <c r="P220" i="12"/>
  <c r="Q220" i="12" s="1" a="1"/>
  <c r="Q220" i="12" s="1"/>
  <c r="R220" i="12"/>
  <c r="S220" i="12" s="1"/>
  <c r="U220" i="12"/>
  <c r="N224" i="12" a="1"/>
  <c r="N224" i="12" s="1"/>
  <c r="P224" i="12"/>
  <c r="Q224" i="12" s="1" a="1"/>
  <c r="Q224" i="12" s="1"/>
  <c r="R224" i="12"/>
  <c r="S224" i="12" s="1"/>
  <c r="U224" i="12"/>
  <c r="P229" i="12"/>
  <c r="Q229" i="12" s="1" a="1"/>
  <c r="Q229" i="12" s="1"/>
  <c r="S229" i="12"/>
  <c r="U229" i="12"/>
  <c r="N228" i="12" a="1"/>
  <c r="N228" i="12" s="1"/>
  <c r="P228" i="12"/>
  <c r="Q228" i="12" s="1" a="1"/>
  <c r="Q228" i="12" s="1"/>
  <c r="S228" i="12"/>
  <c r="U228" i="12"/>
  <c r="N231" i="12" a="1"/>
  <c r="N231" i="12" s="1"/>
  <c r="P231" i="12"/>
  <c r="Q231" i="12" s="1" a="1"/>
  <c r="Q231" i="12" s="1"/>
  <c r="S231" i="12"/>
  <c r="U231" i="12"/>
  <c r="N230" i="12" a="1"/>
  <c r="N230" i="12" s="1"/>
  <c r="P230" i="12"/>
  <c r="Q230" i="12" s="1" a="1"/>
  <c r="Q230" i="12" s="1"/>
  <c r="R230" i="12"/>
  <c r="S230" i="12" s="1"/>
  <c r="U230" i="12"/>
  <c r="N262" i="12" a="1"/>
  <c r="N262" i="12" s="1"/>
  <c r="P262" i="12"/>
  <c r="Q262" i="12" s="1" a="1"/>
  <c r="Q262" i="12" s="1"/>
  <c r="R262" i="12"/>
  <c r="S262" i="12" s="1"/>
  <c r="N257" i="12" a="1"/>
  <c r="N257" i="12" s="1"/>
  <c r="P257" i="12"/>
  <c r="Q257" i="12" s="1" a="1"/>
  <c r="Q257" i="12" s="1"/>
  <c r="R257" i="12"/>
  <c r="S257" i="12" s="1"/>
  <c r="N258" i="12" a="1"/>
  <c r="N258" i="12" s="1"/>
  <c r="P258" i="12"/>
  <c r="Q258" i="12" s="1" a="1"/>
  <c r="Q258" i="12" s="1"/>
  <c r="R258" i="12"/>
  <c r="S258" i="12" s="1"/>
  <c r="U258" i="12"/>
  <c r="U266" i="12"/>
  <c r="N275" i="12" a="1"/>
  <c r="N275" i="12" s="1"/>
  <c r="P275" i="12"/>
  <c r="Q275" i="12" s="1" a="1"/>
  <c r="Q275" i="12" s="1"/>
  <c r="R275" i="12"/>
  <c r="S275" i="12" s="1"/>
  <c r="U275" i="12"/>
  <c r="N269" i="12" a="1"/>
  <c r="N269" i="12" s="1"/>
  <c r="P269" i="12"/>
  <c r="Q269" i="12" s="1" a="1"/>
  <c r="Q269" i="12" s="1"/>
  <c r="R269" i="12"/>
  <c r="S269" i="12" s="1"/>
  <c r="U269" i="12"/>
  <c r="N270" i="12" a="1"/>
  <c r="N270" i="12" s="1"/>
  <c r="P270" i="12"/>
  <c r="Q270" i="12" s="1" a="1"/>
  <c r="Q270" i="12" s="1"/>
  <c r="R270" i="12"/>
  <c r="S270" i="12" s="1"/>
  <c r="U270" i="12"/>
  <c r="N271" i="12" a="1"/>
  <c r="N271" i="12" s="1"/>
  <c r="P271" i="12"/>
  <c r="Q271" i="12" s="1" a="1"/>
  <c r="Q271" i="12" s="1"/>
  <c r="R271" i="12"/>
  <c r="S271" i="12" s="1"/>
  <c r="U271" i="12"/>
  <c r="N268" i="12" a="1"/>
  <c r="N268" i="12" s="1"/>
  <c r="P268" i="12"/>
  <c r="Q268" i="12" s="1" a="1"/>
  <c r="Q268" i="12" s="1"/>
  <c r="R268" i="12"/>
  <c r="S268" i="12" s="1"/>
  <c r="U268" i="12"/>
  <c r="N272" i="12" a="1"/>
  <c r="N272" i="12" s="1"/>
  <c r="P272" i="12"/>
  <c r="Q272" i="12" s="1" a="1"/>
  <c r="Q272" i="12" s="1"/>
  <c r="R272" i="12"/>
  <c r="S272" i="12" s="1"/>
  <c r="U272" i="12"/>
  <c r="N274" i="12" a="1"/>
  <c r="N274" i="12" s="1"/>
  <c r="P274" i="12"/>
  <c r="Q274" i="12" s="1" a="1"/>
  <c r="Q274" i="12" s="1"/>
  <c r="R274" i="12"/>
  <c r="S274" i="12" s="1"/>
  <c r="U274" i="12"/>
  <c r="N276" i="12" a="1"/>
  <c r="N276" i="12" s="1"/>
  <c r="P276" i="12"/>
  <c r="Q276" i="12" s="1" a="1"/>
  <c r="Q276" i="12" s="1"/>
  <c r="R276" i="12"/>
  <c r="S276" i="12" s="1"/>
  <c r="U276" i="12"/>
  <c r="N277" i="12" a="1"/>
  <c r="N277" i="12" s="1"/>
  <c r="P277" i="12"/>
  <c r="Q277" i="12" s="1" a="1"/>
  <c r="Q277" i="12" s="1"/>
  <c r="R277" i="12"/>
  <c r="S277" i="12" s="1"/>
  <c r="U277" i="12"/>
  <c r="N278" i="12" a="1"/>
  <c r="N278" i="12" s="1"/>
  <c r="P278" i="12"/>
  <c r="Q278" i="12" s="1" a="1"/>
  <c r="Q278" i="12" s="1"/>
  <c r="R278" i="12"/>
  <c r="S278" i="12" s="1"/>
  <c r="U278" i="12"/>
  <c r="N279" i="12" a="1"/>
  <c r="N279" i="12" s="1"/>
  <c r="P279" i="12"/>
  <c r="Q279" i="12" s="1" a="1"/>
  <c r="Q279" i="12" s="1"/>
  <c r="R279" i="12"/>
  <c r="S279" i="12" s="1"/>
  <c r="U279" i="12"/>
  <c r="N280" i="12" a="1"/>
  <c r="N280" i="12" s="1"/>
  <c r="P280" i="12"/>
  <c r="Q280" i="12" s="1" a="1"/>
  <c r="Q280" i="12" s="1"/>
  <c r="R280" i="12"/>
  <c r="S280" i="12" s="1"/>
  <c r="U280" i="12"/>
  <c r="N282" i="12" a="1"/>
  <c r="N282" i="12" s="1"/>
  <c r="P282" i="12"/>
  <c r="Q282" i="12" s="1" a="1"/>
  <c r="Q282" i="12" s="1"/>
  <c r="R282" i="12"/>
  <c r="S282" i="12" s="1"/>
  <c r="U282" i="12"/>
  <c r="N284" i="12" a="1"/>
  <c r="N284" i="12" s="1"/>
  <c r="P284" i="12"/>
  <c r="Q284" i="12" s="1" a="1"/>
  <c r="Q284" i="12" s="1"/>
  <c r="R284" i="12"/>
  <c r="S284" i="12" s="1"/>
  <c r="U284" i="12"/>
  <c r="P285" i="12"/>
  <c r="Q285" i="12" s="1" a="1"/>
  <c r="Q285" i="12" s="1"/>
  <c r="R285" i="12"/>
  <c r="S285" i="12" s="1"/>
  <c r="U285" i="12"/>
  <c r="P286" i="12"/>
  <c r="Q286" i="12" s="1" a="1"/>
  <c r="Q286" i="12" s="1"/>
  <c r="R286" i="12"/>
  <c r="S286" i="12" s="1"/>
  <c r="U286" i="12"/>
  <c r="N288" i="12" a="1"/>
  <c r="N288" i="12" s="1"/>
  <c r="P288" i="12"/>
  <c r="Q288" i="12" s="1" a="1"/>
  <c r="Q288" i="12" s="1"/>
  <c r="R288" i="12"/>
  <c r="S288" i="12" s="1"/>
  <c r="U288" i="12"/>
  <c r="N289" i="12" a="1"/>
  <c r="N289" i="12" s="1"/>
  <c r="P289" i="12"/>
  <c r="Q289" i="12" s="1" a="1"/>
  <c r="Q289" i="12" s="1"/>
  <c r="R289" i="12"/>
  <c r="S289" i="12" s="1"/>
  <c r="U289" i="12"/>
  <c r="N290" i="12" a="1"/>
  <c r="N290" i="12" s="1"/>
  <c r="P290" i="12"/>
  <c r="Q290" i="12" s="1" a="1"/>
  <c r="Q290" i="12" s="1"/>
  <c r="R290" i="12"/>
  <c r="S290" i="12" s="1"/>
  <c r="U290" i="12"/>
  <c r="N291" i="12" a="1"/>
  <c r="N291" i="12" s="1"/>
  <c r="P291" i="12"/>
  <c r="Q291" i="12" s="1" a="1"/>
  <c r="Q291" i="12" s="1"/>
  <c r="R291" i="12"/>
  <c r="S291" i="12" s="1"/>
  <c r="U291" i="12"/>
  <c r="N292" i="12" a="1"/>
  <c r="N292" i="12" s="1"/>
  <c r="P292" i="12"/>
  <c r="Q292" i="12" s="1" a="1"/>
  <c r="Q292" i="12" s="1"/>
  <c r="R292" i="12"/>
  <c r="S292" i="12" s="1"/>
  <c r="U292" i="12"/>
  <c r="N293" i="12" a="1"/>
  <c r="N293" i="12" s="1"/>
  <c r="P293" i="12"/>
  <c r="Q293" i="12" s="1" a="1"/>
  <c r="Q293" i="12" s="1"/>
  <c r="R293" i="12"/>
  <c r="S293" i="12" s="1"/>
  <c r="U293" i="12"/>
  <c r="N294" i="12" a="1"/>
  <c r="N294" i="12" s="1"/>
  <c r="P294" i="12"/>
  <c r="Q294" i="12" s="1" a="1"/>
  <c r="Q294" i="12" s="1"/>
  <c r="R294" i="12"/>
  <c r="S294" i="12" s="1"/>
  <c r="U294" i="12"/>
  <c r="N295" i="12" a="1"/>
  <c r="N295" i="12" s="1"/>
  <c r="P295" i="12"/>
  <c r="Q295" i="12" s="1" a="1"/>
  <c r="Q295" i="12" s="1"/>
  <c r="R295" i="12"/>
  <c r="S295" i="12" s="1"/>
  <c r="U295" i="12"/>
  <c r="N296" i="12" a="1"/>
  <c r="N296" i="12" s="1"/>
  <c r="P296" i="12"/>
  <c r="Q296" i="12" s="1" a="1"/>
  <c r="Q296" i="12" s="1"/>
  <c r="R296" i="12"/>
  <c r="S296" i="12" s="1"/>
  <c r="U296" i="12"/>
  <c r="N305" i="12" a="1"/>
  <c r="N305" i="12" s="1"/>
  <c r="P305" i="12"/>
  <c r="Q305" i="12" s="1" a="1"/>
  <c r="Q305" i="12" s="1"/>
  <c r="R305" i="12"/>
  <c r="S305" i="12" s="1"/>
  <c r="U305" i="12"/>
  <c r="N297" i="12" a="1"/>
  <c r="N297" i="12" s="1"/>
  <c r="P297" i="12"/>
  <c r="Q297" i="12" s="1" a="1"/>
  <c r="Q297" i="12" s="1"/>
  <c r="R297" i="12"/>
  <c r="S297" i="12" s="1"/>
  <c r="U297" i="12"/>
  <c r="N298" i="12" a="1"/>
  <c r="N298" i="12" s="1"/>
  <c r="P298" i="12"/>
  <c r="Q298" i="12" s="1" a="1"/>
  <c r="Q298" i="12" s="1"/>
  <c r="R298" i="12"/>
  <c r="S298" i="12" s="1"/>
  <c r="U298" i="12"/>
  <c r="N299" i="12" a="1"/>
  <c r="N299" i="12" s="1"/>
  <c r="P299" i="12"/>
  <c r="Q299" i="12" s="1" a="1"/>
  <c r="Q299" i="12" s="1"/>
  <c r="R299" i="12"/>
  <c r="S299" i="12" s="1"/>
  <c r="U299" i="12"/>
  <c r="N300" i="12" a="1"/>
  <c r="N300" i="12" s="1"/>
  <c r="P300" i="12"/>
  <c r="Q300" i="12" s="1" a="1"/>
  <c r="Q300" i="12" s="1"/>
  <c r="R300" i="12"/>
  <c r="S300" i="12" s="1"/>
  <c r="U300" i="12"/>
  <c r="P306" i="12"/>
  <c r="Q306" i="12" s="1" a="1"/>
  <c r="Q306" i="12" s="1"/>
  <c r="S306" i="12"/>
  <c r="U306" i="12"/>
  <c r="N307" i="12" a="1"/>
  <c r="N307" i="12" s="1"/>
  <c r="P307" i="12"/>
  <c r="Q307" i="12" s="1" a="1"/>
  <c r="Q307" i="12" s="1"/>
  <c r="R307" i="12"/>
  <c r="S307" i="12" s="1"/>
  <c r="U307" i="12"/>
  <c r="N301" i="12" a="1"/>
  <c r="N301" i="12" s="1"/>
  <c r="P301" i="12"/>
  <c r="Q301" i="12" s="1" a="1"/>
  <c r="Q301" i="12" s="1"/>
  <c r="R301" i="12"/>
  <c r="S301" i="12" s="1"/>
  <c r="U301" i="12"/>
  <c r="N302" i="12" a="1"/>
  <c r="N302" i="12" s="1"/>
  <c r="P302" i="12"/>
  <c r="Q302" i="12" s="1" a="1"/>
  <c r="Q302" i="12" s="1"/>
  <c r="R302" i="12"/>
  <c r="S302" i="12" s="1"/>
  <c r="U302" i="12"/>
  <c r="N303" i="12" a="1"/>
  <c r="N303" i="12" s="1"/>
  <c r="P303" i="12"/>
  <c r="Q303" i="12" s="1" a="1"/>
  <c r="Q303" i="12" s="1"/>
  <c r="R303" i="12"/>
  <c r="S303" i="12" s="1"/>
  <c r="U303" i="12"/>
  <c r="N304" i="12" a="1"/>
  <c r="N304" i="12" s="1"/>
  <c r="P304" i="12"/>
  <c r="Q304" i="12" s="1" a="1"/>
  <c r="Q304" i="12" s="1"/>
  <c r="R304" i="12"/>
  <c r="S304" i="12" s="1"/>
  <c r="U304" i="12"/>
  <c r="N309" i="12" a="1"/>
  <c r="N309" i="12" s="1"/>
  <c r="P309" i="12"/>
  <c r="Q309" i="12" s="1" a="1"/>
  <c r="Q309" i="12" s="1"/>
  <c r="R309" i="12"/>
  <c r="S309" i="12" s="1"/>
  <c r="U309" i="12"/>
  <c r="N311" i="12" a="1"/>
  <c r="N311" i="12" s="1"/>
  <c r="P311" i="12"/>
  <c r="Q311" i="12" s="1" a="1"/>
  <c r="Q311" i="12" s="1"/>
  <c r="R311" i="12"/>
  <c r="S311" i="12" s="1"/>
  <c r="U311" i="12"/>
  <c r="N318" i="12" a="1"/>
  <c r="N318" i="12" s="1"/>
  <c r="P318" i="12"/>
  <c r="Q318" i="12" s="1" a="1"/>
  <c r="Q318" i="12" s="1"/>
  <c r="R318" i="12"/>
  <c r="S318" i="12" s="1"/>
  <c r="U318" i="12"/>
  <c r="N319" i="12" a="1"/>
  <c r="N319" i="12" s="1"/>
  <c r="P319" i="12"/>
  <c r="Q319" i="12" s="1" a="1"/>
  <c r="Q319" i="12" s="1"/>
  <c r="R319" i="12"/>
  <c r="S319" i="12" s="1"/>
  <c r="U319" i="12"/>
  <c r="N312" i="12" a="1"/>
  <c r="N312" i="12" s="1"/>
  <c r="P312" i="12"/>
  <c r="Q312" i="12" s="1" a="1"/>
  <c r="Q312" i="12" s="1"/>
  <c r="R312" i="12"/>
  <c r="S312" i="12" s="1"/>
  <c r="U312" i="12"/>
  <c r="U315" i="12"/>
  <c r="U320" i="12"/>
  <c r="U316" i="12"/>
  <c r="U317" i="12"/>
  <c r="N321" i="12" a="1"/>
  <c r="N321" i="12" s="1"/>
  <c r="P321" i="12"/>
  <c r="Q321" i="12" s="1" a="1"/>
  <c r="Q321" i="12" s="1"/>
  <c r="R321" i="12"/>
  <c r="S321" i="12" s="1"/>
  <c r="U321" i="12"/>
  <c r="N322" i="12" a="1"/>
  <c r="N322" i="12" s="1"/>
  <c r="P322" i="12"/>
  <c r="Q322" i="12" s="1" a="1"/>
  <c r="Q322" i="12" s="1"/>
  <c r="R322" i="12"/>
  <c r="S322" i="12" s="1"/>
  <c r="U322" i="12"/>
  <c r="N323" i="12" a="1"/>
  <c r="N323" i="12" s="1"/>
  <c r="P323" i="12"/>
  <c r="Q323" i="12" s="1" a="1"/>
  <c r="Q323" i="12" s="1"/>
  <c r="R323" i="12"/>
  <c r="S323" i="12" s="1"/>
  <c r="U323" i="12"/>
  <c r="N324" i="12" a="1"/>
  <c r="N324" i="12" s="1"/>
  <c r="P324" i="12"/>
  <c r="Q324" i="12" s="1" a="1"/>
  <c r="Q324" i="12" s="1"/>
  <c r="R324" i="12"/>
  <c r="S324" i="12" s="1"/>
  <c r="U324" i="12"/>
  <c r="N325" i="12" a="1"/>
  <c r="N325" i="12" s="1"/>
  <c r="Q325" i="12" a="1"/>
  <c r="Q325" i="12" s="1"/>
  <c r="R325" i="12"/>
  <c r="S325" i="12" s="1"/>
  <c r="U325" i="12"/>
  <c r="N332" i="12" a="1"/>
  <c r="N332" i="12" s="1"/>
  <c r="P332" i="12"/>
  <c r="Q332" i="12" s="1" a="1"/>
  <c r="Q332" i="12" s="1"/>
  <c r="R332" i="12"/>
  <c r="S332" i="12" s="1"/>
  <c r="N333" i="12" a="1"/>
  <c r="N333" i="12" s="1"/>
  <c r="P333" i="12"/>
  <c r="Q333" i="12" s="1" a="1"/>
  <c r="Q333" i="12" s="1"/>
  <c r="R333" i="12"/>
  <c r="S333" i="12" s="1"/>
  <c r="U333" i="12"/>
  <c r="N329" i="12" a="1"/>
  <c r="N329" i="12" s="1"/>
  <c r="P329" i="12"/>
  <c r="Q329" i="12" s="1" a="1"/>
  <c r="Q329" i="12" s="1"/>
  <c r="R329" i="12"/>
  <c r="S329" i="12" s="1"/>
  <c r="U329" i="12"/>
  <c r="N339" i="12" a="1"/>
  <c r="N339" i="12" s="1"/>
  <c r="P339" i="12"/>
  <c r="Q339" i="12" s="1" a="1"/>
  <c r="Q339" i="12" s="1"/>
  <c r="R339" i="12"/>
  <c r="S339" i="12" s="1"/>
  <c r="U339" i="12"/>
  <c r="N340" i="12" a="1"/>
  <c r="N340" i="12" s="1"/>
  <c r="P340" i="12"/>
  <c r="Q340" i="12" s="1" a="1"/>
  <c r="Q340" i="12" s="1"/>
  <c r="R340" i="12"/>
  <c r="S340" i="12" s="1"/>
  <c r="U340" i="12"/>
  <c r="N341" i="12" a="1"/>
  <c r="N341" i="12" s="1"/>
  <c r="P341" i="12"/>
  <c r="Q341" i="12" s="1" a="1"/>
  <c r="Q341" i="12" s="1"/>
  <c r="R341" i="12"/>
  <c r="S341" i="12" s="1"/>
  <c r="U341" i="12"/>
  <c r="N330" i="12" a="1"/>
  <c r="N330" i="12" s="1"/>
  <c r="P330" i="12"/>
  <c r="Q330" i="12" s="1" a="1"/>
  <c r="Q330" i="12" s="1"/>
  <c r="R330" i="12"/>
  <c r="S330" i="12" s="1"/>
  <c r="U330" i="12"/>
  <c r="N335" i="12" a="1"/>
  <c r="N335" i="12" s="1"/>
  <c r="P335" i="12"/>
  <c r="Q335" i="12" s="1" a="1"/>
  <c r="Q335" i="12" s="1"/>
  <c r="R335" i="12"/>
  <c r="S335" i="12" s="1"/>
  <c r="U335" i="12"/>
  <c r="N336" i="12" a="1"/>
  <c r="N336" i="12" s="1"/>
  <c r="P336" i="12"/>
  <c r="Q336" i="12" s="1" a="1"/>
  <c r="Q336" i="12" s="1"/>
  <c r="R336" i="12"/>
  <c r="S336" i="12" s="1"/>
  <c r="U336" i="12"/>
  <c r="N337" i="12" a="1"/>
  <c r="N337" i="12" s="1"/>
  <c r="P337" i="12"/>
  <c r="Q337" i="12" s="1" a="1"/>
  <c r="Q337" i="12" s="1"/>
  <c r="R337" i="12"/>
  <c r="S337" i="12" s="1"/>
  <c r="U337" i="12"/>
  <c r="N338" i="12" a="1"/>
  <c r="N338" i="12" s="1"/>
  <c r="P338" i="12"/>
  <c r="Q338" i="12" s="1" a="1"/>
  <c r="Q338" i="12" s="1"/>
  <c r="R338" i="12"/>
  <c r="S338" i="12" s="1"/>
  <c r="U338" i="12"/>
  <c r="Q351" i="12" a="1"/>
  <c r="Q351" i="12" s="1"/>
  <c r="S351" i="12"/>
  <c r="N342" i="12" a="1"/>
  <c r="N342" i="12" s="1"/>
  <c r="P342" i="12"/>
  <c r="Q342" i="12" s="1" a="1"/>
  <c r="Q342" i="12" s="1"/>
  <c r="R342" i="12"/>
  <c r="S342" i="12" s="1"/>
  <c r="U342" i="12"/>
  <c r="N343" i="12" a="1"/>
  <c r="N343" i="12" s="1"/>
  <c r="P343" i="12"/>
  <c r="Q343" i="12" s="1" a="1"/>
  <c r="Q343" i="12" s="1"/>
  <c r="R343" i="12"/>
  <c r="S343" i="12" s="1"/>
  <c r="U343" i="12"/>
  <c r="N344" i="12" a="1"/>
  <c r="N344" i="12" s="1"/>
  <c r="P344" i="12"/>
  <c r="Q344" i="12" s="1" a="1"/>
  <c r="Q344" i="12" s="1"/>
  <c r="R344" i="12"/>
  <c r="S344" i="12" s="1"/>
  <c r="U344" i="12"/>
  <c r="N345" i="12" a="1"/>
  <c r="N345" i="12" s="1"/>
  <c r="P345" i="12"/>
  <c r="Q345" i="12" s="1" a="1"/>
  <c r="Q345" i="12" s="1"/>
  <c r="R345" i="12"/>
  <c r="S345" i="12" s="1"/>
  <c r="U345" i="12"/>
  <c r="N354" i="12" a="1"/>
  <c r="N354" i="12" s="1"/>
  <c r="P354" i="12"/>
  <c r="Q354" i="12" s="1" a="1"/>
  <c r="Q354" i="12" s="1"/>
  <c r="R354" i="12"/>
  <c r="S354" i="12" s="1"/>
  <c r="N355" i="12" a="1"/>
  <c r="N355" i="12" s="1"/>
  <c r="P355" i="12"/>
  <c r="Q355" i="12" s="1" a="1"/>
  <c r="Q355" i="12" s="1"/>
  <c r="R355" i="12"/>
  <c r="S355" i="12" s="1"/>
  <c r="N358" i="12" a="1"/>
  <c r="N358" i="12" s="1"/>
  <c r="P358" i="12"/>
  <c r="Q358" i="12" s="1" a="1"/>
  <c r="Q358" i="12" s="1"/>
  <c r="R358" i="12"/>
  <c r="S358" i="12" s="1"/>
  <c r="N359" i="12" a="1"/>
  <c r="N359" i="12" s="1"/>
  <c r="P359" i="12"/>
  <c r="Q359" i="12" s="1" a="1"/>
  <c r="Q359" i="12" s="1"/>
  <c r="R359" i="12"/>
  <c r="S359" i="12" s="1"/>
  <c r="N353" i="12" a="1"/>
  <c r="N353" i="12" s="1"/>
  <c r="P353" i="12"/>
  <c r="Q353" i="12" s="1" a="1"/>
  <c r="Q353" i="12" s="1"/>
  <c r="R353" i="12"/>
  <c r="S353" i="12" s="1"/>
  <c r="N373" i="12" a="1"/>
  <c r="N373" i="12" s="1"/>
  <c r="P373" i="12"/>
  <c r="Q373" i="12" s="1" a="1"/>
  <c r="Q373" i="12" s="1"/>
  <c r="R373" i="12"/>
  <c r="S373" i="12" s="1"/>
  <c r="U373" i="12"/>
  <c r="N361" i="12" a="1"/>
  <c r="N361" i="12" s="1"/>
  <c r="P361" i="12"/>
  <c r="Q361" i="12" s="1" a="1"/>
  <c r="Q361" i="12" s="1"/>
  <c r="R361" i="12"/>
  <c r="S361" i="12" s="1"/>
  <c r="U361" i="12"/>
  <c r="N379" i="12" a="1"/>
  <c r="N379" i="12" s="1"/>
  <c r="P379" i="12"/>
  <c r="Q379" i="12" s="1" a="1"/>
  <c r="Q379" i="12" s="1"/>
  <c r="R379" i="12"/>
  <c r="S379" i="12" s="1"/>
  <c r="U379" i="12"/>
  <c r="P386" i="12"/>
  <c r="Q386" i="12" s="1" a="1"/>
  <c r="Q386" i="12" s="1"/>
  <c r="U386" i="12"/>
  <c r="N380" i="12" a="1"/>
  <c r="N380" i="12" s="1"/>
  <c r="P380" i="12"/>
  <c r="Q380" i="12" s="1" a="1"/>
  <c r="Q380" i="12" s="1"/>
  <c r="R380" i="12"/>
  <c r="S380" i="12" s="1"/>
  <c r="U380" i="12"/>
  <c r="N364" i="12" a="1"/>
  <c r="N364" i="12" s="1"/>
  <c r="P364" i="12"/>
  <c r="Q364" i="12" s="1" a="1"/>
  <c r="Q364" i="12" s="1"/>
  <c r="S364" i="12"/>
  <c r="U364" i="12"/>
  <c r="N362" i="12" a="1"/>
  <c r="N362" i="12" s="1"/>
  <c r="P362" i="12"/>
  <c r="Q362" i="12" s="1" a="1"/>
  <c r="Q362" i="12" s="1"/>
  <c r="R362" i="12"/>
  <c r="S362" i="12" s="1"/>
  <c r="U362" i="12"/>
  <c r="N363" i="12" a="1"/>
  <c r="N363" i="12" s="1"/>
  <c r="P363" i="12"/>
  <c r="Q363" i="12" s="1" a="1"/>
  <c r="Q363" i="12" s="1"/>
  <c r="R363" i="12"/>
  <c r="S363" i="12" s="1"/>
  <c r="U363" i="12"/>
  <c r="N365" i="12" a="1"/>
  <c r="N365" i="12" s="1"/>
  <c r="P365" i="12"/>
  <c r="Q365" i="12" s="1" a="1"/>
  <c r="Q365" i="12" s="1"/>
  <c r="R365" i="12"/>
  <c r="S365" i="12" s="1"/>
  <c r="U365" i="12"/>
  <c r="N368" i="12" a="1"/>
  <c r="N368" i="12" s="1"/>
  <c r="P368" i="12"/>
  <c r="Q368" i="12" s="1" a="1"/>
  <c r="Q368" i="12" s="1"/>
  <c r="R368" i="12"/>
  <c r="S368" i="12" s="1"/>
  <c r="U368" i="12"/>
  <c r="N381" i="12" a="1"/>
  <c r="N381" i="12" s="1"/>
  <c r="P381" i="12"/>
  <c r="Q381" i="12" s="1" a="1"/>
  <c r="Q381" i="12" s="1"/>
  <c r="R381" i="12"/>
  <c r="S381" i="12" s="1"/>
  <c r="U381" i="12"/>
  <c r="N371" i="12" a="1"/>
  <c r="N371" i="12" s="1"/>
  <c r="P371" i="12"/>
  <c r="Q371" i="12" s="1" a="1"/>
  <c r="Q371" i="12" s="1"/>
  <c r="R371" i="12"/>
  <c r="S371" i="12" s="1"/>
  <c r="U371" i="12"/>
  <c r="N377" i="12" a="1"/>
  <c r="N377" i="12" s="1"/>
  <c r="P377" i="12"/>
  <c r="Q377" i="12" s="1" a="1"/>
  <c r="Q377" i="12" s="1"/>
  <c r="R377" i="12"/>
  <c r="S377" i="12" s="1"/>
  <c r="U377" i="12"/>
  <c r="N382" i="12" a="1"/>
  <c r="N382" i="12" s="1"/>
  <c r="P382" i="12"/>
  <c r="Q382" i="12" s="1" a="1"/>
  <c r="Q382" i="12" s="1"/>
  <c r="R382" i="12"/>
  <c r="S382" i="12" s="1"/>
  <c r="U382" i="12"/>
  <c r="P375" i="12"/>
  <c r="Q375" i="12" s="1" a="1"/>
  <c r="Q375" i="12" s="1"/>
  <c r="S375" i="12"/>
  <c r="U375" i="12"/>
  <c r="N569" i="12" a="1"/>
  <c r="N569" i="12" s="1"/>
  <c r="P569" i="12"/>
  <c r="Q569" i="12" s="1" a="1"/>
  <c r="Q569" i="12" s="1"/>
  <c r="R569" i="12"/>
  <c r="S569" i="12" s="1"/>
  <c r="U569" i="12"/>
  <c r="N570" i="12" a="1"/>
  <c r="N570" i="12" s="1"/>
  <c r="P570" i="12"/>
  <c r="Q570" i="12" s="1" a="1"/>
  <c r="Q570" i="12" s="1"/>
  <c r="R570" i="12"/>
  <c r="S570" i="12" s="1"/>
  <c r="U570" i="12"/>
  <c r="N571" i="12" a="1"/>
  <c r="N571" i="12" s="1"/>
  <c r="P571" i="12"/>
  <c r="Q571" i="12" s="1" a="1"/>
  <c r="Q571" i="12" s="1"/>
  <c r="R571" i="12"/>
  <c r="S571" i="12" s="1"/>
  <c r="U571" i="12"/>
  <c r="N572" i="12" a="1"/>
  <c r="N572" i="12" s="1"/>
  <c r="P572" i="12"/>
  <c r="Q572" i="12" s="1" a="1"/>
  <c r="Q572" i="12" s="1"/>
  <c r="R572" i="12"/>
  <c r="S572" i="12" s="1"/>
  <c r="U572" i="12"/>
  <c r="N573" i="12" a="1"/>
  <c r="N573" i="12" s="1"/>
  <c r="P573" i="12"/>
  <c r="Q573" i="12" s="1" a="1"/>
  <c r="Q573" i="12" s="1"/>
  <c r="R573" i="12"/>
  <c r="S573" i="12" s="1"/>
  <c r="U573" i="12"/>
  <c r="N574" i="12" a="1"/>
  <c r="N574" i="12" s="1"/>
  <c r="P574" i="12"/>
  <c r="Q574" i="12" s="1" a="1"/>
  <c r="Q574" i="12" s="1"/>
  <c r="R574" i="12"/>
  <c r="S574" i="12" s="1"/>
  <c r="U574" i="12"/>
  <c r="N575" i="12" a="1"/>
  <c r="N575" i="12" s="1"/>
  <c r="P575" i="12"/>
  <c r="Q575" i="12" s="1" a="1"/>
  <c r="Q575" i="12" s="1"/>
  <c r="R575" i="12"/>
  <c r="S575" i="12" s="1"/>
  <c r="U575" i="12"/>
  <c r="N576" i="12" a="1"/>
  <c r="N576" i="12" s="1"/>
  <c r="P576" i="12"/>
  <c r="Q576" i="12" s="1" a="1"/>
  <c r="Q576" i="12" s="1"/>
  <c r="R576" i="12"/>
  <c r="S576" i="12" s="1"/>
  <c r="U576" i="12"/>
  <c r="N577" i="12" a="1"/>
  <c r="N577" i="12" s="1"/>
  <c r="P577" i="12"/>
  <c r="Q577" i="12" s="1" a="1"/>
  <c r="Q577" i="12" s="1"/>
  <c r="R577" i="12"/>
  <c r="S577" i="12" s="1"/>
  <c r="U577" i="12"/>
  <c r="N578" i="12" a="1"/>
  <c r="N578" i="12" s="1"/>
  <c r="P578" i="12"/>
  <c r="Q578" i="12" s="1" a="1"/>
  <c r="Q578" i="12" s="1"/>
  <c r="R578" i="12"/>
  <c r="S578" i="12" s="1"/>
  <c r="U578" i="12"/>
  <c r="N579" i="12" a="1"/>
  <c r="N579" i="12" s="1"/>
  <c r="P579" i="12"/>
  <c r="Q579" i="12" s="1" a="1"/>
  <c r="Q579" i="12" s="1"/>
  <c r="R579" i="12"/>
  <c r="S579" i="12" s="1"/>
  <c r="U579" i="12"/>
  <c r="N580" i="12" a="1"/>
  <c r="N580" i="12" s="1"/>
  <c r="P580" i="12"/>
  <c r="Q580" i="12" s="1" a="1"/>
  <c r="Q580" i="12" s="1"/>
  <c r="R580" i="12"/>
  <c r="S580" i="12" s="1"/>
  <c r="U580" i="12"/>
  <c r="N581" i="12" a="1"/>
  <c r="N581" i="12" s="1"/>
  <c r="P581" i="12"/>
  <c r="Q581" i="12" s="1" a="1"/>
  <c r="Q581" i="12" s="1"/>
  <c r="R581" i="12"/>
  <c r="S581" i="12" s="1"/>
  <c r="U581" i="12"/>
  <c r="N582" i="12" a="1"/>
  <c r="N582" i="12" s="1"/>
  <c r="P582" i="12"/>
  <c r="Q582" i="12" s="1" a="1"/>
  <c r="Q582" i="12" s="1"/>
  <c r="R582" i="12"/>
  <c r="S582" i="12" s="1"/>
  <c r="U582" i="12"/>
  <c r="N583" i="12" a="1"/>
  <c r="N583" i="12" s="1"/>
  <c r="P583" i="12"/>
  <c r="Q583" i="12" s="1" a="1"/>
  <c r="Q583" i="12" s="1"/>
  <c r="R583" i="12"/>
  <c r="S583" i="12" s="1"/>
  <c r="U583" i="12"/>
  <c r="N584" i="12" a="1"/>
  <c r="N584" i="12" s="1"/>
  <c r="P584" i="12"/>
  <c r="Q584" i="12" s="1" a="1"/>
  <c r="Q584" i="12" s="1"/>
  <c r="R584" i="12"/>
  <c r="S584" i="12" s="1"/>
  <c r="U584" i="12"/>
  <c r="N585" i="12" a="1"/>
  <c r="N585" i="12" s="1"/>
  <c r="P585" i="12"/>
  <c r="Q585" i="12" s="1" a="1"/>
  <c r="Q585" i="12" s="1"/>
  <c r="R585" i="12"/>
  <c r="S585" i="12" s="1"/>
  <c r="U585" i="12"/>
  <c r="N586" i="12" a="1"/>
  <c r="N586" i="12" s="1"/>
  <c r="P586" i="12"/>
  <c r="Q586" i="12" s="1" a="1"/>
  <c r="Q586" i="12" s="1"/>
  <c r="R586" i="12"/>
  <c r="S586" i="12" s="1"/>
  <c r="U586" i="12"/>
  <c r="N587" i="12" a="1"/>
  <c r="N587" i="12" s="1"/>
  <c r="P587" i="12"/>
  <c r="Q587" i="12" s="1" a="1"/>
  <c r="Q587" i="12" s="1"/>
  <c r="R587" i="12"/>
  <c r="S587" i="12" s="1"/>
  <c r="U587" i="12"/>
  <c r="N588" i="12" a="1"/>
  <c r="N588" i="12" s="1"/>
  <c r="P588" i="12"/>
  <c r="Q588" i="12" s="1" a="1"/>
  <c r="Q588" i="12" s="1"/>
  <c r="R588" i="12"/>
  <c r="S588" i="12" s="1"/>
  <c r="U588" i="12"/>
  <c r="N589" i="12" a="1"/>
  <c r="N589" i="12" s="1"/>
  <c r="P589" i="12"/>
  <c r="Q589" i="12" s="1" a="1"/>
  <c r="Q589" i="12" s="1"/>
  <c r="R589" i="12"/>
  <c r="S589" i="12" s="1"/>
  <c r="U589" i="12"/>
  <c r="N590" i="12" a="1"/>
  <c r="N590" i="12" s="1"/>
  <c r="P590" i="12"/>
  <c r="Q590" i="12" s="1" a="1"/>
  <c r="Q590" i="12" s="1"/>
  <c r="R590" i="12"/>
  <c r="S590" i="12" s="1"/>
  <c r="U590" i="12"/>
  <c r="N591" i="12" a="1"/>
  <c r="N591" i="12" s="1"/>
  <c r="P591" i="12"/>
  <c r="Q591" i="12" s="1" a="1"/>
  <c r="Q591" i="12" s="1"/>
  <c r="R591" i="12"/>
  <c r="S591" i="12" s="1"/>
  <c r="U591" i="12"/>
  <c r="N592" i="12" a="1"/>
  <c r="N592" i="12" s="1"/>
  <c r="P592" i="12"/>
  <c r="Q592" i="12" s="1" a="1"/>
  <c r="Q592" i="12" s="1"/>
  <c r="R592" i="12"/>
  <c r="S592" i="12" s="1"/>
  <c r="U592" i="12"/>
  <c r="N593" i="12" a="1"/>
  <c r="N593" i="12" s="1"/>
  <c r="P593" i="12"/>
  <c r="Q593" i="12" s="1" a="1"/>
  <c r="Q593" i="12" s="1"/>
  <c r="R593" i="12"/>
  <c r="S593" i="12" s="1"/>
  <c r="U593" i="12"/>
  <c r="N594" i="12" a="1"/>
  <c r="N594" i="12" s="1"/>
  <c r="P594" i="12"/>
  <c r="Q594" i="12" s="1" a="1"/>
  <c r="Q594" i="12" s="1"/>
  <c r="R594" i="12"/>
  <c r="S594" i="12" s="1"/>
  <c r="U594" i="12"/>
  <c r="N595" i="12" a="1"/>
  <c r="N595" i="12" s="1"/>
  <c r="P595" i="12"/>
  <c r="Q595" i="12" s="1" a="1"/>
  <c r="Q595" i="12" s="1"/>
  <c r="R595" i="12"/>
  <c r="S595" i="12" s="1"/>
  <c r="U595" i="12"/>
  <c r="N596" i="12" a="1"/>
  <c r="N596" i="12" s="1"/>
  <c r="P596" i="12"/>
  <c r="Q596" i="12" s="1" a="1"/>
  <c r="Q596" i="12" s="1"/>
  <c r="R596" i="12"/>
  <c r="S596" i="12" s="1"/>
  <c r="U596" i="12"/>
  <c r="N597" i="12" a="1"/>
  <c r="N597" i="12" s="1"/>
  <c r="P597" i="12"/>
  <c r="Q597" i="12" s="1" a="1"/>
  <c r="Q597" i="12" s="1"/>
  <c r="R597" i="12"/>
  <c r="S597" i="12" s="1"/>
  <c r="U597" i="12"/>
  <c r="N598" i="12" a="1"/>
  <c r="N598" i="12" s="1"/>
  <c r="P598" i="12"/>
  <c r="Q598" i="12" s="1" a="1"/>
  <c r="Q598" i="12" s="1"/>
  <c r="R598" i="12"/>
  <c r="S598" i="12" s="1"/>
  <c r="U598" i="12"/>
  <c r="N599" i="12" a="1"/>
  <c r="N599" i="12" s="1"/>
  <c r="P599" i="12"/>
  <c r="Q599" i="12" s="1" a="1"/>
  <c r="Q599" i="12" s="1"/>
  <c r="R599" i="12"/>
  <c r="S599" i="12" s="1"/>
  <c r="U599" i="12"/>
  <c r="N600" i="12" a="1"/>
  <c r="N600" i="12" s="1"/>
  <c r="P600" i="12"/>
  <c r="Q600" i="12" s="1" a="1"/>
  <c r="Q600" i="12" s="1"/>
  <c r="R600" i="12"/>
  <c r="S600" i="12" s="1"/>
  <c r="U600" i="12"/>
  <c r="N601" i="12" a="1"/>
  <c r="N601" i="12" s="1"/>
  <c r="P601" i="12"/>
  <c r="Q601" i="12" s="1" a="1"/>
  <c r="Q601" i="12" s="1"/>
  <c r="R601" i="12"/>
  <c r="S601" i="12" s="1"/>
  <c r="U601" i="12"/>
  <c r="N602" i="12" a="1"/>
  <c r="N602" i="12" s="1"/>
  <c r="P602" i="12"/>
  <c r="Q602" i="12" s="1" a="1"/>
  <c r="Q602" i="12" s="1"/>
  <c r="R602" i="12"/>
  <c r="S602" i="12" s="1"/>
  <c r="U602" i="12"/>
  <c r="N603" i="12" a="1"/>
  <c r="N603" i="12" s="1"/>
  <c r="P603" i="12"/>
  <c r="Q603" i="12" s="1" a="1"/>
  <c r="Q603" i="12" s="1"/>
  <c r="R603" i="12"/>
  <c r="S603" i="12" s="1"/>
  <c r="U603" i="12"/>
  <c r="N604" i="12" a="1"/>
  <c r="N604" i="12" s="1"/>
  <c r="P604" i="12"/>
  <c r="Q604" i="12" s="1" a="1"/>
  <c r="Q604" i="12" s="1"/>
  <c r="R604" i="12"/>
  <c r="S604" i="12" s="1"/>
  <c r="U604" i="12"/>
  <c r="N605" i="12" a="1"/>
  <c r="N605" i="12" s="1"/>
  <c r="P605" i="12"/>
  <c r="Q605" i="12" s="1" a="1"/>
  <c r="Q605" i="12" s="1"/>
  <c r="R605" i="12"/>
  <c r="S605" i="12" s="1"/>
  <c r="U605" i="12"/>
  <c r="N606" i="12" a="1"/>
  <c r="N606" i="12" s="1"/>
  <c r="P606" i="12"/>
  <c r="Q606" i="12" s="1" a="1"/>
  <c r="Q606" i="12" s="1"/>
  <c r="R606" i="12"/>
  <c r="S606" i="12" s="1"/>
  <c r="U606" i="12"/>
  <c r="N607" i="12" a="1"/>
  <c r="N607" i="12" s="1"/>
  <c r="P607" i="12"/>
  <c r="Q607" i="12" s="1" a="1"/>
  <c r="Q607" i="12" s="1"/>
  <c r="R607" i="12"/>
  <c r="S607" i="12" s="1"/>
  <c r="U607" i="12"/>
  <c r="N608" i="12" a="1"/>
  <c r="N608" i="12" s="1"/>
  <c r="P608" i="12"/>
  <c r="Q608" i="12" s="1" a="1"/>
  <c r="Q608" i="12" s="1"/>
  <c r="R608" i="12"/>
  <c r="S608" i="12" s="1"/>
  <c r="U608" i="12"/>
  <c r="N609" i="12" a="1"/>
  <c r="N609" i="12" s="1"/>
  <c r="P609" i="12"/>
  <c r="Q609" i="12" s="1" a="1"/>
  <c r="Q609" i="12" s="1"/>
  <c r="R609" i="12"/>
  <c r="S609" i="12" s="1"/>
  <c r="U609" i="12"/>
  <c r="N610" i="12" a="1"/>
  <c r="N610" i="12" s="1"/>
  <c r="P610" i="12"/>
  <c r="Q610" i="12" s="1" a="1"/>
  <c r="Q610" i="12" s="1"/>
  <c r="R610" i="12"/>
  <c r="S610" i="12" s="1"/>
  <c r="U610" i="12"/>
  <c r="N611" i="12" a="1"/>
  <c r="N611" i="12" s="1"/>
  <c r="P611" i="12"/>
  <c r="Q611" i="12" s="1" a="1"/>
  <c r="Q611" i="12" s="1"/>
  <c r="R611" i="12"/>
  <c r="S611" i="12" s="1"/>
  <c r="U611" i="12"/>
  <c r="N612" i="12" a="1"/>
  <c r="N612" i="12" s="1"/>
  <c r="P612" i="12"/>
  <c r="Q612" i="12" s="1" a="1"/>
  <c r="Q612" i="12" s="1"/>
  <c r="R612" i="12"/>
  <c r="S612" i="12" s="1"/>
  <c r="U612" i="12"/>
  <c r="N613" i="12" a="1"/>
  <c r="N613" i="12" s="1"/>
  <c r="P613" i="12"/>
  <c r="Q613" i="12" s="1" a="1"/>
  <c r="Q613" i="12" s="1"/>
  <c r="R613" i="12"/>
  <c r="S613" i="12" s="1"/>
  <c r="U613" i="12"/>
  <c r="N614" i="12" a="1"/>
  <c r="N614" i="12" s="1"/>
  <c r="P614" i="12"/>
  <c r="Q614" i="12" s="1" a="1"/>
  <c r="Q614" i="12" s="1"/>
  <c r="R614" i="12"/>
  <c r="S614" i="12" s="1"/>
  <c r="U614" i="12"/>
  <c r="N615" i="12" a="1"/>
  <c r="N615" i="12" s="1"/>
  <c r="P615" i="12"/>
  <c r="Q615" i="12" s="1" a="1"/>
  <c r="Q615" i="12" s="1"/>
  <c r="R615" i="12"/>
  <c r="S615" i="12" s="1"/>
  <c r="U615" i="12"/>
  <c r="N616" i="12" a="1"/>
  <c r="N616" i="12" s="1"/>
  <c r="P616" i="12"/>
  <c r="Q616" i="12" s="1" a="1"/>
  <c r="Q616" i="12" s="1"/>
  <c r="R616" i="12"/>
  <c r="S616" i="12" s="1"/>
  <c r="U616" i="12"/>
  <c r="N617" i="12" a="1"/>
  <c r="N617" i="12" s="1"/>
  <c r="P617" i="12"/>
  <c r="Q617" i="12" s="1" a="1"/>
  <c r="Q617" i="12" s="1"/>
  <c r="R617" i="12"/>
  <c r="S617" i="12" s="1"/>
  <c r="U617" i="12"/>
  <c r="N618" i="12" a="1"/>
  <c r="N618" i="12" s="1"/>
  <c r="P618" i="12"/>
  <c r="Q618" i="12" s="1" a="1"/>
  <c r="Q618" i="12" s="1"/>
  <c r="R618" i="12"/>
  <c r="S618" i="12" s="1"/>
  <c r="U618" i="12"/>
  <c r="N619" i="12" a="1"/>
  <c r="N619" i="12" s="1"/>
  <c r="P619" i="12"/>
  <c r="Q619" i="12" s="1" a="1"/>
  <c r="Q619" i="12" s="1"/>
  <c r="R619" i="12"/>
  <c r="S619" i="12" s="1"/>
  <c r="U619" i="12"/>
  <c r="N620" i="12" a="1"/>
  <c r="N620" i="12" s="1"/>
  <c r="P620" i="12"/>
  <c r="Q620" i="12" s="1" a="1"/>
  <c r="Q620" i="12" s="1"/>
  <c r="R620" i="12"/>
  <c r="S620" i="12" s="1"/>
  <c r="U620" i="12"/>
  <c r="N621" i="12" a="1"/>
  <c r="N621" i="12" s="1"/>
  <c r="P621" i="12"/>
  <c r="Q621" i="12" s="1" a="1"/>
  <c r="Q621" i="12" s="1"/>
  <c r="R621" i="12"/>
  <c r="S621" i="12" s="1"/>
  <c r="U621" i="12"/>
  <c r="N622" i="12" a="1"/>
  <c r="N622" i="12" s="1"/>
  <c r="P622" i="12"/>
  <c r="Q622" i="12" s="1" a="1"/>
  <c r="Q622" i="12" s="1"/>
  <c r="R622" i="12"/>
  <c r="S622" i="12" s="1"/>
  <c r="U622" i="12"/>
  <c r="N623" i="12" a="1"/>
  <c r="N623" i="12" s="1"/>
  <c r="P623" i="12"/>
  <c r="Q623" i="12" s="1" a="1"/>
  <c r="Q623" i="12" s="1"/>
  <c r="R623" i="12"/>
  <c r="S623" i="12" s="1"/>
  <c r="U623" i="12"/>
  <c r="N624" i="12" a="1"/>
  <c r="N624" i="12" s="1"/>
  <c r="P624" i="12"/>
  <c r="Q624" i="12" s="1" a="1"/>
  <c r="Q624" i="12" s="1"/>
  <c r="R624" i="12"/>
  <c r="S624" i="12" s="1"/>
  <c r="U624" i="12"/>
  <c r="N625" i="12" a="1"/>
  <c r="N625" i="12" s="1"/>
  <c r="P625" i="12"/>
  <c r="Q625" i="12" s="1" a="1"/>
  <c r="Q625" i="12" s="1"/>
  <c r="R625" i="12"/>
  <c r="S625" i="12" s="1"/>
  <c r="U625" i="12"/>
  <c r="N626" i="12" a="1"/>
  <c r="N626" i="12" s="1"/>
  <c r="P626" i="12"/>
  <c r="Q626" i="12" s="1" a="1"/>
  <c r="Q626" i="12" s="1"/>
  <c r="R626" i="12"/>
  <c r="S626" i="12" s="1"/>
  <c r="U626" i="12"/>
  <c r="N627" i="12" a="1"/>
  <c r="N627" i="12" s="1"/>
  <c r="P627" i="12"/>
  <c r="Q627" i="12" s="1" a="1"/>
  <c r="Q627" i="12" s="1"/>
  <c r="R627" i="12"/>
  <c r="S627" i="12" s="1"/>
  <c r="U627" i="12"/>
  <c r="N628" i="12" a="1"/>
  <c r="N628" i="12" s="1"/>
  <c r="P628" i="12"/>
  <c r="Q628" i="12" s="1" a="1"/>
  <c r="Q628" i="12" s="1"/>
  <c r="R628" i="12"/>
  <c r="S628" i="12" s="1"/>
  <c r="U628" i="12"/>
  <c r="N629" i="12" a="1"/>
  <c r="N629" i="12" s="1"/>
  <c r="P629" i="12"/>
  <c r="Q629" i="12" s="1" a="1"/>
  <c r="Q629" i="12" s="1"/>
  <c r="R629" i="12"/>
  <c r="S629" i="12" s="1"/>
  <c r="U629" i="12"/>
  <c r="N630" i="12" a="1"/>
  <c r="N630" i="12" s="1"/>
  <c r="P630" i="12"/>
  <c r="Q630" i="12" s="1" a="1"/>
  <c r="Q630" i="12" s="1"/>
  <c r="R630" i="12"/>
  <c r="S630" i="12" s="1"/>
  <c r="U630" i="12"/>
  <c r="N631" i="12" a="1"/>
  <c r="N631" i="12" s="1"/>
  <c r="P631" i="12"/>
  <c r="Q631" i="12" s="1" a="1"/>
  <c r="Q631" i="12" s="1"/>
  <c r="R631" i="12"/>
  <c r="S631" i="12" s="1"/>
  <c r="U631" i="12"/>
  <c r="N632" i="12" a="1"/>
  <c r="N632" i="12" s="1"/>
  <c r="P632" i="12"/>
  <c r="Q632" i="12" s="1" a="1"/>
  <c r="Q632" i="12" s="1"/>
  <c r="R632" i="12"/>
  <c r="S632" i="12" s="1"/>
  <c r="U632" i="12"/>
  <c r="N633" i="12" a="1"/>
  <c r="N633" i="12" s="1"/>
  <c r="P633" i="12"/>
  <c r="Q633" i="12" s="1" a="1"/>
  <c r="Q633" i="12" s="1"/>
  <c r="R633" i="12"/>
  <c r="S633" i="12" s="1"/>
  <c r="U633" i="12"/>
  <c r="N634" i="12" a="1"/>
  <c r="N634" i="12" s="1"/>
  <c r="P634" i="12"/>
  <c r="Q634" i="12" s="1" a="1"/>
  <c r="Q634" i="12" s="1"/>
  <c r="R634" i="12"/>
  <c r="S634" i="12" s="1"/>
  <c r="U634" i="12"/>
  <c r="N635" i="12" a="1"/>
  <c r="N635" i="12" s="1"/>
  <c r="P635" i="12"/>
  <c r="Q635" i="12" s="1" a="1"/>
  <c r="Q635" i="12" s="1"/>
  <c r="R635" i="12"/>
  <c r="S635" i="12" s="1"/>
  <c r="U635" i="12"/>
  <c r="N636" i="12" a="1"/>
  <c r="N636" i="12" s="1"/>
  <c r="P636" i="12"/>
  <c r="Q636" i="12" s="1" a="1"/>
  <c r="Q636" i="12" s="1"/>
  <c r="R636" i="12"/>
  <c r="S636" i="12" s="1"/>
  <c r="U636" i="12"/>
  <c r="N637" i="12" a="1"/>
  <c r="N637" i="12" s="1"/>
  <c r="P637" i="12"/>
  <c r="Q637" i="12" s="1" a="1"/>
  <c r="Q637" i="12" s="1"/>
  <c r="R637" i="12"/>
  <c r="S637" i="12" s="1"/>
  <c r="U637" i="12"/>
  <c r="N638" i="12" a="1"/>
  <c r="N638" i="12" s="1"/>
  <c r="P638" i="12"/>
  <c r="Q638" i="12" s="1" a="1"/>
  <c r="Q638" i="12" s="1"/>
  <c r="R638" i="12"/>
  <c r="S638" i="12" s="1"/>
  <c r="U638" i="12"/>
  <c r="N639" i="12" a="1"/>
  <c r="N639" i="12" s="1"/>
  <c r="P639" i="12"/>
  <c r="Q639" i="12" s="1" a="1"/>
  <c r="Q639" i="12" s="1"/>
  <c r="R639" i="12"/>
  <c r="S639" i="12" s="1"/>
  <c r="U639" i="12"/>
  <c r="N640" i="12" a="1"/>
  <c r="N640" i="12" s="1"/>
  <c r="P640" i="12"/>
  <c r="Q640" i="12" s="1" a="1"/>
  <c r="Q640" i="12" s="1"/>
  <c r="R640" i="12"/>
  <c r="S640" i="12" s="1"/>
  <c r="U640" i="12"/>
  <c r="N641" i="12" a="1"/>
  <c r="N641" i="12" s="1"/>
  <c r="P641" i="12"/>
  <c r="Q641" i="12" s="1" a="1"/>
  <c r="Q641" i="12" s="1"/>
  <c r="R641" i="12"/>
  <c r="S641" i="12" s="1"/>
  <c r="U641" i="12"/>
  <c r="N642" i="12" a="1"/>
  <c r="N642" i="12" s="1"/>
  <c r="P642" i="12"/>
  <c r="Q642" i="12" s="1" a="1"/>
  <c r="Q642" i="12" s="1"/>
  <c r="R642" i="12"/>
  <c r="S642" i="12" s="1"/>
  <c r="U642" i="12"/>
  <c r="N643" i="12" a="1"/>
  <c r="N643" i="12" s="1"/>
  <c r="P643" i="12"/>
  <c r="Q643" i="12" s="1" a="1"/>
  <c r="Q643" i="12" s="1"/>
  <c r="R643" i="12"/>
  <c r="S643" i="12" s="1"/>
  <c r="U643" i="12"/>
  <c r="N644" i="12" a="1"/>
  <c r="N644" i="12" s="1"/>
  <c r="P644" i="12"/>
  <c r="Q644" i="12" s="1" a="1"/>
  <c r="Q644" i="12" s="1"/>
  <c r="R644" i="12"/>
  <c r="S644" i="12" s="1"/>
  <c r="U644" i="12"/>
  <c r="N645" i="12" a="1"/>
  <c r="N645" i="12" s="1"/>
  <c r="P645" i="12"/>
  <c r="Q645" i="12" s="1" a="1"/>
  <c r="Q645" i="12" s="1"/>
  <c r="R645" i="12"/>
  <c r="S645" i="12" s="1"/>
  <c r="U645" i="12"/>
  <c r="N646" i="12" a="1"/>
  <c r="N646" i="12" s="1"/>
  <c r="P646" i="12"/>
  <c r="Q646" i="12" s="1" a="1"/>
  <c r="Q646" i="12" s="1"/>
  <c r="R646" i="12"/>
  <c r="S646" i="12" s="1"/>
  <c r="U646" i="12"/>
  <c r="N647" i="12" a="1"/>
  <c r="N647" i="12" s="1"/>
  <c r="P647" i="12"/>
  <c r="Q647" i="12" s="1" a="1"/>
  <c r="Q647" i="12" s="1"/>
  <c r="R647" i="12"/>
  <c r="S647" i="12" s="1"/>
  <c r="U647" i="12"/>
  <c r="N648" i="12" a="1"/>
  <c r="N648" i="12" s="1"/>
  <c r="P648" i="12"/>
  <c r="Q648" i="12" s="1" a="1"/>
  <c r="Q648" i="12" s="1"/>
  <c r="R648" i="12"/>
  <c r="S648" i="12" s="1"/>
  <c r="U648" i="12"/>
  <c r="N649" i="12" a="1"/>
  <c r="N649" i="12" s="1"/>
  <c r="P649" i="12"/>
  <c r="Q649" i="12" s="1" a="1"/>
  <c r="Q649" i="12" s="1"/>
  <c r="R649" i="12"/>
  <c r="S649" i="12" s="1"/>
  <c r="U649" i="12"/>
  <c r="N650" i="12" a="1"/>
  <c r="N650" i="12" s="1"/>
  <c r="P650" i="12"/>
  <c r="Q650" i="12" s="1" a="1"/>
  <c r="Q650" i="12" s="1"/>
  <c r="R650" i="12"/>
  <c r="S650" i="12" s="1"/>
  <c r="U650" i="12"/>
  <c r="N651" i="12" a="1"/>
  <c r="N651" i="12" s="1"/>
  <c r="P651" i="12"/>
  <c r="Q651" i="12" s="1" a="1"/>
  <c r="Q651" i="12" s="1"/>
  <c r="R651" i="12"/>
  <c r="S651" i="12" s="1"/>
  <c r="U651" i="12"/>
  <c r="N652" i="12" a="1"/>
  <c r="N652" i="12" s="1"/>
  <c r="P652" i="12"/>
  <c r="Q652" i="12" s="1" a="1"/>
  <c r="Q652" i="12" s="1"/>
  <c r="R652" i="12"/>
  <c r="S652" i="12" s="1"/>
  <c r="U652" i="12"/>
  <c r="N653" i="12" a="1"/>
  <c r="N653" i="12" s="1"/>
  <c r="P653" i="12"/>
  <c r="Q653" i="12" s="1" a="1"/>
  <c r="Q653" i="12" s="1"/>
  <c r="R653" i="12"/>
  <c r="S653" i="12" s="1"/>
  <c r="U653" i="12"/>
  <c r="N654" i="12" a="1"/>
  <c r="N654" i="12" s="1"/>
  <c r="P654" i="12"/>
  <c r="Q654" i="12" s="1" a="1"/>
  <c r="Q654" i="12" s="1"/>
  <c r="R654" i="12"/>
  <c r="S654" i="12" s="1"/>
  <c r="U654" i="12"/>
  <c r="N655" i="12" a="1"/>
  <c r="N655" i="12" s="1"/>
  <c r="P655" i="12"/>
  <c r="Q655" i="12" s="1" a="1"/>
  <c r="Q655" i="12" s="1"/>
  <c r="R655" i="12"/>
  <c r="S655" i="12" s="1"/>
  <c r="U655" i="12"/>
  <c r="N656" i="12" a="1"/>
  <c r="N656" i="12" s="1"/>
  <c r="P656" i="12"/>
  <c r="Q656" i="12" s="1" a="1"/>
  <c r="Q656" i="12" s="1"/>
  <c r="R656" i="12"/>
  <c r="S656" i="12" s="1"/>
  <c r="U656" i="12"/>
  <c r="N657" i="12" a="1"/>
  <c r="N657" i="12" s="1"/>
  <c r="P657" i="12"/>
  <c r="Q657" i="12" s="1" a="1"/>
  <c r="Q657" i="12" s="1"/>
  <c r="R657" i="12"/>
  <c r="S657" i="12" s="1"/>
  <c r="U657" i="12"/>
  <c r="N658" i="12" a="1"/>
  <c r="N658" i="12" s="1"/>
  <c r="P658" i="12"/>
  <c r="Q658" i="12" s="1" a="1"/>
  <c r="Q658" i="12" s="1"/>
  <c r="R658" i="12"/>
  <c r="S658" i="12" s="1"/>
  <c r="U658" i="12"/>
  <c r="N659" i="12" a="1"/>
  <c r="N659" i="12" s="1"/>
  <c r="P659" i="12"/>
  <c r="Q659" i="12" s="1" a="1"/>
  <c r="Q659" i="12" s="1"/>
  <c r="R659" i="12"/>
  <c r="S659" i="12" s="1"/>
  <c r="U659" i="12"/>
  <c r="N660" i="12" a="1"/>
  <c r="N660" i="12" s="1"/>
  <c r="P660" i="12"/>
  <c r="Q660" i="12" s="1" a="1"/>
  <c r="Q660" i="12" s="1"/>
  <c r="R660" i="12"/>
  <c r="S660" i="12" s="1"/>
  <c r="U660" i="12"/>
  <c r="N661" i="12" a="1"/>
  <c r="N661" i="12" s="1"/>
  <c r="P661" i="12"/>
  <c r="Q661" i="12" s="1" a="1"/>
  <c r="Q661" i="12" s="1"/>
  <c r="R661" i="12"/>
  <c r="S661" i="12" s="1"/>
  <c r="U661" i="12"/>
  <c r="N662" i="12" a="1"/>
  <c r="N662" i="12" s="1"/>
  <c r="P662" i="12"/>
  <c r="Q662" i="12" s="1" a="1"/>
  <c r="Q662" i="12" s="1"/>
  <c r="R662" i="12"/>
  <c r="S662" i="12" s="1"/>
  <c r="U662" i="12"/>
  <c r="N663" i="12" a="1"/>
  <c r="N663" i="12" s="1"/>
  <c r="P663" i="12"/>
  <c r="Q663" i="12" s="1" a="1"/>
  <c r="Q663" i="12" s="1"/>
  <c r="R663" i="12"/>
  <c r="S663" i="12" s="1"/>
  <c r="U663" i="12"/>
  <c r="N664" i="12" a="1"/>
  <c r="N664" i="12" s="1"/>
  <c r="P664" i="12"/>
  <c r="Q664" i="12" s="1" a="1"/>
  <c r="Q664" i="12" s="1"/>
  <c r="R664" i="12"/>
  <c r="S664" i="12" s="1"/>
  <c r="U664" i="12"/>
  <c r="N665" i="12" a="1"/>
  <c r="N665" i="12" s="1"/>
  <c r="P665" i="12"/>
  <c r="Q665" i="12" s="1" a="1"/>
  <c r="Q665" i="12" s="1"/>
  <c r="R665" i="12"/>
  <c r="S665" i="12" s="1"/>
  <c r="U665" i="12"/>
  <c r="N666" i="12" a="1"/>
  <c r="N666" i="12" s="1"/>
  <c r="P666" i="12"/>
  <c r="Q666" i="12" s="1" a="1"/>
  <c r="Q666" i="12" s="1"/>
  <c r="R666" i="12"/>
  <c r="S666" i="12" s="1"/>
  <c r="U666" i="12"/>
  <c r="N667" i="12" a="1"/>
  <c r="N667" i="12" s="1"/>
  <c r="P667" i="12"/>
  <c r="Q667" i="12" s="1" a="1"/>
  <c r="Q667" i="12" s="1"/>
  <c r="R667" i="12"/>
  <c r="S667" i="12" s="1"/>
  <c r="U667" i="12"/>
  <c r="N668" i="12" a="1"/>
  <c r="N668" i="12" s="1"/>
  <c r="P668" i="12"/>
  <c r="Q668" i="12" s="1" a="1"/>
  <c r="Q668" i="12" s="1"/>
  <c r="R668" i="12"/>
  <c r="S668" i="12" s="1"/>
  <c r="U668" i="12"/>
  <c r="N669" i="12" a="1"/>
  <c r="N669" i="12" s="1"/>
  <c r="P669" i="12"/>
  <c r="Q669" i="12" s="1" a="1"/>
  <c r="Q669" i="12" s="1"/>
  <c r="R669" i="12"/>
  <c r="S669" i="12" s="1"/>
  <c r="U669" i="12"/>
  <c r="N670" i="12" a="1"/>
  <c r="N670" i="12" s="1"/>
  <c r="P670" i="12"/>
  <c r="Q670" i="12" s="1" a="1"/>
  <c r="Q670" i="12" s="1"/>
  <c r="R670" i="12"/>
  <c r="S670" i="12" s="1"/>
  <c r="U670" i="12"/>
  <c r="N671" i="12" a="1"/>
  <c r="N671" i="12" s="1"/>
  <c r="P671" i="12"/>
  <c r="Q671" i="12" s="1" a="1"/>
  <c r="Q671" i="12" s="1"/>
  <c r="R671" i="12"/>
  <c r="S671" i="12" s="1"/>
  <c r="U671" i="12"/>
  <c r="N672" i="12" a="1"/>
  <c r="N672" i="12" s="1"/>
  <c r="P672" i="12"/>
  <c r="Q672" i="12" s="1" a="1"/>
  <c r="Q672" i="12" s="1"/>
  <c r="R672" i="12"/>
  <c r="S672" i="12" s="1"/>
  <c r="U672" i="12"/>
  <c r="N673" i="12" a="1"/>
  <c r="N673" i="12" s="1"/>
  <c r="P673" i="12"/>
  <c r="Q673" i="12" s="1" a="1"/>
  <c r="Q673" i="12" s="1"/>
  <c r="R673" i="12"/>
  <c r="S673" i="12" s="1"/>
  <c r="U673" i="12"/>
  <c r="N674" i="12" a="1"/>
  <c r="N674" i="12" s="1"/>
  <c r="P674" i="12"/>
  <c r="Q674" i="12" s="1" a="1"/>
  <c r="Q674" i="12" s="1"/>
  <c r="R674" i="12"/>
  <c r="S674" i="12" s="1"/>
  <c r="U674" i="12"/>
  <c r="N675" i="12" a="1"/>
  <c r="N675" i="12" s="1"/>
  <c r="P675" i="12"/>
  <c r="Q675" i="12" s="1" a="1"/>
  <c r="Q675" i="12" s="1"/>
  <c r="R675" i="12"/>
  <c r="S675" i="12" s="1"/>
  <c r="U675" i="12"/>
  <c r="N676" i="12" a="1"/>
  <c r="N676" i="12" s="1"/>
  <c r="P676" i="12"/>
  <c r="Q676" i="12" s="1" a="1"/>
  <c r="Q676" i="12" s="1"/>
  <c r="R676" i="12"/>
  <c r="S676" i="12" s="1"/>
  <c r="U676" i="12"/>
  <c r="N677" i="12" a="1"/>
  <c r="N677" i="12" s="1"/>
  <c r="P677" i="12"/>
  <c r="Q677" i="12" s="1" a="1"/>
  <c r="Q677" i="12" s="1"/>
  <c r="R677" i="12"/>
  <c r="S677" i="12" s="1"/>
  <c r="U677" i="12"/>
  <c r="N678" i="12" a="1"/>
  <c r="N678" i="12" s="1"/>
  <c r="P678" i="12"/>
  <c r="Q678" i="12" s="1" a="1"/>
  <c r="Q678" i="12" s="1"/>
  <c r="R678" i="12"/>
  <c r="S678" i="12" s="1"/>
  <c r="U678" i="12"/>
  <c r="N679" i="12" a="1"/>
  <c r="N679" i="12" s="1"/>
  <c r="P679" i="12"/>
  <c r="Q679" i="12" s="1" a="1"/>
  <c r="Q679" i="12" s="1"/>
  <c r="R679" i="12"/>
  <c r="S679" i="12" s="1"/>
  <c r="U679" i="12"/>
  <c r="N680" i="12" a="1"/>
  <c r="N680" i="12" s="1"/>
  <c r="P680" i="12"/>
  <c r="Q680" i="12" s="1" a="1"/>
  <c r="Q680" i="12" s="1"/>
  <c r="R680" i="12"/>
  <c r="S680" i="12" s="1"/>
  <c r="U680" i="12"/>
  <c r="N681" i="12" a="1"/>
  <c r="N681" i="12" s="1"/>
  <c r="P681" i="12"/>
  <c r="Q681" i="12" s="1" a="1"/>
  <c r="Q681" i="12" s="1"/>
  <c r="R681" i="12"/>
  <c r="S681" i="12" s="1"/>
  <c r="U681" i="12"/>
  <c r="N682" i="12" a="1"/>
  <c r="N682" i="12" s="1"/>
  <c r="P682" i="12"/>
  <c r="Q682" i="12" s="1" a="1"/>
  <c r="Q682" i="12" s="1"/>
  <c r="R682" i="12"/>
  <c r="S682" i="12" s="1"/>
  <c r="U682" i="12"/>
  <c r="N683" i="12" a="1"/>
  <c r="N683" i="12" s="1"/>
  <c r="P683" i="12"/>
  <c r="Q683" i="12" s="1" a="1"/>
  <c r="Q683" i="12" s="1"/>
  <c r="R683" i="12"/>
  <c r="S683" i="12" s="1"/>
  <c r="U683" i="12"/>
  <c r="N684" i="12" a="1"/>
  <c r="N684" i="12" s="1"/>
  <c r="P684" i="12"/>
  <c r="Q684" i="12" s="1" a="1"/>
  <c r="Q684" i="12" s="1"/>
  <c r="R684" i="12"/>
  <c r="S684" i="12" s="1"/>
  <c r="U684" i="12"/>
  <c r="N685" i="12" a="1"/>
  <c r="N685" i="12" s="1"/>
  <c r="P685" i="12"/>
  <c r="Q685" i="12" s="1" a="1"/>
  <c r="Q685" i="12" s="1"/>
  <c r="R685" i="12"/>
  <c r="S685" i="12" s="1"/>
  <c r="U685" i="12"/>
  <c r="N686" i="12" a="1"/>
  <c r="N686" i="12" s="1"/>
  <c r="P686" i="12"/>
  <c r="Q686" i="12" s="1" a="1"/>
  <c r="Q686" i="12" s="1"/>
  <c r="R686" i="12"/>
  <c r="S686" i="12" s="1"/>
  <c r="U686" i="12"/>
  <c r="N687" i="12" a="1"/>
  <c r="N687" i="12" s="1"/>
  <c r="P687" i="12"/>
  <c r="Q687" i="12" s="1" a="1"/>
  <c r="Q687" i="12" s="1"/>
  <c r="R687" i="12"/>
  <c r="S687" i="12" s="1"/>
  <c r="U687" i="12"/>
  <c r="N688" i="12" a="1"/>
  <c r="N688" i="12" s="1"/>
  <c r="P688" i="12"/>
  <c r="Q688" i="12" s="1" a="1"/>
  <c r="Q688" i="12" s="1"/>
  <c r="R688" i="12"/>
  <c r="S688" i="12" s="1"/>
  <c r="U688" i="12"/>
  <c r="N689" i="12" a="1"/>
  <c r="N689" i="12" s="1"/>
  <c r="P689" i="12"/>
  <c r="Q689" i="12" s="1" a="1"/>
  <c r="Q689" i="12" s="1"/>
  <c r="R689" i="12"/>
  <c r="S689" i="12" s="1"/>
  <c r="U689" i="12"/>
  <c r="N690" i="12" a="1"/>
  <c r="N690" i="12" s="1"/>
  <c r="P690" i="12"/>
  <c r="Q690" i="12" s="1" a="1"/>
  <c r="Q690" i="12" s="1"/>
  <c r="R690" i="12"/>
  <c r="S690" i="12" s="1"/>
  <c r="U690" i="12"/>
  <c r="N691" i="12" a="1"/>
  <c r="N691" i="12" s="1"/>
  <c r="P691" i="12"/>
  <c r="Q691" i="12" s="1" a="1"/>
  <c r="Q691" i="12" s="1"/>
  <c r="R691" i="12"/>
  <c r="S691" i="12" s="1"/>
  <c r="U691" i="12"/>
  <c r="N692" i="12" a="1"/>
  <c r="N692" i="12" s="1"/>
  <c r="P692" i="12"/>
  <c r="Q692" i="12" s="1" a="1"/>
  <c r="Q692" i="12" s="1"/>
  <c r="R692" i="12"/>
  <c r="S692" i="12" s="1"/>
  <c r="U692" i="12"/>
  <c r="N693" i="12" a="1"/>
  <c r="N693" i="12" s="1"/>
  <c r="P693" i="12"/>
  <c r="Q693" i="12" s="1" a="1"/>
  <c r="Q693" i="12" s="1"/>
  <c r="R693" i="12"/>
  <c r="S693" i="12" s="1"/>
  <c r="U693" i="12"/>
  <c r="N694" i="12" a="1"/>
  <c r="N694" i="12" s="1"/>
  <c r="P694" i="12"/>
  <c r="Q694" i="12" s="1" a="1"/>
  <c r="Q694" i="12" s="1"/>
  <c r="R694" i="12"/>
  <c r="S694" i="12" s="1"/>
  <c r="U694" i="12"/>
  <c r="N695" i="12" a="1"/>
  <c r="N695" i="12" s="1"/>
  <c r="P695" i="12"/>
  <c r="Q695" i="12" s="1" a="1"/>
  <c r="Q695" i="12" s="1"/>
  <c r="R695" i="12"/>
  <c r="S695" i="12" s="1"/>
  <c r="U695" i="12"/>
  <c r="N696" i="12" a="1"/>
  <c r="N696" i="12" s="1"/>
  <c r="P696" i="12"/>
  <c r="Q696" i="12" s="1" a="1"/>
  <c r="Q696" i="12" s="1"/>
  <c r="R696" i="12"/>
  <c r="S696" i="12" s="1"/>
  <c r="U696" i="12"/>
  <c r="N697" i="12" a="1"/>
  <c r="N697" i="12" s="1"/>
  <c r="P697" i="12"/>
  <c r="Q697" i="12" s="1" a="1"/>
  <c r="Q697" i="12" s="1"/>
  <c r="R697" i="12"/>
  <c r="S697" i="12" s="1"/>
  <c r="U697" i="12"/>
  <c r="N698" i="12" a="1"/>
  <c r="N698" i="12" s="1"/>
  <c r="P698" i="12"/>
  <c r="Q698" i="12" s="1" a="1"/>
  <c r="Q698" i="12" s="1"/>
  <c r="R698" i="12"/>
  <c r="S698" i="12" s="1"/>
  <c r="U698" i="12"/>
  <c r="N699" i="12" a="1"/>
  <c r="N699" i="12" s="1"/>
  <c r="P699" i="12"/>
  <c r="Q699" i="12" s="1" a="1"/>
  <c r="Q699" i="12" s="1"/>
  <c r="R699" i="12"/>
  <c r="S699" i="12" s="1"/>
  <c r="U699" i="12"/>
  <c r="N700" i="12" a="1"/>
  <c r="N700" i="12" s="1"/>
  <c r="P700" i="12"/>
  <c r="Q700" i="12" s="1" a="1"/>
  <c r="Q700" i="12" s="1"/>
  <c r="R700" i="12"/>
  <c r="S700" i="12" s="1"/>
  <c r="U700" i="12"/>
  <c r="N701" i="12" a="1"/>
  <c r="N701" i="12" s="1"/>
  <c r="P701" i="12"/>
  <c r="Q701" i="12" s="1" a="1"/>
  <c r="Q701" i="12" s="1"/>
  <c r="R701" i="12"/>
  <c r="S701" i="12" s="1"/>
  <c r="U701" i="12"/>
  <c r="N702" i="12" a="1"/>
  <c r="N702" i="12" s="1"/>
  <c r="P702" i="12"/>
  <c r="Q702" i="12" s="1" a="1"/>
  <c r="Q702" i="12" s="1"/>
  <c r="R702" i="12"/>
  <c r="S702" i="12" s="1"/>
  <c r="U702" i="12"/>
  <c r="N703" i="12" a="1"/>
  <c r="N703" i="12" s="1"/>
  <c r="P703" i="12"/>
  <c r="Q703" i="12" s="1" a="1"/>
  <c r="Q703" i="12" s="1"/>
  <c r="R703" i="12"/>
  <c r="S703" i="12" s="1"/>
  <c r="U703" i="12"/>
  <c r="N704" i="12" a="1"/>
  <c r="N704" i="12" s="1"/>
  <c r="P704" i="12"/>
  <c r="Q704" i="12" s="1" a="1"/>
  <c r="Q704" i="12" s="1"/>
  <c r="R704" i="12"/>
  <c r="S704" i="12" s="1"/>
  <c r="U704" i="12"/>
  <c r="N705" i="12" a="1"/>
  <c r="N705" i="12" s="1"/>
  <c r="P705" i="12"/>
  <c r="Q705" i="12" s="1" a="1"/>
  <c r="Q705" i="12" s="1"/>
  <c r="R705" i="12"/>
  <c r="S705" i="12" s="1"/>
  <c r="U705" i="12"/>
  <c r="N706" i="12" a="1"/>
  <c r="N706" i="12" s="1"/>
  <c r="P706" i="12"/>
  <c r="Q706" i="12" s="1" a="1"/>
  <c r="Q706" i="12" s="1"/>
  <c r="R706" i="12"/>
  <c r="S706" i="12" s="1"/>
  <c r="U706" i="12"/>
  <c r="N707" i="12" a="1"/>
  <c r="N707" i="12" s="1"/>
  <c r="P707" i="12"/>
  <c r="Q707" i="12" s="1" a="1"/>
  <c r="Q707" i="12" s="1"/>
  <c r="R707" i="12"/>
  <c r="S707" i="12" s="1"/>
  <c r="U707" i="12"/>
  <c r="N708" i="12" a="1"/>
  <c r="N708" i="12" s="1"/>
  <c r="P708" i="12"/>
  <c r="Q708" i="12" s="1" a="1"/>
  <c r="Q708" i="12" s="1"/>
  <c r="R708" i="12"/>
  <c r="S708" i="12" s="1"/>
  <c r="U708" i="12"/>
  <c r="N709" i="12" a="1"/>
  <c r="N709" i="12" s="1"/>
  <c r="P709" i="12"/>
  <c r="Q709" i="12" s="1" a="1"/>
  <c r="Q709" i="12" s="1"/>
  <c r="R709" i="12"/>
  <c r="S709" i="12" s="1"/>
  <c r="U709" i="12"/>
  <c r="N710" i="12" a="1"/>
  <c r="N710" i="12" s="1"/>
  <c r="P710" i="12"/>
  <c r="Q710" i="12" s="1" a="1"/>
  <c r="Q710" i="12" s="1"/>
  <c r="R710" i="12"/>
  <c r="S710" i="12" s="1"/>
  <c r="U710" i="12"/>
  <c r="N711" i="12" a="1"/>
  <c r="N711" i="12" s="1"/>
  <c r="P711" i="12"/>
  <c r="Q711" i="12" s="1" a="1"/>
  <c r="Q711" i="12" s="1"/>
  <c r="R711" i="12"/>
  <c r="S711" i="12" s="1"/>
  <c r="U711" i="12"/>
  <c r="N712" i="12" a="1"/>
  <c r="N712" i="12" s="1"/>
  <c r="P712" i="12"/>
  <c r="Q712" i="12" s="1" a="1"/>
  <c r="Q712" i="12" s="1"/>
  <c r="R712" i="12"/>
  <c r="S712" i="12" s="1"/>
  <c r="U712" i="12"/>
  <c r="N713" i="12" a="1"/>
  <c r="N713" i="12" s="1"/>
  <c r="P713" i="12"/>
  <c r="Q713" i="12" s="1" a="1"/>
  <c r="Q713" i="12" s="1"/>
  <c r="R713" i="12"/>
  <c r="S713" i="12" s="1"/>
  <c r="U713" i="12"/>
  <c r="N714" i="12" a="1"/>
  <c r="N714" i="12" s="1"/>
  <c r="P714" i="12"/>
  <c r="Q714" i="12" s="1" a="1"/>
  <c r="Q714" i="12" s="1"/>
  <c r="R714" i="12"/>
  <c r="S714" i="12" s="1"/>
  <c r="U714" i="12"/>
  <c r="N715" i="12" a="1"/>
  <c r="N715" i="12" s="1"/>
  <c r="P715" i="12"/>
  <c r="Q715" i="12" s="1" a="1"/>
  <c r="Q715" i="12" s="1"/>
  <c r="R715" i="12"/>
  <c r="S715" i="12" s="1"/>
  <c r="U715" i="12"/>
  <c r="N716" i="12" a="1"/>
  <c r="N716" i="12" s="1"/>
  <c r="P716" i="12"/>
  <c r="Q716" i="12" s="1" a="1"/>
  <c r="Q716" i="12" s="1"/>
  <c r="R716" i="12"/>
  <c r="S716" i="12" s="1"/>
  <c r="U716" i="12"/>
  <c r="N717" i="12" a="1"/>
  <c r="N717" i="12" s="1"/>
  <c r="P717" i="12"/>
  <c r="Q717" i="12" s="1" a="1"/>
  <c r="Q717" i="12" s="1"/>
  <c r="R717" i="12"/>
  <c r="S717" i="12" s="1"/>
  <c r="U717" i="12"/>
  <c r="N718" i="12" a="1"/>
  <c r="N718" i="12" s="1"/>
  <c r="P718" i="12"/>
  <c r="Q718" i="12" s="1" a="1"/>
  <c r="Q718" i="12" s="1"/>
  <c r="R718" i="12"/>
  <c r="S718" i="12" s="1"/>
  <c r="U718" i="12"/>
  <c r="N719" i="12" a="1"/>
  <c r="N719" i="12" s="1"/>
  <c r="P719" i="12"/>
  <c r="Q719" i="12" s="1" a="1"/>
  <c r="Q719" i="12" s="1"/>
  <c r="R719" i="12"/>
  <c r="S719" i="12" s="1"/>
  <c r="U719" i="12"/>
  <c r="N720" i="12" a="1"/>
  <c r="N720" i="12" s="1"/>
  <c r="P720" i="12"/>
  <c r="Q720" i="12" s="1" a="1"/>
  <c r="Q720" i="12" s="1"/>
  <c r="R720" i="12"/>
  <c r="S720" i="12" s="1"/>
  <c r="U720" i="12"/>
  <c r="N721" i="12" a="1"/>
  <c r="N721" i="12" s="1"/>
  <c r="P721" i="12"/>
  <c r="Q721" i="12" s="1" a="1"/>
  <c r="Q721" i="12" s="1"/>
  <c r="R721" i="12"/>
  <c r="S721" i="12" s="1"/>
  <c r="U721" i="12"/>
  <c r="N722" i="12" a="1"/>
  <c r="N722" i="12" s="1"/>
  <c r="P722" i="12"/>
  <c r="Q722" i="12" s="1" a="1"/>
  <c r="Q722" i="12" s="1"/>
  <c r="R722" i="12"/>
  <c r="S722" i="12" s="1"/>
  <c r="U722" i="12"/>
  <c r="N723" i="12" a="1"/>
  <c r="N723" i="12" s="1"/>
  <c r="P723" i="12"/>
  <c r="Q723" i="12" s="1" a="1"/>
  <c r="Q723" i="12" s="1"/>
  <c r="R723" i="12"/>
  <c r="S723" i="12" s="1"/>
  <c r="U723" i="12"/>
  <c r="N724" i="12" a="1"/>
  <c r="N724" i="12" s="1"/>
  <c r="P724" i="12"/>
  <c r="Q724" i="12" s="1" a="1"/>
  <c r="Q724" i="12" s="1"/>
  <c r="R724" i="12"/>
  <c r="S724" i="12" s="1"/>
  <c r="U724" i="12"/>
  <c r="N725" i="12" a="1"/>
  <c r="N725" i="12" s="1"/>
  <c r="P725" i="12"/>
  <c r="Q725" i="12" s="1" a="1"/>
  <c r="Q725" i="12" s="1"/>
  <c r="R725" i="12"/>
  <c r="S725" i="12" s="1"/>
  <c r="U725" i="12"/>
  <c r="N726" i="12" a="1"/>
  <c r="N726" i="12" s="1"/>
  <c r="P726" i="12"/>
  <c r="Q726" i="12" s="1" a="1"/>
  <c r="Q726" i="12" s="1"/>
  <c r="R726" i="12"/>
  <c r="S726" i="12" s="1"/>
  <c r="U726" i="12"/>
  <c r="N727" i="12" a="1"/>
  <c r="N727" i="12" s="1"/>
  <c r="P727" i="12"/>
  <c r="Q727" i="12" s="1" a="1"/>
  <c r="Q727" i="12" s="1"/>
  <c r="R727" i="12"/>
  <c r="S727" i="12" s="1"/>
  <c r="U727" i="12"/>
  <c r="N728" i="12" a="1"/>
  <c r="N728" i="12" s="1"/>
  <c r="P728" i="12"/>
  <c r="Q728" i="12" s="1" a="1"/>
  <c r="Q728" i="12" s="1"/>
  <c r="R728" i="12"/>
  <c r="S728" i="12" s="1"/>
  <c r="U728" i="12"/>
  <c r="N729" i="12" a="1"/>
  <c r="N729" i="12" s="1"/>
  <c r="P729" i="12"/>
  <c r="Q729" i="12" s="1" a="1"/>
  <c r="Q729" i="12" s="1"/>
  <c r="R729" i="12"/>
  <c r="S729" i="12" s="1"/>
  <c r="U729" i="12"/>
  <c r="N730" i="12" a="1"/>
  <c r="N730" i="12" s="1"/>
  <c r="P730" i="12"/>
  <c r="Q730" i="12" s="1" a="1"/>
  <c r="Q730" i="12" s="1"/>
  <c r="R730" i="12"/>
  <c r="S730" i="12" s="1"/>
  <c r="U730" i="12"/>
  <c r="N731" i="12" a="1"/>
  <c r="N731" i="12" s="1"/>
  <c r="P731" i="12"/>
  <c r="Q731" i="12" s="1" a="1"/>
  <c r="Q731" i="12" s="1"/>
  <c r="R731" i="12"/>
  <c r="S731" i="12" s="1"/>
  <c r="U731" i="12"/>
  <c r="N732" i="12" a="1"/>
  <c r="N732" i="12" s="1"/>
  <c r="P732" i="12"/>
  <c r="Q732" i="12" s="1" a="1"/>
  <c r="Q732" i="12" s="1"/>
  <c r="R732" i="12"/>
  <c r="S732" i="12" s="1"/>
  <c r="U732" i="12"/>
  <c r="N733" i="12" a="1"/>
  <c r="N733" i="12" s="1"/>
  <c r="P733" i="12"/>
  <c r="Q733" i="12" s="1" a="1"/>
  <c r="Q733" i="12" s="1"/>
  <c r="R733" i="12"/>
  <c r="S733" i="12" s="1"/>
  <c r="U733" i="12"/>
  <c r="N734" i="12" a="1"/>
  <c r="N734" i="12" s="1"/>
  <c r="P734" i="12"/>
  <c r="Q734" i="12" s="1" a="1"/>
  <c r="Q734" i="12" s="1"/>
  <c r="R734" i="12"/>
  <c r="S734" i="12" s="1"/>
  <c r="U734" i="12"/>
  <c r="N735" i="12" a="1"/>
  <c r="N735" i="12" s="1"/>
  <c r="P735" i="12"/>
  <c r="Q735" i="12" s="1" a="1"/>
  <c r="Q735" i="12" s="1"/>
  <c r="R735" i="12"/>
  <c r="S735" i="12" s="1"/>
  <c r="U735" i="12"/>
  <c r="N736" i="12" a="1"/>
  <c r="N736" i="12" s="1"/>
  <c r="P736" i="12"/>
  <c r="Q736" i="12" s="1" a="1"/>
  <c r="Q736" i="12" s="1"/>
  <c r="R736" i="12"/>
  <c r="S736" i="12" s="1"/>
  <c r="U736" i="12"/>
  <c r="N737" i="12" a="1"/>
  <c r="N737" i="12" s="1"/>
  <c r="P737" i="12"/>
  <c r="Q737" i="12" s="1" a="1"/>
  <c r="Q737" i="12" s="1"/>
  <c r="R737" i="12"/>
  <c r="S737" i="12" s="1"/>
  <c r="U737" i="12"/>
  <c r="N738" i="12" a="1"/>
  <c r="N738" i="12" s="1"/>
  <c r="P738" i="12"/>
  <c r="Q738" i="12" s="1" a="1"/>
  <c r="Q738" i="12" s="1"/>
  <c r="R738" i="12"/>
  <c r="S738" i="12" s="1"/>
  <c r="U738" i="12"/>
  <c r="N739" i="12" a="1"/>
  <c r="N739" i="12" s="1"/>
  <c r="P739" i="12"/>
  <c r="Q739" i="12" s="1" a="1"/>
  <c r="Q739" i="12" s="1"/>
  <c r="R739" i="12"/>
  <c r="S739" i="12" s="1"/>
  <c r="U739" i="12"/>
  <c r="N740" i="12" a="1"/>
  <c r="N740" i="12" s="1"/>
  <c r="P740" i="12"/>
  <c r="Q740" i="12" s="1" a="1"/>
  <c r="Q740" i="12" s="1"/>
  <c r="R740" i="12"/>
  <c r="S740" i="12" s="1"/>
  <c r="U740" i="12"/>
  <c r="N741" i="12" a="1"/>
  <c r="N741" i="12" s="1"/>
  <c r="P741" i="12"/>
  <c r="Q741" i="12" s="1" a="1"/>
  <c r="Q741" i="12" s="1"/>
  <c r="R741" i="12"/>
  <c r="S741" i="12" s="1"/>
  <c r="U741" i="12"/>
  <c r="N742" i="12" a="1"/>
  <c r="N742" i="12" s="1"/>
  <c r="P742" i="12"/>
  <c r="Q742" i="12" s="1" a="1"/>
  <c r="Q742" i="12" s="1"/>
  <c r="R742" i="12"/>
  <c r="S742" i="12" s="1"/>
  <c r="U742" i="12"/>
  <c r="N743" i="12" a="1"/>
  <c r="N743" i="12" s="1"/>
  <c r="P743" i="12"/>
  <c r="Q743" i="12" s="1" a="1"/>
  <c r="Q743" i="12" s="1"/>
  <c r="R743" i="12"/>
  <c r="S743" i="12" s="1"/>
  <c r="U743" i="12"/>
  <c r="N744" i="12" a="1"/>
  <c r="N744" i="12" s="1"/>
  <c r="P744" i="12"/>
  <c r="Q744" i="12" s="1" a="1"/>
  <c r="Q744" i="12" s="1"/>
  <c r="R744" i="12"/>
  <c r="S744" i="12" s="1"/>
  <c r="U744" i="12"/>
  <c r="N745" i="12" a="1"/>
  <c r="N745" i="12" s="1"/>
  <c r="P745" i="12"/>
  <c r="Q745" i="12" s="1" a="1"/>
  <c r="Q745" i="12" s="1"/>
  <c r="R745" i="12"/>
  <c r="S745" i="12" s="1"/>
  <c r="U745" i="12"/>
  <c r="N746" i="12" a="1"/>
  <c r="N746" i="12" s="1"/>
  <c r="P746" i="12"/>
  <c r="Q746" i="12" s="1" a="1"/>
  <c r="Q746" i="12" s="1"/>
  <c r="R746" i="12"/>
  <c r="S746" i="12" s="1"/>
  <c r="U746" i="12"/>
  <c r="N747" i="12" a="1"/>
  <c r="N747" i="12" s="1"/>
  <c r="P747" i="12"/>
  <c r="Q747" i="12" s="1" a="1"/>
  <c r="Q747" i="12" s="1"/>
  <c r="R747" i="12"/>
  <c r="S747" i="12" s="1"/>
  <c r="U747" i="12"/>
  <c r="N748" i="12" a="1"/>
  <c r="N748" i="12" s="1"/>
  <c r="P748" i="12"/>
  <c r="Q748" i="12" s="1" a="1"/>
  <c r="Q748" i="12" s="1"/>
  <c r="R748" i="12"/>
  <c r="S748" i="12" s="1"/>
  <c r="U748" i="12"/>
  <c r="N749" i="12" a="1"/>
  <c r="N749" i="12" s="1"/>
  <c r="P749" i="12"/>
  <c r="Q749" i="12" s="1" a="1"/>
  <c r="Q749" i="12" s="1"/>
  <c r="R749" i="12"/>
  <c r="S749" i="12" s="1"/>
  <c r="U749" i="12"/>
  <c r="N750" i="12" a="1"/>
  <c r="N750" i="12" s="1"/>
  <c r="P750" i="12"/>
  <c r="Q750" i="12" s="1" a="1"/>
  <c r="Q750" i="12" s="1"/>
  <c r="R750" i="12"/>
  <c r="S750" i="12" s="1"/>
  <c r="U750" i="12"/>
  <c r="N751" i="12" a="1"/>
  <c r="N751" i="12" s="1"/>
  <c r="P751" i="12"/>
  <c r="Q751" i="12" s="1" a="1"/>
  <c r="Q751" i="12" s="1"/>
  <c r="R751" i="12"/>
  <c r="S751" i="12" s="1"/>
  <c r="U751" i="12"/>
  <c r="N752" i="12" a="1"/>
  <c r="N752" i="12" s="1"/>
  <c r="P752" i="12"/>
  <c r="Q752" i="12" s="1" a="1"/>
  <c r="Q752" i="12" s="1"/>
  <c r="R752" i="12"/>
  <c r="S752" i="12" s="1"/>
  <c r="U752" i="12"/>
  <c r="N753" i="12" a="1"/>
  <c r="N753" i="12" s="1"/>
  <c r="P753" i="12"/>
  <c r="Q753" i="12" s="1" a="1"/>
  <c r="Q753" i="12" s="1"/>
  <c r="R753" i="12"/>
  <c r="S753" i="12" s="1"/>
  <c r="U753" i="12"/>
  <c r="N754" i="12" a="1"/>
  <c r="N754" i="12" s="1"/>
  <c r="P754" i="12"/>
  <c r="Q754" i="12" s="1" a="1"/>
  <c r="Q754" i="12" s="1"/>
  <c r="R754" i="12"/>
  <c r="S754" i="12" s="1"/>
  <c r="U754" i="12"/>
  <c r="N755" i="12" a="1"/>
  <c r="N755" i="12" s="1"/>
  <c r="P755" i="12"/>
  <c r="Q755" i="12" s="1" a="1"/>
  <c r="Q755" i="12" s="1"/>
  <c r="R755" i="12"/>
  <c r="S755" i="12" s="1"/>
  <c r="U755" i="12"/>
  <c r="N756" i="12" a="1"/>
  <c r="N756" i="12" s="1"/>
  <c r="P756" i="12"/>
  <c r="Q756" i="12" s="1" a="1"/>
  <c r="Q756" i="12" s="1"/>
  <c r="R756" i="12"/>
  <c r="S756" i="12" s="1"/>
  <c r="U756" i="12"/>
  <c r="N757" i="12" a="1"/>
  <c r="N757" i="12" s="1"/>
  <c r="P757" i="12"/>
  <c r="Q757" i="12" s="1" a="1"/>
  <c r="Q757" i="12" s="1"/>
  <c r="R757" i="12"/>
  <c r="S757" i="12" s="1"/>
  <c r="U757" i="12"/>
  <c r="N758" i="12" a="1"/>
  <c r="N758" i="12" s="1"/>
  <c r="P758" i="12"/>
  <c r="Q758" i="12" s="1" a="1"/>
  <c r="Q758" i="12" s="1"/>
  <c r="R758" i="12"/>
  <c r="S758" i="12" s="1"/>
  <c r="U758" i="12"/>
  <c r="N759" i="12" a="1"/>
  <c r="N759" i="12" s="1"/>
  <c r="P759" i="12"/>
  <c r="Q759" i="12" s="1" a="1"/>
  <c r="Q759" i="12" s="1"/>
  <c r="R759" i="12"/>
  <c r="S759" i="12" s="1"/>
  <c r="U759" i="12"/>
  <c r="N760" i="12" a="1"/>
  <c r="N760" i="12" s="1"/>
  <c r="P760" i="12"/>
  <c r="Q760" i="12" s="1" a="1"/>
  <c r="Q760" i="12" s="1"/>
  <c r="R760" i="12"/>
  <c r="S760" i="12" s="1"/>
  <c r="U760" i="12"/>
  <c r="N761" i="12" a="1"/>
  <c r="N761" i="12" s="1"/>
  <c r="P761" i="12"/>
  <c r="Q761" i="12" s="1" a="1"/>
  <c r="Q761" i="12" s="1"/>
  <c r="R761" i="12"/>
  <c r="S761" i="12" s="1"/>
  <c r="U761" i="12"/>
  <c r="N762" i="12" a="1"/>
  <c r="N762" i="12" s="1"/>
  <c r="P762" i="12"/>
  <c r="Q762" i="12" s="1" a="1"/>
  <c r="Q762" i="12" s="1"/>
  <c r="R762" i="12"/>
  <c r="S762" i="12" s="1"/>
  <c r="U762" i="12"/>
  <c r="N763" i="12" a="1"/>
  <c r="N763" i="12" s="1"/>
  <c r="P763" i="12"/>
  <c r="Q763" i="12" s="1" a="1"/>
  <c r="Q763" i="12" s="1"/>
  <c r="R763" i="12"/>
  <c r="S763" i="12" s="1"/>
  <c r="U763" i="12"/>
  <c r="N764" i="12" a="1"/>
  <c r="N764" i="12" s="1"/>
  <c r="P764" i="12"/>
  <c r="Q764" i="12" s="1" a="1"/>
  <c r="Q764" i="12" s="1"/>
  <c r="R764" i="12"/>
  <c r="S764" i="12" s="1"/>
  <c r="U764" i="12"/>
  <c r="N765" i="12" a="1"/>
  <c r="N765" i="12" s="1"/>
  <c r="P765" i="12"/>
  <c r="Q765" i="12" s="1" a="1"/>
  <c r="Q765" i="12" s="1"/>
  <c r="R765" i="12"/>
  <c r="S765" i="12" s="1"/>
  <c r="U765" i="12"/>
  <c r="N766" i="12" a="1"/>
  <c r="N766" i="12" s="1"/>
  <c r="P766" i="12"/>
  <c r="Q766" i="12" s="1" a="1"/>
  <c r="Q766" i="12" s="1"/>
  <c r="R766" i="12"/>
  <c r="S766" i="12" s="1"/>
  <c r="U766" i="12"/>
  <c r="N767" i="12" a="1"/>
  <c r="N767" i="12" s="1"/>
  <c r="P767" i="12"/>
  <c r="Q767" i="12" s="1" a="1"/>
  <c r="Q767" i="12" s="1"/>
  <c r="R767" i="12"/>
  <c r="S767" i="12" s="1"/>
  <c r="U767" i="12"/>
  <c r="N768" i="12" a="1"/>
  <c r="N768" i="12" s="1"/>
  <c r="P768" i="12"/>
  <c r="Q768" i="12" s="1" a="1"/>
  <c r="Q768" i="12" s="1"/>
  <c r="R768" i="12"/>
  <c r="S768" i="12" s="1"/>
  <c r="U768" i="12"/>
  <c r="N769" i="12" a="1"/>
  <c r="N769" i="12" s="1"/>
  <c r="P769" i="12"/>
  <c r="Q769" i="12" s="1" a="1"/>
  <c r="Q769" i="12" s="1"/>
  <c r="R769" i="12"/>
  <c r="S769" i="12" s="1"/>
  <c r="U769" i="12"/>
  <c r="N770" i="12" a="1"/>
  <c r="N770" i="12" s="1"/>
  <c r="P770" i="12"/>
  <c r="Q770" i="12" s="1" a="1"/>
  <c r="Q770" i="12" s="1"/>
  <c r="R770" i="12"/>
  <c r="S770" i="12" s="1"/>
  <c r="U770" i="12"/>
  <c r="N771" i="12" a="1"/>
  <c r="N771" i="12" s="1"/>
  <c r="P771" i="12"/>
  <c r="Q771" i="12" s="1" a="1"/>
  <c r="Q771" i="12" s="1"/>
  <c r="R771" i="12"/>
  <c r="S771" i="12" s="1"/>
  <c r="U771" i="12"/>
  <c r="N772" i="12" a="1"/>
  <c r="N772" i="12" s="1"/>
  <c r="P772" i="12"/>
  <c r="Q772" i="12" s="1" a="1"/>
  <c r="Q772" i="12" s="1"/>
  <c r="R772" i="12"/>
  <c r="S772" i="12" s="1"/>
  <c r="U772" i="12"/>
  <c r="N773" i="12" a="1"/>
  <c r="N773" i="12" s="1"/>
  <c r="P773" i="12"/>
  <c r="Q773" i="12" s="1" a="1"/>
  <c r="Q773" i="12" s="1"/>
  <c r="R773" i="12"/>
  <c r="S773" i="12" s="1"/>
  <c r="U773" i="12"/>
  <c r="N774" i="12" a="1"/>
  <c r="N774" i="12" s="1"/>
  <c r="P774" i="12"/>
  <c r="Q774" i="12" s="1" a="1"/>
  <c r="Q774" i="12" s="1"/>
  <c r="R774" i="12"/>
  <c r="S774" i="12" s="1"/>
  <c r="U774" i="12"/>
  <c r="N775" i="12" a="1"/>
  <c r="N775" i="12" s="1"/>
  <c r="P775" i="12"/>
  <c r="Q775" i="12" s="1" a="1"/>
  <c r="Q775" i="12" s="1"/>
  <c r="R775" i="12"/>
  <c r="S775" i="12" s="1"/>
  <c r="U775" i="12"/>
  <c r="N776" i="12" a="1"/>
  <c r="N776" i="12" s="1"/>
  <c r="P776" i="12"/>
  <c r="Q776" i="12" s="1" a="1"/>
  <c r="Q776" i="12" s="1"/>
  <c r="R776" i="12"/>
  <c r="S776" i="12" s="1"/>
  <c r="U776" i="12"/>
  <c r="N777" i="12" a="1"/>
  <c r="N777" i="12" s="1"/>
  <c r="P777" i="12"/>
  <c r="Q777" i="12" s="1" a="1"/>
  <c r="Q777" i="12" s="1"/>
  <c r="R777" i="12"/>
  <c r="S777" i="12" s="1"/>
  <c r="U777" i="12"/>
  <c r="N778" i="12" a="1"/>
  <c r="N778" i="12" s="1"/>
  <c r="P778" i="12"/>
  <c r="Q778" i="12" s="1" a="1"/>
  <c r="Q778" i="12" s="1"/>
  <c r="R778" i="12"/>
  <c r="S778" i="12" s="1"/>
  <c r="U778" i="12"/>
  <c r="N779" i="12" a="1"/>
  <c r="N779" i="12" s="1"/>
  <c r="P779" i="12"/>
  <c r="Q779" i="12" s="1" a="1"/>
  <c r="Q779" i="12" s="1"/>
  <c r="R779" i="12"/>
  <c r="S779" i="12" s="1"/>
  <c r="U779" i="12"/>
  <c r="N780" i="12" a="1"/>
  <c r="N780" i="12" s="1"/>
  <c r="P780" i="12"/>
  <c r="Q780" i="12" s="1" a="1"/>
  <c r="Q780" i="12" s="1"/>
  <c r="R780" i="12"/>
  <c r="S780" i="12" s="1"/>
  <c r="U780" i="12"/>
  <c r="N781" i="12" a="1"/>
  <c r="N781" i="12" s="1"/>
  <c r="P781" i="12"/>
  <c r="Q781" i="12" s="1" a="1"/>
  <c r="Q781" i="12" s="1"/>
  <c r="R781" i="12"/>
  <c r="S781" i="12" s="1"/>
  <c r="U781" i="12"/>
  <c r="N782" i="12" a="1"/>
  <c r="N782" i="12" s="1"/>
  <c r="P782" i="12"/>
  <c r="Q782" i="12" s="1" a="1"/>
  <c r="Q782" i="12" s="1"/>
  <c r="R782" i="12"/>
  <c r="S782" i="12" s="1"/>
  <c r="U782" i="12"/>
  <c r="N783" i="12" a="1"/>
  <c r="N783" i="12" s="1"/>
  <c r="P783" i="12"/>
  <c r="Q783" i="12" s="1" a="1"/>
  <c r="Q783" i="12" s="1"/>
  <c r="R783" i="12"/>
  <c r="S783" i="12" s="1"/>
  <c r="U783" i="12"/>
  <c r="N784" i="12" a="1"/>
  <c r="N784" i="12" s="1"/>
  <c r="P784" i="12"/>
  <c r="Q784" i="12" s="1" a="1"/>
  <c r="Q784" i="12" s="1"/>
  <c r="R784" i="12"/>
  <c r="S784" i="12" s="1"/>
  <c r="U784" i="12"/>
  <c r="N785" i="12" a="1"/>
  <c r="N785" i="12" s="1"/>
  <c r="P785" i="12"/>
  <c r="Q785" i="12" s="1" a="1"/>
  <c r="Q785" i="12" s="1"/>
  <c r="R785" i="12"/>
  <c r="S785" i="12" s="1"/>
  <c r="U785" i="12"/>
  <c r="N786" i="12" a="1"/>
  <c r="N786" i="12" s="1"/>
  <c r="P786" i="12"/>
  <c r="Q786" i="12" s="1" a="1"/>
  <c r="Q786" i="12" s="1"/>
  <c r="R786" i="12"/>
  <c r="S786" i="12" s="1"/>
  <c r="U786" i="12"/>
  <c r="N787" i="12" a="1"/>
  <c r="N787" i="12" s="1"/>
  <c r="P787" i="12"/>
  <c r="Q787" i="12" s="1" a="1"/>
  <c r="Q787" i="12" s="1"/>
  <c r="R787" i="12"/>
  <c r="S787" i="12" s="1"/>
  <c r="U787" i="12"/>
  <c r="N788" i="12" a="1"/>
  <c r="N788" i="12" s="1"/>
  <c r="P788" i="12"/>
  <c r="Q788" i="12" s="1" a="1"/>
  <c r="Q788" i="12" s="1"/>
  <c r="R788" i="12"/>
  <c r="S788" i="12" s="1"/>
  <c r="U788" i="12"/>
  <c r="N789" i="12" a="1"/>
  <c r="N789" i="12" s="1"/>
  <c r="P789" i="12"/>
  <c r="Q789" i="12" s="1" a="1"/>
  <c r="Q789" i="12" s="1"/>
  <c r="R789" i="12"/>
  <c r="S789" i="12" s="1"/>
  <c r="U789" i="12"/>
  <c r="N790" i="12" a="1"/>
  <c r="N790" i="12" s="1"/>
  <c r="P790" i="12"/>
  <c r="Q790" i="12" s="1" a="1"/>
  <c r="Q790" i="12" s="1"/>
  <c r="R790" i="12"/>
  <c r="S790" i="12" s="1"/>
  <c r="U790" i="12"/>
  <c r="N791" i="12" a="1"/>
  <c r="N791" i="12" s="1"/>
  <c r="P791" i="12"/>
  <c r="Q791" i="12" s="1" a="1"/>
  <c r="Q791" i="12" s="1"/>
  <c r="R791" i="12"/>
  <c r="S791" i="12" s="1"/>
  <c r="U791" i="12"/>
  <c r="N792" i="12" a="1"/>
  <c r="N792" i="12" s="1"/>
  <c r="P792" i="12"/>
  <c r="Q792" i="12" s="1" a="1"/>
  <c r="Q792" i="12" s="1"/>
  <c r="R792" i="12"/>
  <c r="S792" i="12" s="1"/>
  <c r="U792" i="12"/>
  <c r="N793" i="12" a="1"/>
  <c r="N793" i="12" s="1"/>
  <c r="P793" i="12"/>
  <c r="Q793" i="12" s="1" a="1"/>
  <c r="Q793" i="12" s="1"/>
  <c r="R793" i="12"/>
  <c r="S793" i="12" s="1"/>
  <c r="U793" i="12"/>
  <c r="N794" i="12" a="1"/>
  <c r="N794" i="12" s="1"/>
  <c r="P794" i="12"/>
  <c r="Q794" i="12" s="1" a="1"/>
  <c r="Q794" i="12" s="1"/>
  <c r="R794" i="12"/>
  <c r="S794" i="12" s="1"/>
  <c r="U794" i="12"/>
  <c r="N795" i="12" a="1"/>
  <c r="N795" i="12" s="1"/>
  <c r="P795" i="12"/>
  <c r="Q795" i="12" s="1" a="1"/>
  <c r="Q795" i="12" s="1"/>
  <c r="R795" i="12"/>
  <c r="S795" i="12" s="1"/>
  <c r="U795" i="12"/>
  <c r="N796" i="12" a="1"/>
  <c r="N796" i="12" s="1"/>
  <c r="P796" i="12"/>
  <c r="Q796" i="12" s="1" a="1"/>
  <c r="Q796" i="12" s="1"/>
  <c r="R796" i="12"/>
  <c r="S796" i="12" s="1"/>
  <c r="U796" i="12"/>
  <c r="N797" i="12" a="1"/>
  <c r="N797" i="12" s="1"/>
  <c r="P797" i="12"/>
  <c r="Q797" i="12" s="1" a="1"/>
  <c r="Q797" i="12" s="1"/>
  <c r="R797" i="12"/>
  <c r="S797" i="12" s="1"/>
  <c r="U797" i="12"/>
  <c r="N798" i="12" a="1"/>
  <c r="N798" i="12" s="1"/>
  <c r="P798" i="12"/>
  <c r="Q798" i="12" s="1" a="1"/>
  <c r="Q798" i="12" s="1"/>
  <c r="R798" i="12"/>
  <c r="S798" i="12" s="1"/>
  <c r="U798" i="12"/>
  <c r="N799" i="12" a="1"/>
  <c r="N799" i="12" s="1"/>
  <c r="P799" i="12"/>
  <c r="Q799" i="12" s="1" a="1"/>
  <c r="Q799" i="12" s="1"/>
  <c r="R799" i="12"/>
  <c r="S799" i="12" s="1"/>
  <c r="U799" i="12"/>
  <c r="N800" i="12" a="1"/>
  <c r="N800" i="12" s="1"/>
  <c r="P800" i="12"/>
  <c r="Q800" i="12" s="1" a="1"/>
  <c r="Q800" i="12" s="1"/>
  <c r="R800" i="12"/>
  <c r="S800" i="12" s="1"/>
  <c r="U800" i="12"/>
  <c r="N801" i="12" a="1"/>
  <c r="N801" i="12" s="1"/>
  <c r="P801" i="12"/>
  <c r="Q801" i="12" s="1" a="1"/>
  <c r="Q801" i="12" s="1"/>
  <c r="R801" i="12"/>
  <c r="S801" i="12" s="1"/>
  <c r="U801" i="12"/>
  <c r="N802" i="12" a="1"/>
  <c r="N802" i="12" s="1"/>
  <c r="P802" i="12"/>
  <c r="Q802" i="12" s="1" a="1"/>
  <c r="Q802" i="12" s="1"/>
  <c r="R802" i="12"/>
  <c r="S802" i="12" s="1"/>
  <c r="U802" i="12"/>
  <c r="N803" i="12" a="1"/>
  <c r="N803" i="12" s="1"/>
  <c r="P803" i="12"/>
  <c r="Q803" i="12" s="1" a="1"/>
  <c r="Q803" i="12" s="1"/>
  <c r="R803" i="12"/>
  <c r="S803" i="12" s="1"/>
  <c r="U803" i="12"/>
  <c r="N804" i="12" a="1"/>
  <c r="N804" i="12" s="1"/>
  <c r="P804" i="12"/>
  <c r="Q804" i="12" s="1" a="1"/>
  <c r="Q804" i="12" s="1"/>
  <c r="R804" i="12"/>
  <c r="S804" i="12" s="1"/>
  <c r="U804" i="12"/>
  <c r="N805" i="12" a="1"/>
  <c r="N805" i="12" s="1"/>
  <c r="P805" i="12"/>
  <c r="Q805" i="12" s="1" a="1"/>
  <c r="Q805" i="12" s="1"/>
  <c r="R805" i="12"/>
  <c r="S805" i="12" s="1"/>
  <c r="U805" i="12"/>
  <c r="N806" i="12" a="1"/>
  <c r="N806" i="12" s="1"/>
  <c r="P806" i="12"/>
  <c r="Q806" i="12" s="1" a="1"/>
  <c r="Q806" i="12" s="1"/>
  <c r="R806" i="12"/>
  <c r="S806" i="12" s="1"/>
  <c r="U806" i="12"/>
  <c r="N807" i="12" a="1"/>
  <c r="N807" i="12" s="1"/>
  <c r="P807" i="12"/>
  <c r="Q807" i="12" s="1" a="1"/>
  <c r="Q807" i="12" s="1"/>
  <c r="R807" i="12"/>
  <c r="S807" i="12" s="1"/>
  <c r="U807" i="12"/>
  <c r="N808" i="12" a="1"/>
  <c r="N808" i="12" s="1"/>
  <c r="P808" i="12"/>
  <c r="Q808" i="12" s="1" a="1"/>
  <c r="Q808" i="12" s="1"/>
  <c r="R808" i="12"/>
  <c r="S808" i="12" s="1"/>
  <c r="U808" i="12"/>
  <c r="N809" i="12" a="1"/>
  <c r="N809" i="12" s="1"/>
  <c r="P809" i="12"/>
  <c r="Q809" i="12" s="1" a="1"/>
  <c r="Q809" i="12" s="1"/>
  <c r="R809" i="12"/>
  <c r="S809" i="12" s="1"/>
  <c r="U809" i="12"/>
  <c r="N810" i="12" a="1"/>
  <c r="N810" i="12" s="1"/>
  <c r="P810" i="12"/>
  <c r="Q810" i="12" s="1" a="1"/>
  <c r="Q810" i="12" s="1"/>
  <c r="R810" i="12"/>
  <c r="S810" i="12" s="1"/>
  <c r="U810" i="12"/>
  <c r="N811" i="12" a="1"/>
  <c r="N811" i="12" s="1"/>
  <c r="P811" i="12"/>
  <c r="Q811" i="12" s="1" a="1"/>
  <c r="Q811" i="12" s="1"/>
  <c r="R811" i="12"/>
  <c r="S811" i="12" s="1"/>
  <c r="U811" i="12"/>
  <c r="N812" i="12" a="1"/>
  <c r="N812" i="12" s="1"/>
  <c r="P812" i="12"/>
  <c r="Q812" i="12" s="1" a="1"/>
  <c r="Q812" i="12" s="1"/>
  <c r="R812" i="12"/>
  <c r="S812" i="12" s="1"/>
  <c r="U812" i="12"/>
  <c r="N813" i="12" a="1"/>
  <c r="N813" i="12" s="1"/>
  <c r="P813" i="12"/>
  <c r="Q813" i="12" s="1" a="1"/>
  <c r="Q813" i="12" s="1"/>
  <c r="R813" i="12"/>
  <c r="S813" i="12" s="1"/>
  <c r="U813" i="12"/>
  <c r="N814" i="12" a="1"/>
  <c r="N814" i="12" s="1"/>
  <c r="P814" i="12"/>
  <c r="Q814" i="12" s="1" a="1"/>
  <c r="Q814" i="12" s="1"/>
  <c r="R814" i="12"/>
  <c r="S814" i="12" s="1"/>
  <c r="U814" i="12"/>
  <c r="N815" i="12" a="1"/>
  <c r="N815" i="12" s="1"/>
  <c r="P815" i="12"/>
  <c r="Q815" i="12" s="1" a="1"/>
  <c r="Q815" i="12" s="1"/>
  <c r="R815" i="12"/>
  <c r="S815" i="12" s="1"/>
  <c r="U815" i="12"/>
  <c r="N816" i="12" a="1"/>
  <c r="N816" i="12" s="1"/>
  <c r="P816" i="12"/>
  <c r="Q816" i="12" s="1" a="1"/>
  <c r="Q816" i="12" s="1"/>
  <c r="R816" i="12"/>
  <c r="S816" i="12" s="1"/>
  <c r="U816" i="12"/>
  <c r="N817" i="12" a="1"/>
  <c r="N817" i="12" s="1"/>
  <c r="P817" i="12"/>
  <c r="Q817" i="12" s="1" a="1"/>
  <c r="Q817" i="12" s="1"/>
  <c r="R817" i="12"/>
  <c r="S817" i="12" s="1"/>
  <c r="U817" i="12"/>
  <c r="N818" i="12" a="1"/>
  <c r="N818" i="12" s="1"/>
  <c r="P818" i="12"/>
  <c r="Q818" i="12" s="1" a="1"/>
  <c r="Q818" i="12" s="1"/>
  <c r="R818" i="12"/>
  <c r="S818" i="12" s="1"/>
  <c r="U818" i="12"/>
  <c r="N819" i="12" a="1"/>
  <c r="N819" i="12" s="1"/>
  <c r="P819" i="12"/>
  <c r="Q819" i="12" s="1" a="1"/>
  <c r="Q819" i="12" s="1"/>
  <c r="R819" i="12"/>
  <c r="S819" i="12" s="1"/>
  <c r="U819" i="12"/>
  <c r="N820" i="12" a="1"/>
  <c r="N820" i="12" s="1"/>
  <c r="P820" i="12"/>
  <c r="Q820" i="12" s="1" a="1"/>
  <c r="Q820" i="12" s="1"/>
  <c r="R820" i="12"/>
  <c r="S820" i="12" s="1"/>
  <c r="U820" i="12"/>
  <c r="N821" i="12" a="1"/>
  <c r="N821" i="12" s="1"/>
  <c r="P821" i="12"/>
  <c r="Q821" i="12" s="1" a="1"/>
  <c r="Q821" i="12" s="1"/>
  <c r="R821" i="12"/>
  <c r="S821" i="12" s="1"/>
  <c r="U821" i="12"/>
  <c r="N822" i="12" a="1"/>
  <c r="N822" i="12" s="1"/>
  <c r="P822" i="12"/>
  <c r="Q822" i="12" s="1" a="1"/>
  <c r="Q822" i="12" s="1"/>
  <c r="R822" i="12"/>
  <c r="S822" i="12" s="1"/>
  <c r="U822" i="12"/>
  <c r="N823" i="12" a="1"/>
  <c r="N823" i="12" s="1"/>
  <c r="P823" i="12"/>
  <c r="Q823" i="12" s="1" a="1"/>
  <c r="Q823" i="12" s="1"/>
  <c r="R823" i="12"/>
  <c r="S823" i="12" s="1"/>
  <c r="U823" i="12"/>
  <c r="N824" i="12" a="1"/>
  <c r="N824" i="12" s="1"/>
  <c r="P824" i="12"/>
  <c r="Q824" i="12" s="1" a="1"/>
  <c r="Q824" i="12" s="1"/>
  <c r="R824" i="12"/>
  <c r="S824" i="12" s="1"/>
  <c r="U824" i="12"/>
  <c r="N825" i="12" a="1"/>
  <c r="N825" i="12" s="1"/>
  <c r="P825" i="12"/>
  <c r="Q825" i="12" s="1" a="1"/>
  <c r="Q825" i="12" s="1"/>
  <c r="R825" i="12"/>
  <c r="S825" i="12" s="1"/>
  <c r="U825" i="12"/>
  <c r="N826" i="12" a="1"/>
  <c r="N826" i="12" s="1"/>
  <c r="P826" i="12"/>
  <c r="Q826" i="12" s="1" a="1"/>
  <c r="Q826" i="12" s="1"/>
  <c r="R826" i="12"/>
  <c r="S826" i="12" s="1"/>
  <c r="U826" i="12"/>
  <c r="N827" i="12" a="1"/>
  <c r="N827" i="12" s="1"/>
  <c r="P827" i="12"/>
  <c r="Q827" i="12" s="1" a="1"/>
  <c r="Q827" i="12" s="1"/>
  <c r="R827" i="12"/>
  <c r="S827" i="12" s="1"/>
  <c r="U827" i="12"/>
  <c r="N828" i="12" a="1"/>
  <c r="N828" i="12" s="1"/>
  <c r="P828" i="12"/>
  <c r="Q828" i="12" s="1" a="1"/>
  <c r="Q828" i="12" s="1"/>
  <c r="R828" i="12"/>
  <c r="S828" i="12" s="1"/>
  <c r="U828" i="12"/>
  <c r="N829" i="12" a="1"/>
  <c r="N829" i="12" s="1"/>
  <c r="P829" i="12"/>
  <c r="Q829" i="12" s="1" a="1"/>
  <c r="Q829" i="12" s="1"/>
  <c r="R829" i="12"/>
  <c r="S829" i="12" s="1"/>
  <c r="U829" i="12"/>
  <c r="N830" i="12" a="1"/>
  <c r="N830" i="12" s="1"/>
  <c r="P830" i="12"/>
  <c r="Q830" i="12" s="1" a="1"/>
  <c r="Q830" i="12" s="1"/>
  <c r="R830" i="12"/>
  <c r="S830" i="12" s="1"/>
  <c r="U830" i="12"/>
  <c r="N831" i="12" a="1"/>
  <c r="N831" i="12" s="1"/>
  <c r="P831" i="12"/>
  <c r="Q831" i="12" s="1" a="1"/>
  <c r="Q831" i="12" s="1"/>
  <c r="R831" i="12"/>
  <c r="S831" i="12" s="1"/>
  <c r="U831" i="12"/>
  <c r="N832" i="12" a="1"/>
  <c r="N832" i="12" s="1"/>
  <c r="P832" i="12"/>
  <c r="Q832" i="12" s="1" a="1"/>
  <c r="Q832" i="12" s="1"/>
  <c r="R832" i="12"/>
  <c r="S832" i="12" s="1"/>
  <c r="U832" i="12"/>
  <c r="N833" i="12" a="1"/>
  <c r="N833" i="12" s="1"/>
  <c r="P833" i="12"/>
  <c r="Q833" i="12" s="1" a="1"/>
  <c r="Q833" i="12" s="1"/>
  <c r="R833" i="12"/>
  <c r="S833" i="12" s="1"/>
  <c r="U833" i="12"/>
  <c r="N834" i="12" a="1"/>
  <c r="N834" i="12" s="1"/>
  <c r="P834" i="12"/>
  <c r="Q834" i="12" s="1" a="1"/>
  <c r="Q834" i="12" s="1"/>
  <c r="R834" i="12"/>
  <c r="S834" i="12" s="1"/>
  <c r="U834" i="12"/>
  <c r="N835" i="12" a="1"/>
  <c r="N835" i="12" s="1"/>
  <c r="P835" i="12"/>
  <c r="Q835" i="12" s="1" a="1"/>
  <c r="Q835" i="12" s="1"/>
  <c r="R835" i="12"/>
  <c r="S835" i="12" s="1"/>
  <c r="U835" i="12"/>
  <c r="N836" i="12" a="1"/>
  <c r="N836" i="12" s="1"/>
  <c r="P836" i="12"/>
  <c r="Q836" i="12" s="1" a="1"/>
  <c r="Q836" i="12" s="1"/>
  <c r="R836" i="12"/>
  <c r="S836" i="12" s="1"/>
  <c r="U836" i="12"/>
  <c r="N837" i="12" a="1"/>
  <c r="N837" i="12" s="1"/>
  <c r="P837" i="12"/>
  <c r="Q837" i="12" s="1" a="1"/>
  <c r="Q837" i="12" s="1"/>
  <c r="R837" i="12"/>
  <c r="S837" i="12" s="1"/>
  <c r="U837" i="12"/>
  <c r="N838" i="12" a="1"/>
  <c r="N838" i="12" s="1"/>
  <c r="P838" i="12"/>
  <c r="Q838" i="12" s="1" a="1"/>
  <c r="Q838" i="12" s="1"/>
  <c r="R838" i="12"/>
  <c r="S838" i="12" s="1"/>
  <c r="U838" i="12"/>
  <c r="N839" i="12" a="1"/>
  <c r="N839" i="12" s="1"/>
  <c r="P839" i="12"/>
  <c r="Q839" i="12" s="1" a="1"/>
  <c r="Q839" i="12" s="1"/>
  <c r="R839" i="12"/>
  <c r="S839" i="12" s="1"/>
  <c r="U839" i="12"/>
  <c r="N840" i="12" a="1"/>
  <c r="N840" i="12" s="1"/>
  <c r="P840" i="12"/>
  <c r="Q840" i="12" s="1" a="1"/>
  <c r="Q840" i="12" s="1"/>
  <c r="R840" i="12"/>
  <c r="S840" i="12" s="1"/>
  <c r="U840" i="12"/>
  <c r="N841" i="12" a="1"/>
  <c r="N841" i="12" s="1"/>
  <c r="P841" i="12"/>
  <c r="Q841" i="12" s="1" a="1"/>
  <c r="Q841" i="12" s="1"/>
  <c r="R841" i="12"/>
  <c r="S841" i="12" s="1"/>
  <c r="U841" i="12"/>
  <c r="N842" i="12" a="1"/>
  <c r="N842" i="12" s="1"/>
  <c r="P842" i="12"/>
  <c r="Q842" i="12" s="1" a="1"/>
  <c r="Q842" i="12" s="1"/>
  <c r="R842" i="12"/>
  <c r="S842" i="12" s="1"/>
  <c r="U842" i="12"/>
  <c r="N843" i="12" a="1"/>
  <c r="N843" i="12" s="1"/>
  <c r="P843" i="12"/>
  <c r="Q843" i="12" s="1" a="1"/>
  <c r="Q843" i="12" s="1"/>
  <c r="R843" i="12"/>
  <c r="S843" i="12" s="1"/>
  <c r="U843" i="12"/>
  <c r="N844" i="12" a="1"/>
  <c r="N844" i="12" s="1"/>
  <c r="P844" i="12"/>
  <c r="Q844" i="12" s="1" a="1"/>
  <c r="Q844" i="12" s="1"/>
  <c r="R844" i="12"/>
  <c r="S844" i="12" s="1"/>
  <c r="U844" i="12"/>
  <c r="N845" i="12" a="1"/>
  <c r="N845" i="12" s="1"/>
  <c r="P845" i="12"/>
  <c r="Q845" i="12" s="1" a="1"/>
  <c r="Q845" i="12" s="1"/>
  <c r="R845" i="12"/>
  <c r="S845" i="12" s="1"/>
  <c r="U845" i="12"/>
  <c r="N846" i="12" a="1"/>
  <c r="N846" i="12" s="1"/>
  <c r="P846" i="12"/>
  <c r="Q846" i="12" s="1" a="1"/>
  <c r="Q846" i="12" s="1"/>
  <c r="R846" i="12"/>
  <c r="S846" i="12" s="1"/>
  <c r="U846" i="12"/>
  <c r="N847" i="12" a="1"/>
  <c r="N847" i="12" s="1"/>
  <c r="P847" i="12"/>
  <c r="Q847" i="12" s="1" a="1"/>
  <c r="Q847" i="12" s="1"/>
  <c r="R847" i="12"/>
  <c r="S847" i="12" s="1"/>
  <c r="U847" i="12"/>
  <c r="N848" i="12" a="1"/>
  <c r="N848" i="12" s="1"/>
  <c r="P848" i="12"/>
  <c r="Q848" i="12" s="1" a="1"/>
  <c r="Q848" i="12" s="1"/>
  <c r="R848" i="12"/>
  <c r="S848" i="12" s="1"/>
  <c r="U848" i="12"/>
  <c r="N849" i="12" a="1"/>
  <c r="N849" i="12" s="1"/>
  <c r="P849" i="12"/>
  <c r="Q849" i="12" s="1" a="1"/>
  <c r="Q849" i="12" s="1"/>
  <c r="R849" i="12"/>
  <c r="S849" i="12" s="1"/>
  <c r="U849" i="12"/>
  <c r="N850" i="12" a="1"/>
  <c r="N850" i="12" s="1"/>
  <c r="P850" i="12"/>
  <c r="Q850" i="12" s="1" a="1"/>
  <c r="Q850" i="12" s="1"/>
  <c r="R850" i="12"/>
  <c r="S850" i="12" s="1"/>
  <c r="U850" i="12"/>
  <c r="N851" i="12" a="1"/>
  <c r="N851" i="12" s="1"/>
  <c r="P851" i="12"/>
  <c r="Q851" i="12" s="1" a="1"/>
  <c r="Q851" i="12" s="1"/>
  <c r="R851" i="12"/>
  <c r="S851" i="12" s="1"/>
  <c r="U851" i="12"/>
  <c r="N852" i="12" a="1"/>
  <c r="N852" i="12" s="1"/>
  <c r="P852" i="12"/>
  <c r="Q852" i="12" s="1" a="1"/>
  <c r="Q852" i="12" s="1"/>
  <c r="R852" i="12"/>
  <c r="S852" i="12" s="1"/>
  <c r="U852" i="12"/>
  <c r="N853" i="12" a="1"/>
  <c r="N853" i="12" s="1"/>
  <c r="P853" i="12"/>
  <c r="Q853" i="12" s="1" a="1"/>
  <c r="Q853" i="12" s="1"/>
  <c r="R853" i="12"/>
  <c r="S853" i="12" s="1"/>
  <c r="U853" i="12"/>
  <c r="N854" i="12" a="1"/>
  <c r="N854" i="12" s="1"/>
  <c r="P854" i="12"/>
  <c r="Q854" i="12" s="1" a="1"/>
  <c r="Q854" i="12" s="1"/>
  <c r="R854" i="12"/>
  <c r="S854" i="12" s="1"/>
  <c r="U854" i="12"/>
  <c r="N855" i="12" a="1"/>
  <c r="N855" i="12" s="1"/>
  <c r="P855" i="12"/>
  <c r="Q855" i="12" s="1" a="1"/>
  <c r="Q855" i="12" s="1"/>
  <c r="R855" i="12"/>
  <c r="S855" i="12" s="1"/>
  <c r="U855" i="12"/>
  <c r="N856" i="12" a="1"/>
  <c r="N856" i="12" s="1"/>
  <c r="P856" i="12"/>
  <c r="Q856" i="12" s="1" a="1"/>
  <c r="Q856" i="12" s="1"/>
  <c r="R856" i="12"/>
  <c r="S856" i="12" s="1"/>
  <c r="U856" i="12"/>
  <c r="N857" i="12" a="1"/>
  <c r="N857" i="12" s="1"/>
  <c r="P857" i="12"/>
  <c r="Q857" i="12" s="1" a="1"/>
  <c r="Q857" i="12" s="1"/>
  <c r="R857" i="12"/>
  <c r="S857" i="12" s="1"/>
  <c r="U857" i="12"/>
  <c r="N858" i="12" a="1"/>
  <c r="N858" i="12" s="1"/>
  <c r="P858" i="12"/>
  <c r="Q858" i="12" s="1" a="1"/>
  <c r="Q858" i="12" s="1"/>
  <c r="R858" i="12"/>
  <c r="S858" i="12" s="1"/>
  <c r="U858" i="12"/>
  <c r="N859" i="12" a="1"/>
  <c r="N859" i="12" s="1"/>
  <c r="P859" i="12"/>
  <c r="Q859" i="12" s="1" a="1"/>
  <c r="Q859" i="12" s="1"/>
  <c r="R859" i="12"/>
  <c r="S859" i="12" s="1"/>
  <c r="U859" i="12"/>
  <c r="N860" i="12" a="1"/>
  <c r="N860" i="12" s="1"/>
  <c r="P860" i="12"/>
  <c r="Q860" i="12" s="1" a="1"/>
  <c r="Q860" i="12" s="1"/>
  <c r="R860" i="12"/>
  <c r="S860" i="12" s="1"/>
  <c r="U860" i="12"/>
  <c r="N861" i="12" a="1"/>
  <c r="N861" i="12" s="1"/>
  <c r="P861" i="12"/>
  <c r="Q861" i="12" s="1" a="1"/>
  <c r="Q861" i="12" s="1"/>
  <c r="R861" i="12"/>
  <c r="S861" i="12" s="1"/>
  <c r="U861" i="12"/>
  <c r="N862" i="12" a="1"/>
  <c r="N862" i="12" s="1"/>
  <c r="P862" i="12"/>
  <c r="Q862" i="12" s="1" a="1"/>
  <c r="Q862" i="12" s="1"/>
  <c r="R862" i="12"/>
  <c r="S862" i="12" s="1"/>
  <c r="U862" i="12"/>
  <c r="N863" i="12" a="1"/>
  <c r="N863" i="12" s="1"/>
  <c r="P863" i="12"/>
  <c r="Q863" i="12" s="1" a="1"/>
  <c r="Q863" i="12" s="1"/>
  <c r="R863" i="12"/>
  <c r="S863" i="12" s="1"/>
  <c r="U863" i="12"/>
  <c r="N864" i="12" a="1"/>
  <c r="N864" i="12" s="1"/>
  <c r="P864" i="12"/>
  <c r="Q864" i="12" s="1" a="1"/>
  <c r="Q864" i="12" s="1"/>
  <c r="R864" i="12"/>
  <c r="S864" i="12" s="1"/>
  <c r="U864" i="12"/>
  <c r="N865" i="12" a="1"/>
  <c r="N865" i="12" s="1"/>
  <c r="P865" i="12"/>
  <c r="Q865" i="12" s="1" a="1"/>
  <c r="Q865" i="12" s="1"/>
  <c r="R865" i="12"/>
  <c r="S865" i="12" s="1"/>
  <c r="U865" i="12"/>
  <c r="N866" i="12" a="1"/>
  <c r="N866" i="12" s="1"/>
  <c r="P866" i="12"/>
  <c r="Q866" i="12" s="1" a="1"/>
  <c r="Q866" i="12" s="1"/>
  <c r="R866" i="12"/>
  <c r="S866" i="12" s="1"/>
  <c r="U866" i="12"/>
  <c r="N867" i="12" a="1"/>
  <c r="N867" i="12" s="1"/>
  <c r="P867" i="12"/>
  <c r="Q867" i="12" s="1" a="1"/>
  <c r="Q867" i="12" s="1"/>
  <c r="R867" i="12"/>
  <c r="S867" i="12" s="1"/>
  <c r="U867" i="12"/>
  <c r="N868" i="12" a="1"/>
  <c r="N868" i="12" s="1"/>
  <c r="P868" i="12"/>
  <c r="Q868" i="12" s="1" a="1"/>
  <c r="Q868" i="12" s="1"/>
  <c r="R868" i="12"/>
  <c r="S868" i="12" s="1"/>
  <c r="U868" i="12"/>
  <c r="N869" i="12" a="1"/>
  <c r="N869" i="12" s="1"/>
  <c r="P869" i="12"/>
  <c r="Q869" i="12" s="1" a="1"/>
  <c r="Q869" i="12" s="1"/>
  <c r="R869" i="12"/>
  <c r="S869" i="12" s="1"/>
  <c r="U869" i="12"/>
  <c r="N870" i="12" a="1"/>
  <c r="N870" i="12" s="1"/>
  <c r="P870" i="12"/>
  <c r="Q870" i="12" s="1" a="1"/>
  <c r="Q870" i="12" s="1"/>
  <c r="R870" i="12"/>
  <c r="S870" i="12" s="1"/>
  <c r="U870" i="12"/>
  <c r="N871" i="12" a="1"/>
  <c r="N871" i="12" s="1"/>
  <c r="P871" i="12"/>
  <c r="Q871" i="12" s="1" a="1"/>
  <c r="Q871" i="12" s="1"/>
  <c r="R871" i="12"/>
  <c r="S871" i="12" s="1"/>
  <c r="U871" i="12"/>
  <c r="N872" i="12" a="1"/>
  <c r="N872" i="12" s="1"/>
  <c r="P872" i="12"/>
  <c r="Q872" i="12" s="1" a="1"/>
  <c r="Q872" i="12" s="1"/>
  <c r="R872" i="12"/>
  <c r="S872" i="12" s="1"/>
  <c r="U872" i="12"/>
  <c r="N873" i="12" a="1"/>
  <c r="N873" i="12" s="1"/>
  <c r="P873" i="12"/>
  <c r="Q873" i="12" s="1" a="1"/>
  <c r="Q873" i="12" s="1"/>
  <c r="R873" i="12"/>
  <c r="S873" i="12" s="1"/>
  <c r="U873" i="12"/>
  <c r="N874" i="12" a="1"/>
  <c r="N874" i="12" s="1"/>
  <c r="P874" i="12"/>
  <c r="Q874" i="12" s="1" a="1"/>
  <c r="Q874" i="12" s="1"/>
  <c r="R874" i="12"/>
  <c r="S874" i="12" s="1"/>
  <c r="U874" i="12"/>
  <c r="N875" i="12" a="1"/>
  <c r="N875" i="12" s="1"/>
  <c r="P875" i="12"/>
  <c r="Q875" i="12" s="1" a="1"/>
  <c r="Q875" i="12" s="1"/>
  <c r="R875" i="12"/>
  <c r="S875" i="12" s="1"/>
  <c r="U875" i="12"/>
  <c r="N876" i="12" a="1"/>
  <c r="N876" i="12" s="1"/>
  <c r="P876" i="12"/>
  <c r="Q876" i="12" s="1" a="1"/>
  <c r="Q876" i="12" s="1"/>
  <c r="R876" i="12"/>
  <c r="S876" i="12" s="1"/>
  <c r="U876" i="12"/>
  <c r="N877" i="12" a="1"/>
  <c r="N877" i="12" s="1"/>
  <c r="P877" i="12"/>
  <c r="Q877" i="12" s="1" a="1"/>
  <c r="Q877" i="12" s="1"/>
  <c r="R877" i="12"/>
  <c r="S877" i="12" s="1"/>
  <c r="U877" i="12"/>
  <c r="N878" i="12" a="1"/>
  <c r="N878" i="12" s="1"/>
  <c r="P878" i="12"/>
  <c r="Q878" i="12" s="1" a="1"/>
  <c r="Q878" i="12" s="1"/>
  <c r="R878" i="12"/>
  <c r="S878" i="12" s="1"/>
  <c r="U878" i="12"/>
  <c r="N879" i="12" a="1"/>
  <c r="N879" i="12" s="1"/>
  <c r="P879" i="12"/>
  <c r="Q879" i="12" s="1" a="1"/>
  <c r="Q879" i="12" s="1"/>
  <c r="R879" i="12"/>
  <c r="S879" i="12" s="1"/>
  <c r="U879" i="12"/>
  <c r="N880" i="12" a="1"/>
  <c r="N880" i="12" s="1"/>
  <c r="P880" i="12"/>
  <c r="Q880" i="12" s="1" a="1"/>
  <c r="Q880" i="12" s="1"/>
  <c r="R880" i="12"/>
  <c r="S880" i="12" s="1"/>
  <c r="U880" i="12"/>
  <c r="N881" i="12" a="1"/>
  <c r="N881" i="12" s="1"/>
  <c r="P881" i="12"/>
  <c r="Q881" i="12" s="1" a="1"/>
  <c r="Q881" i="12" s="1"/>
  <c r="R881" i="12"/>
  <c r="S881" i="12" s="1"/>
  <c r="U881" i="12"/>
  <c r="N882" i="12" a="1"/>
  <c r="N882" i="12" s="1"/>
  <c r="P882" i="12"/>
  <c r="Q882" i="12" s="1" a="1"/>
  <c r="Q882" i="12" s="1"/>
  <c r="R882" i="12"/>
  <c r="S882" i="12" s="1"/>
  <c r="U882" i="12"/>
  <c r="N883" i="12" a="1"/>
  <c r="N883" i="12" s="1"/>
  <c r="P883" i="12"/>
  <c r="Q883" i="12" s="1" a="1"/>
  <c r="Q883" i="12" s="1"/>
  <c r="R883" i="12"/>
  <c r="S883" i="12" s="1"/>
  <c r="U883" i="12"/>
  <c r="N884" i="12" a="1"/>
  <c r="N884" i="12" s="1"/>
  <c r="P884" i="12"/>
  <c r="Q884" i="12" s="1" a="1"/>
  <c r="Q884" i="12" s="1"/>
  <c r="R884" i="12"/>
  <c r="S884" i="12" s="1"/>
  <c r="U884" i="12"/>
  <c r="N885" i="12" a="1"/>
  <c r="N885" i="12" s="1"/>
  <c r="P885" i="12"/>
  <c r="Q885" i="12" s="1" a="1"/>
  <c r="Q885" i="12" s="1"/>
  <c r="R885" i="12"/>
  <c r="S885" i="12" s="1"/>
  <c r="U885" i="12"/>
  <c r="N886" i="12" a="1"/>
  <c r="N886" i="12" s="1"/>
  <c r="P886" i="12"/>
  <c r="Q886" i="12" s="1" a="1"/>
  <c r="Q886" i="12" s="1"/>
  <c r="R886" i="12"/>
  <c r="S886" i="12" s="1"/>
  <c r="U886" i="12"/>
  <c r="N887" i="12" a="1"/>
  <c r="N887" i="12" s="1"/>
  <c r="P887" i="12"/>
  <c r="Q887" i="12" s="1" a="1"/>
  <c r="Q887" i="12" s="1"/>
  <c r="R887" i="12"/>
  <c r="S887" i="12" s="1"/>
  <c r="U887" i="12"/>
  <c r="N888" i="12" a="1"/>
  <c r="N888" i="12" s="1"/>
  <c r="P888" i="12"/>
  <c r="Q888" i="12" s="1" a="1"/>
  <c r="Q888" i="12" s="1"/>
  <c r="R888" i="12"/>
  <c r="S888" i="12" s="1"/>
  <c r="U888" i="12"/>
  <c r="N889" i="12" a="1"/>
  <c r="N889" i="12" s="1"/>
  <c r="P889" i="12"/>
  <c r="Q889" i="12" s="1" a="1"/>
  <c r="Q889" i="12" s="1"/>
  <c r="R889" i="12"/>
  <c r="S889" i="12" s="1"/>
  <c r="U889" i="12"/>
  <c r="N890" i="12" a="1"/>
  <c r="N890" i="12" s="1"/>
  <c r="P890" i="12"/>
  <c r="Q890" i="12" s="1" a="1"/>
  <c r="Q890" i="12" s="1"/>
  <c r="R890" i="12"/>
  <c r="S890" i="12" s="1"/>
  <c r="U890" i="12"/>
  <c r="N891" i="12" a="1"/>
  <c r="N891" i="12" s="1"/>
  <c r="P891" i="12"/>
  <c r="Q891" i="12" s="1" a="1"/>
  <c r="Q891" i="12" s="1"/>
  <c r="R891" i="12"/>
  <c r="S891" i="12" s="1"/>
  <c r="U891" i="12"/>
  <c r="N892" i="12" a="1"/>
  <c r="N892" i="12" s="1"/>
  <c r="P892" i="12"/>
  <c r="Q892" i="12" s="1" a="1"/>
  <c r="Q892" i="12" s="1"/>
  <c r="R892" i="12"/>
  <c r="S892" i="12" s="1"/>
  <c r="U892" i="12"/>
  <c r="N893" i="12" a="1"/>
  <c r="N893" i="12" s="1"/>
  <c r="P893" i="12"/>
  <c r="Q893" i="12" s="1" a="1"/>
  <c r="Q893" i="12" s="1"/>
  <c r="R893" i="12"/>
  <c r="S893" i="12" s="1"/>
  <c r="U893" i="12"/>
  <c r="N894" i="12" a="1"/>
  <c r="N894" i="12" s="1"/>
  <c r="P894" i="12"/>
  <c r="Q894" i="12" s="1" a="1"/>
  <c r="Q894" i="12" s="1"/>
  <c r="R894" i="12"/>
  <c r="S894" i="12" s="1"/>
  <c r="U894" i="12"/>
  <c r="N895" i="12" a="1"/>
  <c r="N895" i="12" s="1"/>
  <c r="P895" i="12"/>
  <c r="Q895" i="12" s="1" a="1"/>
  <c r="Q895" i="12" s="1"/>
  <c r="R895" i="12"/>
  <c r="S895" i="12" s="1"/>
  <c r="U895" i="12"/>
  <c r="N896" i="12" a="1"/>
  <c r="N896" i="12" s="1"/>
  <c r="P896" i="12"/>
  <c r="Q896" i="12" s="1" a="1"/>
  <c r="Q896" i="12" s="1"/>
  <c r="R896" i="12"/>
  <c r="S896" i="12" s="1"/>
  <c r="U896" i="12"/>
  <c r="N897" i="12" a="1"/>
  <c r="N897" i="12" s="1"/>
  <c r="P897" i="12"/>
  <c r="Q897" i="12" s="1" a="1"/>
  <c r="Q897" i="12" s="1"/>
  <c r="R897" i="12"/>
  <c r="S897" i="12" s="1"/>
  <c r="U897" i="12"/>
  <c r="N898" i="12" a="1"/>
  <c r="N898" i="12" s="1"/>
  <c r="P898" i="12"/>
  <c r="Q898" i="12" s="1" a="1"/>
  <c r="Q898" i="12" s="1"/>
  <c r="R898" i="12"/>
  <c r="S898" i="12" s="1"/>
  <c r="U898" i="12"/>
  <c r="N899" i="12" a="1"/>
  <c r="N899" i="12" s="1"/>
  <c r="P899" i="12"/>
  <c r="Q899" i="12" s="1" a="1"/>
  <c r="Q899" i="12" s="1"/>
  <c r="R899" i="12"/>
  <c r="S899" i="12" s="1"/>
  <c r="U899" i="12"/>
  <c r="N900" i="12" a="1"/>
  <c r="N900" i="12" s="1"/>
  <c r="P900" i="12"/>
  <c r="Q900" i="12" s="1" a="1"/>
  <c r="Q900" i="12" s="1"/>
  <c r="R900" i="12"/>
  <c r="S900" i="12" s="1"/>
  <c r="U900" i="12"/>
  <c r="N901" i="12" a="1"/>
  <c r="N901" i="12" s="1"/>
  <c r="P901" i="12"/>
  <c r="Q901" i="12" s="1" a="1"/>
  <c r="Q901" i="12" s="1"/>
  <c r="R901" i="12"/>
  <c r="S901" i="12" s="1"/>
  <c r="U901" i="12"/>
  <c r="N902" i="12" a="1"/>
  <c r="N902" i="12" s="1"/>
  <c r="P902" i="12"/>
  <c r="Q902" i="12" s="1" a="1"/>
  <c r="Q902" i="12" s="1"/>
  <c r="R902" i="12"/>
  <c r="S902" i="12" s="1"/>
  <c r="U902" i="12"/>
  <c r="N903" i="12" a="1"/>
  <c r="N903" i="12" s="1"/>
  <c r="P903" i="12"/>
  <c r="Q903" i="12" s="1" a="1"/>
  <c r="Q903" i="12" s="1"/>
  <c r="R903" i="12"/>
  <c r="S903" i="12" s="1"/>
  <c r="U903" i="12"/>
  <c r="N904" i="12" a="1"/>
  <c r="N904" i="12" s="1"/>
  <c r="P904" i="12"/>
  <c r="Q904" i="12" s="1" a="1"/>
  <c r="Q904" i="12" s="1"/>
  <c r="R904" i="12"/>
  <c r="S904" i="12" s="1"/>
  <c r="U904" i="12"/>
  <c r="N905" i="12" a="1"/>
  <c r="N905" i="12" s="1"/>
  <c r="P905" i="12"/>
  <c r="Q905" i="12" s="1" a="1"/>
  <c r="Q905" i="12" s="1"/>
  <c r="R905" i="12"/>
  <c r="S905" i="12" s="1"/>
  <c r="U905" i="12"/>
  <c r="N906" i="12" a="1"/>
  <c r="N906" i="12" s="1"/>
  <c r="P906" i="12"/>
  <c r="Q906" i="12" s="1" a="1"/>
  <c r="Q906" i="12" s="1"/>
  <c r="R906" i="12"/>
  <c r="S906" i="12" s="1"/>
  <c r="U906" i="12"/>
  <c r="N907" i="12" a="1"/>
  <c r="N907" i="12" s="1"/>
  <c r="P907" i="12"/>
  <c r="Q907" i="12" s="1" a="1"/>
  <c r="Q907" i="12" s="1"/>
  <c r="R907" i="12"/>
  <c r="S907" i="12" s="1"/>
  <c r="U907" i="12"/>
  <c r="N908" i="12" a="1"/>
  <c r="N908" i="12" s="1"/>
  <c r="P908" i="12"/>
  <c r="Q908" i="12" s="1" a="1"/>
  <c r="Q908" i="12" s="1"/>
  <c r="R908" i="12"/>
  <c r="S908" i="12" s="1"/>
  <c r="U908" i="12"/>
  <c r="N909" i="12" a="1"/>
  <c r="N909" i="12" s="1"/>
  <c r="P909" i="12"/>
  <c r="Q909" i="12" s="1" a="1"/>
  <c r="Q909" i="12" s="1"/>
  <c r="R909" i="12"/>
  <c r="S909" i="12" s="1"/>
  <c r="U909" i="12"/>
  <c r="N910" i="12" a="1"/>
  <c r="N910" i="12" s="1"/>
  <c r="P910" i="12"/>
  <c r="Q910" i="12" s="1" a="1"/>
  <c r="Q910" i="12" s="1"/>
  <c r="R910" i="12"/>
  <c r="S910" i="12" s="1"/>
  <c r="U910" i="12"/>
  <c r="N911" i="12" a="1"/>
  <c r="N911" i="12" s="1"/>
  <c r="P911" i="12"/>
  <c r="Q911" i="12" s="1" a="1"/>
  <c r="Q911" i="12" s="1"/>
  <c r="R911" i="12"/>
  <c r="S911" i="12" s="1"/>
  <c r="U911" i="12"/>
  <c r="N912" i="12" a="1"/>
  <c r="N912" i="12" s="1"/>
  <c r="P912" i="12"/>
  <c r="Q912" i="12" s="1" a="1"/>
  <c r="Q912" i="12" s="1"/>
  <c r="R912" i="12"/>
  <c r="S912" i="12" s="1"/>
  <c r="U912" i="12"/>
  <c r="N913" i="12" a="1"/>
  <c r="N913" i="12" s="1"/>
  <c r="P913" i="12"/>
  <c r="Q913" i="12" s="1" a="1"/>
  <c r="Q913" i="12" s="1"/>
  <c r="R913" i="12"/>
  <c r="S913" i="12" s="1"/>
  <c r="U913" i="12"/>
  <c r="N914" i="12" a="1"/>
  <c r="N914" i="12" s="1"/>
  <c r="P914" i="12"/>
  <c r="Q914" i="12" s="1" a="1"/>
  <c r="Q914" i="12" s="1"/>
  <c r="R914" i="12"/>
  <c r="S914" i="12" s="1"/>
  <c r="U914" i="12"/>
  <c r="N915" i="12" a="1"/>
  <c r="N915" i="12" s="1"/>
  <c r="P915" i="12"/>
  <c r="Q915" i="12" s="1" a="1"/>
  <c r="Q915" i="12" s="1"/>
  <c r="R915" i="12"/>
  <c r="S915" i="12" s="1"/>
  <c r="U915" i="12"/>
  <c r="N916" i="12" a="1"/>
  <c r="N916" i="12" s="1"/>
  <c r="P916" i="12"/>
  <c r="Q916" i="12" s="1" a="1"/>
  <c r="Q916" i="12" s="1"/>
  <c r="R916" i="12"/>
  <c r="S916" i="12" s="1"/>
  <c r="U916" i="12"/>
  <c r="N917" i="12" a="1"/>
  <c r="N917" i="12" s="1"/>
  <c r="P917" i="12"/>
  <c r="Q917" i="12" s="1" a="1"/>
  <c r="Q917" i="12" s="1"/>
  <c r="R917" i="12"/>
  <c r="S917" i="12" s="1"/>
  <c r="U917" i="12"/>
  <c r="N918" i="12" a="1"/>
  <c r="N918" i="12" s="1"/>
  <c r="P918" i="12"/>
  <c r="Q918" i="12" s="1" a="1"/>
  <c r="Q918" i="12" s="1"/>
  <c r="R918" i="12"/>
  <c r="S918" i="12" s="1"/>
  <c r="U918" i="12"/>
  <c r="N919" i="12" a="1"/>
  <c r="N919" i="12" s="1"/>
  <c r="P919" i="12"/>
  <c r="Q919" i="12" s="1" a="1"/>
  <c r="Q919" i="12" s="1"/>
  <c r="R919" i="12"/>
  <c r="S919" i="12" s="1"/>
  <c r="U919" i="12"/>
  <c r="N920" i="12" a="1"/>
  <c r="N920" i="12" s="1"/>
  <c r="P920" i="12"/>
  <c r="Q920" i="12" s="1" a="1"/>
  <c r="Q920" i="12" s="1"/>
  <c r="R920" i="12"/>
  <c r="S920" i="12" s="1"/>
  <c r="U920" i="12"/>
  <c r="N921" i="12" a="1"/>
  <c r="N921" i="12" s="1"/>
  <c r="P921" i="12"/>
  <c r="Q921" i="12" s="1" a="1"/>
  <c r="Q921" i="12" s="1"/>
  <c r="R921" i="12"/>
  <c r="S921" i="12" s="1"/>
  <c r="U921" i="12"/>
  <c r="N922" i="12" a="1"/>
  <c r="N922" i="12" s="1"/>
  <c r="P922" i="12"/>
  <c r="Q922" i="12" s="1" a="1"/>
  <c r="Q922" i="12" s="1"/>
  <c r="R922" i="12"/>
  <c r="S922" i="12" s="1"/>
  <c r="U922" i="12"/>
  <c r="N923" i="12" a="1"/>
  <c r="N923" i="12" s="1"/>
  <c r="P923" i="12"/>
  <c r="Q923" i="12" s="1" a="1"/>
  <c r="Q923" i="12" s="1"/>
  <c r="R923" i="12"/>
  <c r="S923" i="12" s="1"/>
  <c r="U923" i="12"/>
  <c r="N924" i="12" a="1"/>
  <c r="N924" i="12" s="1"/>
  <c r="P924" i="12"/>
  <c r="Q924" i="12" s="1" a="1"/>
  <c r="Q924" i="12" s="1"/>
  <c r="R924" i="12"/>
  <c r="S924" i="12" s="1"/>
  <c r="U924" i="12"/>
  <c r="N925" i="12" a="1"/>
  <c r="N925" i="12" s="1"/>
  <c r="P925" i="12"/>
  <c r="Q925" i="12" s="1" a="1"/>
  <c r="Q925" i="12" s="1"/>
  <c r="R925" i="12"/>
  <c r="S925" i="12" s="1"/>
  <c r="U925" i="12"/>
  <c r="N926" i="12" a="1"/>
  <c r="N926" i="12" s="1"/>
  <c r="P926" i="12"/>
  <c r="Q926" i="12" s="1" a="1"/>
  <c r="Q926" i="12" s="1"/>
  <c r="R926" i="12"/>
  <c r="S926" i="12" s="1"/>
  <c r="U926" i="12"/>
  <c r="N927" i="12" a="1"/>
  <c r="N927" i="12" s="1"/>
  <c r="P927" i="12"/>
  <c r="Q927" i="12" s="1" a="1"/>
  <c r="Q927" i="12" s="1"/>
  <c r="R927" i="12"/>
  <c r="S927" i="12" s="1"/>
  <c r="U927" i="12"/>
  <c r="N928" i="12" a="1"/>
  <c r="N928" i="12" s="1"/>
  <c r="P928" i="12"/>
  <c r="Q928" i="12" s="1" a="1"/>
  <c r="Q928" i="12" s="1"/>
  <c r="R928" i="12"/>
  <c r="S928" i="12" s="1"/>
  <c r="U928" i="12"/>
  <c r="N929" i="12" a="1"/>
  <c r="N929" i="12" s="1"/>
  <c r="P929" i="12"/>
  <c r="Q929" i="12" s="1" a="1"/>
  <c r="Q929" i="12" s="1"/>
  <c r="R929" i="12"/>
  <c r="S929" i="12" s="1"/>
  <c r="U929" i="12"/>
  <c r="N930" i="12" a="1"/>
  <c r="N930" i="12" s="1"/>
  <c r="P930" i="12"/>
  <c r="Q930" i="12" s="1" a="1"/>
  <c r="Q930" i="12" s="1"/>
  <c r="R930" i="12"/>
  <c r="S930" i="12" s="1"/>
  <c r="U930" i="12"/>
  <c r="N931" i="12" a="1"/>
  <c r="N931" i="12" s="1"/>
  <c r="P931" i="12"/>
  <c r="Q931" i="12" s="1" a="1"/>
  <c r="Q931" i="12" s="1"/>
  <c r="R931" i="12"/>
  <c r="S931" i="12" s="1"/>
  <c r="U931" i="12"/>
  <c r="N932" i="12" a="1"/>
  <c r="N932" i="12" s="1"/>
  <c r="P932" i="12"/>
  <c r="Q932" i="12" s="1" a="1"/>
  <c r="Q932" i="12" s="1"/>
  <c r="R932" i="12"/>
  <c r="S932" i="12" s="1"/>
  <c r="U932" i="12"/>
  <c r="N933" i="12" a="1"/>
  <c r="N933" i="12" s="1"/>
  <c r="P933" i="12"/>
  <c r="Q933" i="12" s="1" a="1"/>
  <c r="Q933" i="12" s="1"/>
  <c r="R933" i="12"/>
  <c r="S933" i="12" s="1"/>
  <c r="U933" i="12"/>
  <c r="N934" i="12" a="1"/>
  <c r="N934" i="12" s="1"/>
  <c r="P934" i="12"/>
  <c r="Q934" i="12" s="1" a="1"/>
  <c r="Q934" i="12" s="1"/>
  <c r="R934" i="12"/>
  <c r="S934" i="12" s="1"/>
  <c r="U934" i="12"/>
  <c r="N935" i="12" a="1"/>
  <c r="N935" i="12" s="1"/>
  <c r="P935" i="12"/>
  <c r="Q935" i="12" s="1" a="1"/>
  <c r="Q935" i="12" s="1"/>
  <c r="R935" i="12"/>
  <c r="S935" i="12" s="1"/>
  <c r="U935" i="12"/>
  <c r="N936" i="12" a="1"/>
  <c r="N936" i="12" s="1"/>
  <c r="P936" i="12"/>
  <c r="Q936" i="12" s="1" a="1"/>
  <c r="Q936" i="12" s="1"/>
  <c r="R936" i="12"/>
  <c r="S936" i="12" s="1"/>
  <c r="U936" i="12"/>
  <c r="N937" i="12" a="1"/>
  <c r="N937" i="12" s="1"/>
  <c r="P937" i="12"/>
  <c r="Q937" i="12" s="1" a="1"/>
  <c r="Q937" i="12" s="1"/>
  <c r="R937" i="12"/>
  <c r="S937" i="12" s="1"/>
  <c r="U937" i="12"/>
  <c r="N938" i="12" a="1"/>
  <c r="N938" i="12" s="1"/>
  <c r="P938" i="12"/>
  <c r="Q938" i="12" s="1" a="1"/>
  <c r="Q938" i="12" s="1"/>
  <c r="R938" i="12"/>
  <c r="S938" i="12" s="1"/>
  <c r="U938" i="12"/>
  <c r="N939" i="12" a="1"/>
  <c r="N939" i="12" s="1"/>
  <c r="P939" i="12"/>
  <c r="Q939" i="12" s="1" a="1"/>
  <c r="Q939" i="12" s="1"/>
  <c r="R939" i="12"/>
  <c r="S939" i="12" s="1"/>
  <c r="U939" i="12"/>
  <c r="N940" i="12" a="1"/>
  <c r="N940" i="12" s="1"/>
  <c r="P940" i="12"/>
  <c r="Q940" i="12" s="1" a="1"/>
  <c r="Q940" i="12" s="1"/>
  <c r="R940" i="12"/>
  <c r="S940" i="12" s="1"/>
  <c r="U940" i="12"/>
  <c r="N941" i="12" a="1"/>
  <c r="N941" i="12" s="1"/>
  <c r="P941" i="12"/>
  <c r="Q941" i="12" s="1" a="1"/>
  <c r="Q941" i="12" s="1"/>
  <c r="R941" i="12"/>
  <c r="S941" i="12" s="1"/>
  <c r="U941" i="12"/>
  <c r="N942" i="12" a="1"/>
  <c r="N942" i="12" s="1"/>
  <c r="P942" i="12"/>
  <c r="Q942" i="12" s="1" a="1"/>
  <c r="Q942" i="12" s="1"/>
  <c r="R942" i="12"/>
  <c r="S942" i="12" s="1"/>
  <c r="U942" i="12"/>
  <c r="N943" i="12" a="1"/>
  <c r="N943" i="12" s="1"/>
  <c r="P943" i="12"/>
  <c r="Q943" i="12" s="1" a="1"/>
  <c r="Q943" i="12" s="1"/>
  <c r="R943" i="12"/>
  <c r="S943" i="12" s="1"/>
  <c r="U943" i="12"/>
  <c r="N944" i="12" a="1"/>
  <c r="N944" i="12" s="1"/>
  <c r="P944" i="12"/>
  <c r="Q944" i="12" s="1" a="1"/>
  <c r="Q944" i="12" s="1"/>
  <c r="R944" i="12"/>
  <c r="S944" i="12" s="1"/>
  <c r="U944" i="12"/>
  <c r="N945" i="12" a="1"/>
  <c r="N945" i="12" s="1"/>
  <c r="P945" i="12"/>
  <c r="Q945" i="12" s="1" a="1"/>
  <c r="Q945" i="12" s="1"/>
  <c r="R945" i="12"/>
  <c r="S945" i="12" s="1"/>
  <c r="U945" i="12"/>
  <c r="N946" i="12" a="1"/>
  <c r="N946" i="12" s="1"/>
  <c r="P946" i="12"/>
  <c r="Q946" i="12" s="1" a="1"/>
  <c r="Q946" i="12" s="1"/>
  <c r="R946" i="12"/>
  <c r="S946" i="12" s="1"/>
  <c r="U946" i="12"/>
  <c r="N947" i="12" a="1"/>
  <c r="N947" i="12" s="1"/>
  <c r="P947" i="12"/>
  <c r="Q947" i="12" s="1" a="1"/>
  <c r="Q947" i="12" s="1"/>
  <c r="R947" i="12"/>
  <c r="S947" i="12" s="1"/>
  <c r="U947" i="12"/>
  <c r="N948" i="12" a="1"/>
  <c r="N948" i="12" s="1"/>
  <c r="P948" i="12"/>
  <c r="Q948" i="12" s="1" a="1"/>
  <c r="Q948" i="12" s="1"/>
  <c r="R948" i="12"/>
  <c r="S948" i="12" s="1"/>
  <c r="U948" i="12"/>
  <c r="N949" i="12" a="1"/>
  <c r="N949" i="12" s="1"/>
  <c r="P949" i="12"/>
  <c r="Q949" i="12" s="1" a="1"/>
  <c r="Q949" i="12" s="1"/>
  <c r="R949" i="12"/>
  <c r="S949" i="12" s="1"/>
  <c r="U949" i="12"/>
  <c r="N950" i="12" a="1"/>
  <c r="N950" i="12" s="1"/>
  <c r="P950" i="12"/>
  <c r="Q950" i="12" s="1" a="1"/>
  <c r="Q950" i="12" s="1"/>
  <c r="R950" i="12"/>
  <c r="S950" i="12" s="1"/>
  <c r="U950" i="12"/>
  <c r="N951" i="12" a="1"/>
  <c r="N951" i="12" s="1"/>
  <c r="P951" i="12"/>
  <c r="Q951" i="12" s="1" a="1"/>
  <c r="Q951" i="12" s="1"/>
  <c r="R951" i="12"/>
  <c r="S951" i="12" s="1"/>
  <c r="U951" i="12"/>
  <c r="N952" i="12" a="1"/>
  <c r="N952" i="12" s="1"/>
  <c r="P952" i="12"/>
  <c r="Q952" i="12" s="1" a="1"/>
  <c r="Q952" i="12" s="1"/>
  <c r="R952" i="12"/>
  <c r="S952" i="12" s="1"/>
  <c r="U952" i="12"/>
  <c r="N953" i="12" a="1"/>
  <c r="N953" i="12" s="1"/>
  <c r="P953" i="12"/>
  <c r="Q953" i="12" s="1" a="1"/>
  <c r="Q953" i="12" s="1"/>
  <c r="R953" i="12"/>
  <c r="S953" i="12" s="1"/>
  <c r="U953" i="12"/>
  <c r="N954" i="12" a="1"/>
  <c r="N954" i="12" s="1"/>
  <c r="P954" i="12"/>
  <c r="Q954" i="12" s="1" a="1"/>
  <c r="Q954" i="12" s="1"/>
  <c r="R954" i="12"/>
  <c r="S954" i="12" s="1"/>
  <c r="U954" i="12"/>
  <c r="N955" i="12" a="1"/>
  <c r="N955" i="12" s="1"/>
  <c r="P955" i="12"/>
  <c r="Q955" i="12" s="1" a="1"/>
  <c r="Q955" i="12" s="1"/>
  <c r="R955" i="12"/>
  <c r="S955" i="12" s="1"/>
  <c r="U955" i="12"/>
  <c r="N956" i="12" a="1"/>
  <c r="N956" i="12" s="1"/>
  <c r="P956" i="12"/>
  <c r="Q956" i="12" s="1" a="1"/>
  <c r="Q956" i="12" s="1"/>
  <c r="R956" i="12"/>
  <c r="S956" i="12" s="1"/>
  <c r="U956" i="12"/>
  <c r="N957" i="12" a="1"/>
  <c r="N957" i="12" s="1"/>
  <c r="P957" i="12"/>
  <c r="Q957" i="12" s="1" a="1"/>
  <c r="Q957" i="12" s="1"/>
  <c r="R957" i="12"/>
  <c r="S957" i="12" s="1"/>
  <c r="U957" i="12"/>
  <c r="N958" i="12" a="1"/>
  <c r="N958" i="12" s="1"/>
  <c r="P958" i="12"/>
  <c r="Q958" i="12" s="1" a="1"/>
  <c r="Q958" i="12" s="1"/>
  <c r="R958" i="12"/>
  <c r="S958" i="12" s="1"/>
  <c r="U958" i="12"/>
  <c r="N959" i="12" a="1"/>
  <c r="N959" i="12" s="1"/>
  <c r="P959" i="12"/>
  <c r="Q959" i="12" s="1" a="1"/>
  <c r="Q959" i="12" s="1"/>
  <c r="R959" i="12"/>
  <c r="S959" i="12" s="1"/>
  <c r="U959" i="12"/>
  <c r="N960" i="12" a="1"/>
  <c r="N960" i="12" s="1"/>
  <c r="P960" i="12"/>
  <c r="Q960" i="12" s="1" a="1"/>
  <c r="Q960" i="12" s="1"/>
  <c r="R960" i="12"/>
  <c r="S960" i="12" s="1"/>
  <c r="U960" i="12"/>
  <c r="N961" i="12" a="1"/>
  <c r="N961" i="12" s="1"/>
  <c r="P961" i="12"/>
  <c r="Q961" i="12" s="1" a="1"/>
  <c r="Q961" i="12" s="1"/>
  <c r="R961" i="12"/>
  <c r="S961" i="12" s="1"/>
  <c r="U961" i="12"/>
  <c r="N962" i="12" a="1"/>
  <c r="N962" i="12" s="1"/>
  <c r="P962" i="12"/>
  <c r="Q962" i="12" s="1" a="1"/>
  <c r="Q962" i="12" s="1"/>
  <c r="R962" i="12"/>
  <c r="S962" i="12" s="1"/>
  <c r="U962" i="12"/>
  <c r="N963" i="12" a="1"/>
  <c r="N963" i="12" s="1"/>
  <c r="P963" i="12"/>
  <c r="Q963" i="12" s="1" a="1"/>
  <c r="Q963" i="12" s="1"/>
  <c r="R963" i="12"/>
  <c r="S963" i="12" s="1"/>
  <c r="U963" i="12"/>
  <c r="N964" i="12" a="1"/>
  <c r="N964" i="12" s="1"/>
  <c r="P964" i="12"/>
  <c r="Q964" i="12" s="1" a="1"/>
  <c r="Q964" i="12" s="1"/>
  <c r="R964" i="12"/>
  <c r="S964" i="12" s="1"/>
  <c r="U964" i="12"/>
  <c r="N965" i="12" a="1"/>
  <c r="N965" i="12" s="1"/>
  <c r="P965" i="12"/>
  <c r="Q965" i="12" s="1" a="1"/>
  <c r="Q965" i="12" s="1"/>
  <c r="R965" i="12"/>
  <c r="S965" i="12" s="1"/>
  <c r="U965" i="12"/>
  <c r="N966" i="12" a="1"/>
  <c r="N966" i="12" s="1"/>
  <c r="P966" i="12"/>
  <c r="Q966" i="12" s="1" a="1"/>
  <c r="Q966" i="12" s="1"/>
  <c r="R966" i="12"/>
  <c r="S966" i="12" s="1"/>
  <c r="U966" i="12"/>
  <c r="N967" i="12" a="1"/>
  <c r="N967" i="12" s="1"/>
  <c r="P967" i="12"/>
  <c r="Q967" i="12" s="1" a="1"/>
  <c r="Q967" i="12" s="1"/>
  <c r="R967" i="12"/>
  <c r="S967" i="12" s="1"/>
  <c r="U967" i="12"/>
  <c r="N968" i="12" a="1"/>
  <c r="N968" i="12" s="1"/>
  <c r="P968" i="12"/>
  <c r="Q968" i="12" s="1" a="1"/>
  <c r="Q968" i="12" s="1"/>
  <c r="R968" i="12"/>
  <c r="S968" i="12" s="1"/>
  <c r="U968" i="12"/>
  <c r="N969" i="12" a="1"/>
  <c r="N969" i="12" s="1"/>
  <c r="P969" i="12"/>
  <c r="Q969" i="12" s="1" a="1"/>
  <c r="Q969" i="12" s="1"/>
  <c r="R969" i="12"/>
  <c r="S969" i="12" s="1"/>
  <c r="U969" i="12"/>
  <c r="N970" i="12" a="1"/>
  <c r="N970" i="12" s="1"/>
  <c r="P970" i="12"/>
  <c r="Q970" i="12" s="1" a="1"/>
  <c r="Q970" i="12" s="1"/>
  <c r="R970" i="12"/>
  <c r="S970" i="12" s="1"/>
  <c r="U970" i="12"/>
  <c r="N971" i="12" a="1"/>
  <c r="N971" i="12" s="1"/>
  <c r="P971" i="12"/>
  <c r="Q971" i="12" s="1" a="1"/>
  <c r="Q971" i="12" s="1"/>
  <c r="R971" i="12"/>
  <c r="S971" i="12" s="1"/>
  <c r="U971" i="12"/>
  <c r="N972" i="12" a="1"/>
  <c r="N972" i="12" s="1"/>
  <c r="P972" i="12"/>
  <c r="Q972" i="12" s="1" a="1"/>
  <c r="Q972" i="12" s="1"/>
  <c r="R972" i="12"/>
  <c r="S972" i="12" s="1"/>
  <c r="U972" i="12"/>
  <c r="N973" i="12" a="1"/>
  <c r="N973" i="12" s="1"/>
  <c r="P973" i="12"/>
  <c r="Q973" i="12" s="1" a="1"/>
  <c r="Q973" i="12" s="1"/>
  <c r="R973" i="12"/>
  <c r="S973" i="12" s="1"/>
  <c r="U973" i="12"/>
  <c r="N974" i="12" a="1"/>
  <c r="N974" i="12" s="1"/>
  <c r="P974" i="12"/>
  <c r="Q974" i="12" s="1" a="1"/>
  <c r="Q974" i="12" s="1"/>
  <c r="R974" i="12"/>
  <c r="S974" i="12" s="1"/>
  <c r="U974" i="12"/>
  <c r="N975" i="12" a="1"/>
  <c r="N975" i="12" s="1"/>
  <c r="P975" i="12"/>
  <c r="Q975" i="12" s="1" a="1"/>
  <c r="Q975" i="12" s="1"/>
  <c r="R975" i="12"/>
  <c r="S975" i="12" s="1"/>
  <c r="U975" i="12"/>
  <c r="N976" i="12" a="1"/>
  <c r="N976" i="12" s="1"/>
  <c r="P976" i="12"/>
  <c r="Q976" i="12" s="1" a="1"/>
  <c r="Q976" i="12" s="1"/>
  <c r="R976" i="12"/>
  <c r="S976" i="12" s="1"/>
  <c r="U976" i="12"/>
  <c r="N977" i="12" a="1"/>
  <c r="N977" i="12" s="1"/>
  <c r="P977" i="12"/>
  <c r="Q977" i="12" s="1" a="1"/>
  <c r="Q977" i="12" s="1"/>
  <c r="R977" i="12"/>
  <c r="S977" i="12" s="1"/>
  <c r="U977" i="12"/>
  <c r="N978" i="12" a="1"/>
  <c r="N978" i="12" s="1"/>
  <c r="P978" i="12"/>
  <c r="Q978" i="12" s="1" a="1"/>
  <c r="Q978" i="12" s="1"/>
  <c r="R978" i="12"/>
  <c r="S978" i="12" s="1"/>
  <c r="U978" i="12"/>
  <c r="N979" i="12" a="1"/>
  <c r="N979" i="12" s="1"/>
  <c r="P979" i="12"/>
  <c r="Q979" i="12" s="1" a="1"/>
  <c r="Q979" i="12" s="1"/>
  <c r="R979" i="12"/>
  <c r="S979" i="12" s="1"/>
  <c r="U979" i="12"/>
  <c r="N980" i="12" a="1"/>
  <c r="N980" i="12" s="1"/>
  <c r="P980" i="12"/>
  <c r="Q980" i="12" s="1" a="1"/>
  <c r="Q980" i="12" s="1"/>
  <c r="R980" i="12"/>
  <c r="S980" i="12" s="1"/>
  <c r="U980" i="12"/>
  <c r="N981" i="12" a="1"/>
  <c r="N981" i="12" s="1"/>
  <c r="P981" i="12"/>
  <c r="Q981" i="12" s="1" a="1"/>
  <c r="Q981" i="12" s="1"/>
  <c r="R981" i="12"/>
  <c r="S981" i="12" s="1"/>
  <c r="U981" i="12"/>
  <c r="N982" i="12" a="1"/>
  <c r="N982" i="12" s="1"/>
  <c r="P982" i="12"/>
  <c r="Q982" i="12" s="1" a="1"/>
  <c r="Q982" i="12" s="1"/>
  <c r="R982" i="12"/>
  <c r="S982" i="12" s="1"/>
  <c r="U982" i="12"/>
  <c r="N983" i="12" a="1"/>
  <c r="N983" i="12" s="1"/>
  <c r="P983" i="12"/>
  <c r="Q983" i="12" s="1" a="1"/>
  <c r="Q983" i="12" s="1"/>
  <c r="R983" i="12"/>
  <c r="S983" i="12" s="1"/>
  <c r="U983" i="12"/>
  <c r="N984" i="12" a="1"/>
  <c r="N984" i="12" s="1"/>
  <c r="P984" i="12"/>
  <c r="Q984" i="12" s="1" a="1"/>
  <c r="Q984" i="12" s="1"/>
  <c r="R984" i="12"/>
  <c r="S984" i="12" s="1"/>
  <c r="U984" i="12"/>
  <c r="N985" i="12" a="1"/>
  <c r="N985" i="12" s="1"/>
  <c r="P985" i="12"/>
  <c r="Q985" i="12" s="1" a="1"/>
  <c r="Q985" i="12" s="1"/>
  <c r="R985" i="12"/>
  <c r="S985" i="12" s="1"/>
  <c r="U985" i="12"/>
  <c r="N986" i="12" a="1"/>
  <c r="N986" i="12" s="1"/>
  <c r="P986" i="12"/>
  <c r="Q986" i="12" s="1" a="1"/>
  <c r="Q986" i="12" s="1"/>
  <c r="R986" i="12"/>
  <c r="S986" i="12" s="1"/>
  <c r="U986" i="12"/>
  <c r="N987" i="12" a="1"/>
  <c r="N987" i="12" s="1"/>
  <c r="P987" i="12"/>
  <c r="Q987" i="12" s="1" a="1"/>
  <c r="Q987" i="12" s="1"/>
  <c r="R987" i="12"/>
  <c r="S987" i="12" s="1"/>
  <c r="U987" i="12"/>
  <c r="N988" i="12" a="1"/>
  <c r="N988" i="12" s="1"/>
  <c r="P988" i="12"/>
  <c r="Q988" i="12" s="1" a="1"/>
  <c r="Q988" i="12" s="1"/>
  <c r="R988" i="12"/>
  <c r="S988" i="12" s="1"/>
  <c r="U988" i="12"/>
  <c r="N989" i="12" a="1"/>
  <c r="N989" i="12" s="1"/>
  <c r="P989" i="12"/>
  <c r="Q989" i="12" s="1" a="1"/>
  <c r="Q989" i="12" s="1"/>
  <c r="R989" i="12"/>
  <c r="S989" i="12" s="1"/>
  <c r="U989" i="12"/>
  <c r="N990" i="12" a="1"/>
  <c r="N990" i="12" s="1"/>
  <c r="P990" i="12"/>
  <c r="Q990" i="12" s="1" a="1"/>
  <c r="Q990" i="12" s="1"/>
  <c r="R990" i="12"/>
  <c r="S990" i="12" s="1"/>
  <c r="U990" i="12"/>
  <c r="N991" i="12" a="1"/>
  <c r="N991" i="12" s="1"/>
  <c r="P991" i="12"/>
  <c r="Q991" i="12" s="1" a="1"/>
  <c r="Q991" i="12" s="1"/>
  <c r="R991" i="12"/>
  <c r="S991" i="12" s="1"/>
  <c r="U991" i="12"/>
  <c r="N992" i="12" a="1"/>
  <c r="N992" i="12" s="1"/>
  <c r="P992" i="12"/>
  <c r="Q992" i="12" s="1" a="1"/>
  <c r="Q992" i="12" s="1"/>
  <c r="R992" i="12"/>
  <c r="S992" i="12" s="1"/>
  <c r="U992" i="12"/>
  <c r="N993" i="12" a="1"/>
  <c r="N993" i="12" s="1"/>
  <c r="P993" i="12"/>
  <c r="Q993" i="12" s="1" a="1"/>
  <c r="Q993" i="12" s="1"/>
  <c r="R993" i="12"/>
  <c r="S993" i="12" s="1"/>
  <c r="U993" i="12"/>
  <c r="N994" i="12" a="1"/>
  <c r="N994" i="12" s="1"/>
  <c r="P994" i="12"/>
  <c r="Q994" i="12" s="1" a="1"/>
  <c r="Q994" i="12" s="1"/>
  <c r="R994" i="12"/>
  <c r="S994" i="12" s="1"/>
  <c r="U994" i="12"/>
  <c r="N995" i="12" a="1"/>
  <c r="N995" i="12" s="1"/>
  <c r="P995" i="12"/>
  <c r="Q995" i="12" s="1" a="1"/>
  <c r="Q995" i="12" s="1"/>
  <c r="R995" i="12"/>
  <c r="S995" i="12" s="1"/>
  <c r="U995" i="12"/>
  <c r="N996" i="12" a="1"/>
  <c r="N996" i="12" s="1"/>
  <c r="P996" i="12"/>
  <c r="Q996" i="12" s="1" a="1"/>
  <c r="Q996" i="12" s="1"/>
  <c r="R996" i="12"/>
  <c r="S996" i="12" s="1"/>
  <c r="U996" i="12"/>
  <c r="N997" i="12" a="1"/>
  <c r="N997" i="12" s="1"/>
  <c r="P997" i="12"/>
  <c r="Q997" i="12" s="1" a="1"/>
  <c r="Q997" i="12" s="1"/>
  <c r="R997" i="12"/>
  <c r="S997" i="12" s="1"/>
  <c r="U997" i="12"/>
  <c r="N998" i="12" a="1"/>
  <c r="N998" i="12" s="1"/>
  <c r="P998" i="12"/>
  <c r="Q998" i="12" s="1" a="1"/>
  <c r="Q998" i="12" s="1"/>
  <c r="R998" i="12"/>
  <c r="S998" i="12" s="1"/>
  <c r="U998" i="12"/>
  <c r="N999" i="12" a="1"/>
  <c r="N999" i="12" s="1"/>
  <c r="P999" i="12"/>
  <c r="Q999" i="12" s="1" a="1"/>
  <c r="Q999" i="12" s="1"/>
  <c r="R999" i="12"/>
  <c r="S999" i="12" s="1"/>
  <c r="U999" i="12"/>
  <c r="N1000" i="12" a="1"/>
  <c r="N1000" i="12" s="1"/>
  <c r="P1000" i="12"/>
  <c r="Q1000" i="12" s="1" a="1"/>
  <c r="Q1000" i="12" s="1"/>
  <c r="R1000" i="12"/>
  <c r="S1000" i="12" s="1"/>
  <c r="U1000" i="12"/>
  <c r="N1001" i="12" a="1"/>
  <c r="N1001" i="12" s="1"/>
  <c r="P1001" i="12"/>
  <c r="Q1001" i="12" s="1" a="1"/>
  <c r="Q1001" i="12" s="1"/>
  <c r="R1001" i="12"/>
  <c r="S1001" i="12" s="1"/>
  <c r="U1001" i="12"/>
  <c r="N1002" i="12" a="1"/>
  <c r="N1002" i="12" s="1"/>
  <c r="P1002" i="12"/>
  <c r="Q1002" i="12" s="1" a="1"/>
  <c r="Q1002" i="12" s="1"/>
  <c r="R1002" i="12"/>
  <c r="S1002" i="12" s="1"/>
  <c r="U1002" i="12"/>
  <c r="N1003" i="12" a="1"/>
  <c r="N1003" i="12" s="1"/>
  <c r="P1003" i="12"/>
  <c r="Q1003" i="12" s="1" a="1"/>
  <c r="Q1003" i="12" s="1"/>
  <c r="R1003" i="12"/>
  <c r="S1003" i="12" s="1"/>
  <c r="U1003" i="12"/>
  <c r="N1004" i="12" a="1"/>
  <c r="N1004" i="12" s="1"/>
  <c r="P1004" i="12"/>
  <c r="Q1004" i="12" s="1" a="1"/>
  <c r="Q1004" i="12" s="1"/>
  <c r="R1004" i="12"/>
  <c r="S1004" i="12" s="1"/>
  <c r="U1004" i="12"/>
  <c r="N1005" i="12" a="1"/>
  <c r="N1005" i="12" s="1"/>
  <c r="P1005" i="12"/>
  <c r="Q1005" i="12" s="1" a="1"/>
  <c r="Q1005" i="12" s="1"/>
  <c r="R1005" i="12"/>
  <c r="S1005" i="12" s="1"/>
  <c r="U1005" i="12"/>
  <c r="N1006" i="12" a="1"/>
  <c r="N1006" i="12" s="1"/>
  <c r="P1006" i="12"/>
  <c r="Q1006" i="12" s="1" a="1"/>
  <c r="Q1006" i="12" s="1"/>
  <c r="R1006" i="12"/>
  <c r="S1006" i="12" s="1"/>
  <c r="U1006" i="12"/>
  <c r="N1007" i="12" a="1"/>
  <c r="N1007" i="12" s="1"/>
  <c r="P1007" i="12"/>
  <c r="Q1007" i="12" s="1" a="1"/>
  <c r="Q1007" i="12" s="1"/>
  <c r="R1007" i="12"/>
  <c r="S1007" i="12" s="1"/>
  <c r="U1007" i="12"/>
  <c r="N1008" i="12" a="1"/>
  <c r="N1008" i="12" s="1"/>
  <c r="P1008" i="12"/>
  <c r="Q1008" i="12" s="1" a="1"/>
  <c r="Q1008" i="12" s="1"/>
  <c r="R1008" i="12"/>
  <c r="S1008" i="12" s="1"/>
  <c r="U1008" i="12"/>
  <c r="N1009" i="12" a="1"/>
  <c r="N1009" i="12" s="1"/>
  <c r="P1009" i="12"/>
  <c r="Q1009" i="12" s="1" a="1"/>
  <c r="Q1009" i="12" s="1"/>
  <c r="R1009" i="12"/>
  <c r="S1009" i="12" s="1"/>
  <c r="U1009" i="12"/>
  <c r="N1010" i="12" a="1"/>
  <c r="N1010" i="12" s="1"/>
  <c r="P1010" i="12"/>
  <c r="Q1010" i="12" s="1" a="1"/>
  <c r="Q1010" i="12" s="1"/>
  <c r="R1010" i="12"/>
  <c r="S1010" i="12" s="1"/>
  <c r="U1010" i="12"/>
  <c r="N1011" i="12" a="1"/>
  <c r="N1011" i="12" s="1"/>
  <c r="P1011" i="12"/>
  <c r="Q1011" i="12" s="1" a="1"/>
  <c r="Q1011" i="12" s="1"/>
  <c r="R1011" i="12"/>
  <c r="S1011" i="12" s="1"/>
  <c r="U1011" i="12"/>
  <c r="N1012" i="12" a="1"/>
  <c r="N1012" i="12" s="1"/>
  <c r="P1012" i="12"/>
  <c r="Q1012" i="12" s="1" a="1"/>
  <c r="Q1012" i="12" s="1"/>
  <c r="R1012" i="12"/>
  <c r="S1012" i="12" s="1"/>
  <c r="U1012" i="12"/>
  <c r="N1013" i="12" a="1"/>
  <c r="N1013" i="12" s="1"/>
  <c r="P1013" i="12"/>
  <c r="Q1013" i="12" s="1" a="1"/>
  <c r="Q1013" i="12" s="1"/>
  <c r="R1013" i="12"/>
  <c r="S1013" i="12" s="1"/>
  <c r="U1013" i="12"/>
  <c r="N1014" i="12" a="1"/>
  <c r="N1014" i="12" s="1"/>
  <c r="P1014" i="12"/>
  <c r="Q1014" i="12" s="1" a="1"/>
  <c r="Q1014" i="12" s="1"/>
  <c r="R1014" i="12"/>
  <c r="S1014" i="12" s="1"/>
  <c r="U1014" i="12"/>
  <c r="N1015" i="12" a="1"/>
  <c r="N1015" i="12" s="1"/>
  <c r="P1015" i="12"/>
  <c r="Q1015" i="12" s="1" a="1"/>
  <c r="Q1015" i="12" s="1"/>
  <c r="R1015" i="12"/>
  <c r="S1015" i="12" s="1"/>
  <c r="U1015" i="12"/>
  <c r="N1016" i="12" a="1"/>
  <c r="N1016" i="12" s="1"/>
  <c r="P1016" i="12"/>
  <c r="Q1016" i="12" s="1" a="1"/>
  <c r="Q1016" i="12" s="1"/>
  <c r="R1016" i="12"/>
  <c r="S1016" i="12" s="1"/>
  <c r="U1016" i="12"/>
  <c r="N1017" i="12" a="1"/>
  <c r="N1017" i="12" s="1"/>
  <c r="P1017" i="12"/>
  <c r="Q1017" i="12" s="1" a="1"/>
  <c r="Q1017" i="12" s="1"/>
  <c r="R1017" i="12"/>
  <c r="S1017" i="12" s="1"/>
  <c r="U1017" i="12"/>
  <c r="N1018" i="12" a="1"/>
  <c r="N1018" i="12" s="1"/>
  <c r="P1018" i="12"/>
  <c r="Q1018" i="12" s="1" a="1"/>
  <c r="Q1018" i="12" s="1"/>
  <c r="R1018" i="12"/>
  <c r="S1018" i="12" s="1"/>
  <c r="U1018" i="12"/>
  <c r="N1019" i="12" a="1"/>
  <c r="N1019" i="12" s="1"/>
  <c r="P1019" i="12"/>
  <c r="Q1019" i="12" s="1" a="1"/>
  <c r="Q1019" i="12" s="1"/>
  <c r="R1019" i="12"/>
  <c r="S1019" i="12" s="1"/>
  <c r="U1019" i="12"/>
  <c r="N1020" i="12" a="1"/>
  <c r="N1020" i="12" s="1"/>
  <c r="P1020" i="12"/>
  <c r="Q1020" i="12" s="1" a="1"/>
  <c r="Q1020" i="12" s="1"/>
  <c r="R1020" i="12"/>
  <c r="S1020" i="12" s="1"/>
  <c r="U1020" i="12"/>
  <c r="N1021" i="12" a="1"/>
  <c r="N1021" i="12" s="1"/>
  <c r="P1021" i="12"/>
  <c r="Q1021" i="12" s="1" a="1"/>
  <c r="Q1021" i="12" s="1"/>
  <c r="R1021" i="12"/>
  <c r="S1021" i="12" s="1"/>
  <c r="U1021" i="12"/>
  <c r="N1022" i="12" a="1"/>
  <c r="N1022" i="12" s="1"/>
  <c r="P1022" i="12"/>
  <c r="Q1022" i="12" s="1" a="1"/>
  <c r="Q1022" i="12" s="1"/>
  <c r="R1022" i="12"/>
  <c r="S1022" i="12" s="1"/>
  <c r="U1022" i="12"/>
  <c r="N1023" i="12" a="1"/>
  <c r="N1023" i="12" s="1"/>
  <c r="P1023" i="12"/>
  <c r="Q1023" i="12" s="1" a="1"/>
  <c r="Q1023" i="12" s="1"/>
  <c r="R1023" i="12"/>
  <c r="S1023" i="12" s="1"/>
  <c r="U1023" i="12"/>
  <c r="N1024" i="12" a="1"/>
  <c r="N1024" i="12" s="1"/>
  <c r="P1024" i="12"/>
  <c r="Q1024" i="12" s="1" a="1"/>
  <c r="Q1024" i="12" s="1"/>
  <c r="R1024" i="12"/>
  <c r="S1024" i="12" s="1"/>
  <c r="U1024" i="12"/>
  <c r="N1025" i="12" a="1"/>
  <c r="N1025" i="12" s="1"/>
  <c r="P1025" i="12"/>
  <c r="Q1025" i="12" s="1" a="1"/>
  <c r="Q1025" i="12" s="1"/>
  <c r="R1025" i="12"/>
  <c r="S1025" i="12" s="1"/>
  <c r="U1025" i="12"/>
  <c r="N1026" i="12" a="1"/>
  <c r="N1026" i="12" s="1"/>
  <c r="P1026" i="12"/>
  <c r="Q1026" i="12" s="1" a="1"/>
  <c r="Q1026" i="12" s="1"/>
  <c r="R1026" i="12"/>
  <c r="S1026" i="12" s="1"/>
  <c r="U1026" i="12"/>
  <c r="N1027" i="12" a="1"/>
  <c r="N1027" i="12" s="1"/>
  <c r="P1027" i="12"/>
  <c r="Q1027" i="12" s="1" a="1"/>
  <c r="Q1027" i="12" s="1"/>
  <c r="R1027" i="12"/>
  <c r="S1027" i="12" s="1"/>
  <c r="U1027" i="12"/>
  <c r="N1028" i="12" a="1"/>
  <c r="N1028" i="12" s="1"/>
  <c r="P1028" i="12"/>
  <c r="Q1028" i="12" s="1" a="1"/>
  <c r="Q1028" i="12" s="1"/>
  <c r="R1028" i="12"/>
  <c r="S1028" i="12" s="1"/>
  <c r="U1028" i="12"/>
  <c r="N1029" i="12" a="1"/>
  <c r="N1029" i="12" s="1"/>
  <c r="P1029" i="12"/>
  <c r="Q1029" i="12" s="1" a="1"/>
  <c r="Q1029" i="12" s="1"/>
  <c r="R1029" i="12"/>
  <c r="S1029" i="12" s="1"/>
  <c r="U1029" i="12"/>
  <c r="N1030" i="12" a="1"/>
  <c r="N1030" i="12" s="1"/>
  <c r="P1030" i="12"/>
  <c r="Q1030" i="12" s="1" a="1"/>
  <c r="Q1030" i="12" s="1"/>
  <c r="R1030" i="12"/>
  <c r="S1030" i="12" s="1"/>
  <c r="U1030" i="12"/>
  <c r="N1031" i="12" a="1"/>
  <c r="N1031" i="12" s="1"/>
  <c r="P1031" i="12"/>
  <c r="Q1031" i="12" s="1" a="1"/>
  <c r="Q1031" i="12" s="1"/>
  <c r="R1031" i="12"/>
  <c r="S1031" i="12" s="1"/>
  <c r="U1031" i="12"/>
  <c r="N1032" i="12" a="1"/>
  <c r="N1032" i="12" s="1"/>
  <c r="P1032" i="12"/>
  <c r="Q1032" i="12" s="1" a="1"/>
  <c r="Q1032" i="12" s="1"/>
  <c r="R1032" i="12"/>
  <c r="S1032" i="12" s="1"/>
  <c r="U1032" i="12"/>
  <c r="N1033" i="12" a="1"/>
  <c r="N1033" i="12" s="1"/>
  <c r="P1033" i="12"/>
  <c r="Q1033" i="12" s="1" a="1"/>
  <c r="Q1033" i="12" s="1"/>
  <c r="R1033" i="12"/>
  <c r="S1033" i="12" s="1"/>
  <c r="U1033" i="12"/>
  <c r="N1034" i="12" a="1"/>
  <c r="N1034" i="12" s="1"/>
  <c r="P1034" i="12"/>
  <c r="Q1034" i="12" s="1" a="1"/>
  <c r="Q1034" i="12" s="1"/>
  <c r="R1034" i="12"/>
  <c r="S1034" i="12" s="1"/>
  <c r="U1034" i="12"/>
  <c r="N1035" i="12" a="1"/>
  <c r="N1035" i="12" s="1"/>
  <c r="P1035" i="12"/>
  <c r="Q1035" i="12" s="1" a="1"/>
  <c r="Q1035" i="12" s="1"/>
  <c r="R1035" i="12"/>
  <c r="S1035" i="12" s="1"/>
  <c r="U1035" i="12"/>
  <c r="N1036" i="12" a="1"/>
  <c r="N1036" i="12" s="1"/>
  <c r="P1036" i="12"/>
  <c r="Q1036" i="12" s="1" a="1"/>
  <c r="Q1036" i="12" s="1"/>
  <c r="R1036" i="12"/>
  <c r="S1036" i="12" s="1"/>
  <c r="U1036" i="12"/>
  <c r="N1037" i="12" a="1"/>
  <c r="N1037" i="12" s="1"/>
  <c r="P1037" i="12"/>
  <c r="Q1037" i="12" s="1" a="1"/>
  <c r="Q1037" i="12" s="1"/>
  <c r="R1037" i="12"/>
  <c r="S1037" i="12" s="1"/>
  <c r="U1037" i="12"/>
  <c r="N1038" i="12" a="1"/>
  <c r="N1038" i="12" s="1"/>
  <c r="P1038" i="12"/>
  <c r="Q1038" i="12" s="1" a="1"/>
  <c r="Q1038" i="12" s="1"/>
  <c r="R1038" i="12"/>
  <c r="S1038" i="12" s="1"/>
  <c r="U1038" i="12"/>
  <c r="N1039" i="12" a="1"/>
  <c r="N1039" i="12" s="1"/>
  <c r="P1039" i="12"/>
  <c r="Q1039" i="12" s="1" a="1"/>
  <c r="Q1039" i="12" s="1"/>
  <c r="R1039" i="12"/>
  <c r="S1039" i="12" s="1"/>
  <c r="U1039" i="12"/>
  <c r="N1040" i="12" a="1"/>
  <c r="N1040" i="12" s="1"/>
  <c r="P1040" i="12"/>
  <c r="Q1040" i="12" s="1" a="1"/>
  <c r="Q1040" i="12" s="1"/>
  <c r="R1040" i="12"/>
  <c r="S1040" i="12" s="1"/>
  <c r="U1040" i="12"/>
  <c r="N1041" i="12" a="1"/>
  <c r="N1041" i="12" s="1"/>
  <c r="P1041" i="12"/>
  <c r="Q1041" i="12" s="1" a="1"/>
  <c r="Q1041" i="12" s="1"/>
  <c r="R1041" i="12"/>
  <c r="S1041" i="12" s="1"/>
  <c r="U1041" i="12"/>
  <c r="N1042" i="12" a="1"/>
  <c r="N1042" i="12" s="1"/>
  <c r="P1042" i="12"/>
  <c r="Q1042" i="12" s="1" a="1"/>
  <c r="Q1042" i="12" s="1"/>
  <c r="R1042" i="12"/>
  <c r="S1042" i="12" s="1"/>
  <c r="U1042" i="12"/>
  <c r="N1043" i="12" a="1"/>
  <c r="N1043" i="12" s="1"/>
  <c r="P1043" i="12"/>
  <c r="Q1043" i="12" s="1" a="1"/>
  <c r="Q1043" i="12" s="1"/>
  <c r="R1043" i="12"/>
  <c r="S1043" i="12" s="1"/>
  <c r="U1043" i="12"/>
  <c r="N1044" i="12" a="1"/>
  <c r="N1044" i="12" s="1"/>
  <c r="P1044" i="12"/>
  <c r="Q1044" i="12" s="1" a="1"/>
  <c r="Q1044" i="12" s="1"/>
  <c r="R1044" i="12"/>
  <c r="S1044" i="12" s="1"/>
  <c r="U1044" i="12"/>
  <c r="N1045" i="12" a="1"/>
  <c r="N1045" i="12" s="1"/>
  <c r="P1045" i="12"/>
  <c r="Q1045" i="12" s="1" a="1"/>
  <c r="Q1045" i="12" s="1"/>
  <c r="R1045" i="12"/>
  <c r="S1045" i="12" s="1"/>
  <c r="U1045" i="12"/>
  <c r="N1046" i="12" a="1"/>
  <c r="N1046" i="12" s="1"/>
  <c r="P1046" i="12"/>
  <c r="Q1046" i="12" s="1" a="1"/>
  <c r="Q1046" i="12" s="1"/>
  <c r="R1046" i="12"/>
  <c r="S1046" i="12" s="1"/>
  <c r="U1046" i="12"/>
  <c r="N1047" i="12" a="1"/>
  <c r="N1047" i="12" s="1"/>
  <c r="P1047" i="12"/>
  <c r="Q1047" i="12" s="1" a="1"/>
  <c r="Q1047" i="12" s="1"/>
  <c r="R1047" i="12"/>
  <c r="S1047" i="12" s="1"/>
  <c r="U1047" i="12"/>
  <c r="N1048" i="12" a="1"/>
  <c r="N1048" i="12" s="1"/>
  <c r="P1048" i="12"/>
  <c r="Q1048" i="12" s="1" a="1"/>
  <c r="Q1048" i="12" s="1"/>
  <c r="R1048" i="12"/>
  <c r="S1048" i="12" s="1"/>
  <c r="U1048" i="12"/>
  <c r="N1049" i="12" a="1"/>
  <c r="N1049" i="12" s="1"/>
  <c r="P1049" i="12"/>
  <c r="Q1049" i="12" s="1" a="1"/>
  <c r="Q1049" i="12" s="1"/>
  <c r="R1049" i="12"/>
  <c r="S1049" i="12" s="1"/>
  <c r="U1049" i="12"/>
  <c r="N1050" i="12" a="1"/>
  <c r="N1050" i="12" s="1"/>
  <c r="P1050" i="12"/>
  <c r="Q1050" i="12" s="1" a="1"/>
  <c r="Q1050" i="12" s="1"/>
  <c r="R1050" i="12"/>
  <c r="S1050" i="12" s="1"/>
  <c r="U1050" i="12"/>
  <c r="N1051" i="12" a="1"/>
  <c r="N1051" i="12" s="1"/>
  <c r="P1051" i="12"/>
  <c r="Q1051" i="12" s="1" a="1"/>
  <c r="Q1051" i="12" s="1"/>
  <c r="R1051" i="12"/>
  <c r="S1051" i="12" s="1"/>
  <c r="U1051" i="12"/>
  <c r="N1052" i="12" a="1"/>
  <c r="N1052" i="12" s="1"/>
  <c r="P1052" i="12"/>
  <c r="Q1052" i="12" s="1" a="1"/>
  <c r="Q1052" i="12" s="1"/>
  <c r="R1052" i="12"/>
  <c r="S1052" i="12" s="1"/>
  <c r="U1052" i="12"/>
  <c r="N1053" i="12" a="1"/>
  <c r="N1053" i="12" s="1"/>
  <c r="P1053" i="12"/>
  <c r="Q1053" i="12" s="1" a="1"/>
  <c r="Q1053" i="12" s="1"/>
  <c r="R1053" i="12"/>
  <c r="S1053" i="12" s="1"/>
  <c r="U1053" i="12"/>
  <c r="N1054" i="12" a="1"/>
  <c r="N1054" i="12" s="1"/>
  <c r="P1054" i="12"/>
  <c r="Q1054" i="12" s="1" a="1"/>
  <c r="Q1054" i="12" s="1"/>
  <c r="R1054" i="12"/>
  <c r="S1054" i="12" s="1"/>
  <c r="U1054" i="12"/>
  <c r="N1055" i="12" a="1"/>
  <c r="N1055" i="12" s="1"/>
  <c r="P1055" i="12"/>
  <c r="Q1055" i="12" s="1" a="1"/>
  <c r="Q1055" i="12" s="1"/>
  <c r="R1055" i="12"/>
  <c r="S1055" i="12" s="1"/>
  <c r="U1055" i="12"/>
  <c r="N1056" i="12" a="1"/>
  <c r="N1056" i="12" s="1"/>
  <c r="P1056" i="12"/>
  <c r="Q1056" i="12" s="1" a="1"/>
  <c r="Q1056" i="12" s="1"/>
  <c r="R1056" i="12"/>
  <c r="S1056" i="12" s="1"/>
  <c r="U1056" i="12"/>
  <c r="N1057" i="12" a="1"/>
  <c r="N1057" i="12" s="1"/>
  <c r="P1057" i="12"/>
  <c r="Q1057" i="12" s="1" a="1"/>
  <c r="Q1057" i="12" s="1"/>
  <c r="R1057" i="12"/>
  <c r="S1057" i="12" s="1"/>
  <c r="U1057" i="12"/>
  <c r="N1058" i="12" a="1"/>
  <c r="N1058" i="12" s="1"/>
  <c r="P1058" i="12"/>
  <c r="Q1058" i="12" s="1" a="1"/>
  <c r="Q1058" i="12" s="1"/>
  <c r="R1058" i="12"/>
  <c r="S1058" i="12" s="1"/>
  <c r="U1058" i="12"/>
  <c r="N1059" i="12" a="1"/>
  <c r="N1059" i="12" s="1"/>
  <c r="P1059" i="12"/>
  <c r="Q1059" i="12" s="1" a="1"/>
  <c r="Q1059" i="12" s="1"/>
  <c r="R1059" i="12"/>
  <c r="S1059" i="12" s="1"/>
  <c r="U1059" i="12"/>
  <c r="N1060" i="12" a="1"/>
  <c r="N1060" i="12" s="1"/>
  <c r="P1060" i="12"/>
  <c r="Q1060" i="12" s="1" a="1"/>
  <c r="Q1060" i="12" s="1"/>
  <c r="R1060" i="12"/>
  <c r="S1060" i="12" s="1"/>
  <c r="U1060" i="12"/>
  <c r="N1061" i="12" a="1"/>
  <c r="N1061" i="12" s="1"/>
  <c r="P1061" i="12"/>
  <c r="Q1061" i="12" s="1" a="1"/>
  <c r="Q1061" i="12" s="1"/>
  <c r="R1061" i="12"/>
  <c r="S1061" i="12" s="1"/>
  <c r="U1061" i="12"/>
  <c r="N1062" i="12" a="1"/>
  <c r="N1062" i="12" s="1"/>
  <c r="P1062" i="12"/>
  <c r="Q1062" i="12" s="1" a="1"/>
  <c r="Q1062" i="12" s="1"/>
  <c r="R1062" i="12"/>
  <c r="S1062" i="12" s="1"/>
  <c r="U1062" i="12"/>
  <c r="N1063" i="12" a="1"/>
  <c r="N1063" i="12" s="1"/>
  <c r="P1063" i="12"/>
  <c r="Q1063" i="12" s="1" a="1"/>
  <c r="Q1063" i="12" s="1"/>
  <c r="R1063" i="12"/>
  <c r="S1063" i="12" s="1"/>
  <c r="U1063" i="12"/>
  <c r="N1064" i="12" a="1"/>
  <c r="N1064" i="12" s="1"/>
  <c r="P1064" i="12"/>
  <c r="Q1064" i="12" s="1" a="1"/>
  <c r="Q1064" i="12" s="1"/>
  <c r="R1064" i="12"/>
  <c r="S1064" i="12" s="1"/>
  <c r="U1064" i="12"/>
  <c r="N1065" i="12" a="1"/>
  <c r="N1065" i="12" s="1"/>
  <c r="P1065" i="12"/>
  <c r="Q1065" i="12" s="1" a="1"/>
  <c r="Q1065" i="12" s="1"/>
  <c r="R1065" i="12"/>
  <c r="S1065" i="12" s="1"/>
  <c r="U1065" i="12"/>
  <c r="N1066" i="12" a="1"/>
  <c r="N1066" i="12" s="1"/>
  <c r="P1066" i="12"/>
  <c r="Q1066" i="12" s="1" a="1"/>
  <c r="Q1066" i="12" s="1"/>
  <c r="R1066" i="12"/>
  <c r="S1066" i="12" s="1"/>
  <c r="U1066" i="12"/>
  <c r="N1067" i="12" a="1"/>
  <c r="N1067" i="12" s="1"/>
  <c r="P1067" i="12"/>
  <c r="Q1067" i="12" s="1" a="1"/>
  <c r="Q1067" i="12" s="1"/>
  <c r="R1067" i="12"/>
  <c r="S1067" i="12" s="1"/>
  <c r="U1067" i="12"/>
  <c r="N1068" i="12" a="1"/>
  <c r="N1068" i="12" s="1"/>
  <c r="P1068" i="12"/>
  <c r="Q1068" i="12" s="1" a="1"/>
  <c r="Q1068" i="12" s="1"/>
  <c r="R1068" i="12"/>
  <c r="S1068" i="12" s="1"/>
  <c r="U1068" i="12"/>
  <c r="N1069" i="12" a="1"/>
  <c r="N1069" i="12" s="1"/>
  <c r="P1069" i="12"/>
  <c r="Q1069" i="12" s="1" a="1"/>
  <c r="Q1069" i="12" s="1"/>
  <c r="R1069" i="12"/>
  <c r="S1069" i="12" s="1"/>
  <c r="U1069" i="12"/>
  <c r="N1070" i="12" a="1"/>
  <c r="N1070" i="12" s="1"/>
  <c r="P1070" i="12"/>
  <c r="Q1070" i="12" s="1" a="1"/>
  <c r="Q1070" i="12" s="1"/>
  <c r="R1070" i="12"/>
  <c r="S1070" i="12" s="1"/>
  <c r="U1070" i="12"/>
  <c r="N1071" i="12" a="1"/>
  <c r="N1071" i="12" s="1"/>
  <c r="P1071" i="12"/>
  <c r="Q1071" i="12" s="1" a="1"/>
  <c r="Q1071" i="12" s="1"/>
  <c r="R1071" i="12"/>
  <c r="S1071" i="12" s="1"/>
  <c r="U1071" i="12"/>
  <c r="N1072" i="12" a="1"/>
  <c r="N1072" i="12" s="1"/>
  <c r="P1072" i="12"/>
  <c r="Q1072" i="12" s="1" a="1"/>
  <c r="Q1072" i="12" s="1"/>
  <c r="R1072" i="12"/>
  <c r="S1072" i="12" s="1"/>
  <c r="U1072" i="12"/>
  <c r="N1073" i="12" a="1"/>
  <c r="N1073" i="12" s="1"/>
  <c r="P1073" i="12"/>
  <c r="Q1073" i="12" s="1" a="1"/>
  <c r="Q1073" i="12" s="1"/>
  <c r="R1073" i="12"/>
  <c r="S1073" i="12" s="1"/>
  <c r="U1073" i="12"/>
  <c r="N1074" i="12" a="1"/>
  <c r="N1074" i="12" s="1"/>
  <c r="P1074" i="12"/>
  <c r="Q1074" i="12" s="1" a="1"/>
  <c r="Q1074" i="12" s="1"/>
  <c r="R1074" i="12"/>
  <c r="S1074" i="12" s="1"/>
  <c r="U1074" i="12"/>
  <c r="N1075" i="12" a="1"/>
  <c r="N1075" i="12" s="1"/>
  <c r="P1075" i="12"/>
  <c r="Q1075" i="12" s="1" a="1"/>
  <c r="Q1075" i="12" s="1"/>
  <c r="R1075" i="12"/>
  <c r="S1075" i="12" s="1"/>
  <c r="U1075" i="12"/>
  <c r="N1076" i="12" a="1"/>
  <c r="N1076" i="12" s="1"/>
  <c r="P1076" i="12"/>
  <c r="Q1076" i="12" s="1" a="1"/>
  <c r="Q1076" i="12" s="1"/>
  <c r="R1076" i="12"/>
  <c r="S1076" i="12" s="1"/>
  <c r="U1076" i="12"/>
  <c r="N1077" i="12" a="1"/>
  <c r="N1077" i="12" s="1"/>
  <c r="P1077" i="12"/>
  <c r="Q1077" i="12" s="1" a="1"/>
  <c r="Q1077" i="12" s="1"/>
  <c r="R1077" i="12"/>
  <c r="S1077" i="12" s="1"/>
  <c r="U1077" i="12"/>
  <c r="N1078" i="12" a="1"/>
  <c r="N1078" i="12" s="1"/>
  <c r="P1078" i="12"/>
  <c r="Q1078" i="12" s="1" a="1"/>
  <c r="Q1078" i="12" s="1"/>
  <c r="R1078" i="12"/>
  <c r="S1078" i="12" s="1"/>
  <c r="U1078" i="12"/>
  <c r="N1079" i="12" a="1"/>
  <c r="N1079" i="12" s="1"/>
  <c r="P1079" i="12"/>
  <c r="Q1079" i="12" s="1" a="1"/>
  <c r="Q1079" i="12" s="1"/>
  <c r="R1079" i="12"/>
  <c r="S1079" i="12" s="1"/>
  <c r="U1079" i="12"/>
  <c r="N1080" i="12" a="1"/>
  <c r="N1080" i="12" s="1"/>
  <c r="P1080" i="12"/>
  <c r="Q1080" i="12" s="1" a="1"/>
  <c r="Q1080" i="12" s="1"/>
  <c r="R1080" i="12"/>
  <c r="S1080" i="12" s="1"/>
  <c r="U1080" i="12"/>
  <c r="N1081" i="12" a="1"/>
  <c r="N1081" i="12" s="1"/>
  <c r="P1081" i="12"/>
  <c r="Q1081" i="12" s="1" a="1"/>
  <c r="Q1081" i="12" s="1"/>
  <c r="R1081" i="12"/>
  <c r="S1081" i="12" s="1"/>
  <c r="U1081" i="12"/>
  <c r="N1082" i="12" a="1"/>
  <c r="N1082" i="12" s="1"/>
  <c r="P1082" i="12"/>
  <c r="Q1082" i="12" s="1" a="1"/>
  <c r="Q1082" i="12" s="1"/>
  <c r="R1082" i="12"/>
  <c r="S1082" i="12" s="1"/>
  <c r="U1082" i="12"/>
  <c r="N1083" i="12" a="1"/>
  <c r="N1083" i="12" s="1"/>
  <c r="P1083" i="12"/>
  <c r="Q1083" i="12" s="1" a="1"/>
  <c r="Q1083" i="12" s="1"/>
  <c r="R1083" i="12"/>
  <c r="S1083" i="12" s="1"/>
  <c r="U1083" i="12"/>
  <c r="N1084" i="12" a="1"/>
  <c r="N1084" i="12" s="1"/>
  <c r="P1084" i="12"/>
  <c r="Q1084" i="12" s="1" a="1"/>
  <c r="Q1084" i="12" s="1"/>
  <c r="R1084" i="12"/>
  <c r="S1084" i="12" s="1"/>
  <c r="U1084" i="12"/>
  <c r="N1085" i="12" a="1"/>
  <c r="N1085" i="12" s="1"/>
  <c r="P1085" i="12"/>
  <c r="Q1085" i="12" s="1" a="1"/>
  <c r="Q1085" i="12" s="1"/>
  <c r="R1085" i="12"/>
  <c r="S1085" i="12" s="1"/>
  <c r="U1085" i="12"/>
  <c r="N1086" i="12" a="1"/>
  <c r="N1086" i="12" s="1"/>
  <c r="P1086" i="12"/>
  <c r="Q1086" i="12" s="1" a="1"/>
  <c r="Q1086" i="12" s="1"/>
  <c r="R1086" i="12"/>
  <c r="S1086" i="12" s="1"/>
  <c r="U1086" i="12"/>
  <c r="N1087" i="12" a="1"/>
  <c r="N1087" i="12" s="1"/>
  <c r="P1087" i="12"/>
  <c r="Q1087" i="12" s="1" a="1"/>
  <c r="Q1087" i="12" s="1"/>
  <c r="R1087" i="12"/>
  <c r="S1087" i="12" s="1"/>
  <c r="U1087" i="12"/>
  <c r="N1088" i="12" a="1"/>
  <c r="N1088" i="12" s="1"/>
  <c r="P1088" i="12"/>
  <c r="Q1088" i="12" s="1" a="1"/>
  <c r="Q1088" i="12" s="1"/>
  <c r="R1088" i="12"/>
  <c r="S1088" i="12" s="1"/>
  <c r="U1088" i="12"/>
  <c r="N1089" i="12" a="1"/>
  <c r="N1089" i="12" s="1"/>
  <c r="P1089" i="12"/>
  <c r="Q1089" i="12" s="1" a="1"/>
  <c r="Q1089" i="12" s="1"/>
  <c r="R1089" i="12"/>
  <c r="S1089" i="12" s="1"/>
  <c r="U1089" i="12"/>
  <c r="N1090" i="12" a="1"/>
  <c r="N1090" i="12" s="1"/>
  <c r="P1090" i="12"/>
  <c r="Q1090" i="12" s="1" a="1"/>
  <c r="Q1090" i="12" s="1"/>
  <c r="R1090" i="12"/>
  <c r="S1090" i="12" s="1"/>
  <c r="U1090" i="12"/>
  <c r="N1091" i="12" a="1"/>
  <c r="N1091" i="12" s="1"/>
  <c r="P1091" i="12"/>
  <c r="Q1091" i="12" s="1" a="1"/>
  <c r="Q1091" i="12" s="1"/>
  <c r="R1091" i="12"/>
  <c r="S1091" i="12" s="1"/>
  <c r="U1091" i="12"/>
  <c r="N1092" i="12" a="1"/>
  <c r="N1092" i="12" s="1"/>
  <c r="P1092" i="12"/>
  <c r="Q1092" i="12" s="1" a="1"/>
  <c r="Q1092" i="12" s="1"/>
  <c r="R1092" i="12"/>
  <c r="S1092" i="12" s="1"/>
  <c r="U1092" i="12"/>
  <c r="N1093" i="12" a="1"/>
  <c r="N1093" i="12" s="1"/>
  <c r="P1093" i="12"/>
  <c r="Q1093" i="12" s="1" a="1"/>
  <c r="Q1093" i="12" s="1"/>
  <c r="R1093" i="12"/>
  <c r="S1093" i="12" s="1"/>
  <c r="U1093" i="12"/>
  <c r="N1094" i="12" a="1"/>
  <c r="N1094" i="12" s="1"/>
  <c r="P1094" i="12"/>
  <c r="Q1094" i="12" s="1" a="1"/>
  <c r="Q1094" i="12" s="1"/>
  <c r="R1094" i="12"/>
  <c r="S1094" i="12" s="1"/>
  <c r="U1094" i="12"/>
  <c r="N1095" i="12" a="1"/>
  <c r="N1095" i="12" s="1"/>
  <c r="P1095" i="12"/>
  <c r="Q1095" i="12" s="1" a="1"/>
  <c r="Q1095" i="12" s="1"/>
  <c r="R1095" i="12"/>
  <c r="S1095" i="12" s="1"/>
  <c r="U1095" i="12"/>
  <c r="N1096" i="12" a="1"/>
  <c r="N1096" i="12" s="1"/>
  <c r="P1096" i="12"/>
  <c r="Q1096" i="12" s="1" a="1"/>
  <c r="Q1096" i="12" s="1"/>
  <c r="R1096" i="12"/>
  <c r="S1096" i="12" s="1"/>
  <c r="U1096" i="12"/>
  <c r="N1097" i="12" a="1"/>
  <c r="N1097" i="12" s="1"/>
  <c r="P1097" i="12"/>
  <c r="Q1097" i="12" s="1" a="1"/>
  <c r="Q1097" i="12" s="1"/>
  <c r="R1097" i="12"/>
  <c r="S1097" i="12" s="1"/>
  <c r="U1097" i="12"/>
  <c r="N1098" i="12" a="1"/>
  <c r="N1098" i="12" s="1"/>
  <c r="P1098" i="12"/>
  <c r="Q1098" i="12" s="1" a="1"/>
  <c r="Q1098" i="12" s="1"/>
  <c r="R1098" i="12"/>
  <c r="S1098" i="12" s="1"/>
  <c r="U1098" i="12"/>
  <c r="N1099" i="12" a="1"/>
  <c r="N1099" i="12" s="1"/>
  <c r="P1099" i="12"/>
  <c r="Q1099" i="12" s="1" a="1"/>
  <c r="Q1099" i="12" s="1"/>
  <c r="R1099" i="12"/>
  <c r="S1099" i="12" s="1"/>
  <c r="U1099" i="12"/>
  <c r="N1100" i="12" a="1"/>
  <c r="N1100" i="12" s="1"/>
  <c r="P1100" i="12"/>
  <c r="Q1100" i="12" s="1" a="1"/>
  <c r="Q1100" i="12" s="1"/>
  <c r="R1100" i="12"/>
  <c r="S1100" i="12" s="1"/>
  <c r="U1100" i="12"/>
  <c r="N1101" i="12" a="1"/>
  <c r="N1101" i="12" s="1"/>
  <c r="P1101" i="12"/>
  <c r="Q1101" i="12" s="1" a="1"/>
  <c r="Q1101" i="12" s="1"/>
  <c r="R1101" i="12"/>
  <c r="S1101" i="12" s="1"/>
  <c r="U1101" i="12"/>
  <c r="N1102" i="12" a="1"/>
  <c r="N1102" i="12" s="1"/>
  <c r="P1102" i="12"/>
  <c r="Q1102" i="12" s="1" a="1"/>
  <c r="Q1102" i="12" s="1"/>
  <c r="R1102" i="12"/>
  <c r="S1102" i="12" s="1"/>
  <c r="U1102" i="12"/>
  <c r="N1103" i="12" a="1"/>
  <c r="N1103" i="12" s="1"/>
  <c r="P1103" i="12"/>
  <c r="Q1103" i="12" s="1" a="1"/>
  <c r="Q1103" i="12" s="1"/>
  <c r="R1103" i="12"/>
  <c r="S1103" i="12" s="1"/>
  <c r="U1103" i="12"/>
  <c r="N1104" i="12" a="1"/>
  <c r="N1104" i="12" s="1"/>
  <c r="P1104" i="12"/>
  <c r="Q1104" i="12" s="1" a="1"/>
  <c r="Q1104" i="12" s="1"/>
  <c r="R1104" i="12"/>
  <c r="S1104" i="12" s="1"/>
  <c r="U1104" i="12"/>
  <c r="N1105" i="12" a="1"/>
  <c r="N1105" i="12" s="1"/>
  <c r="P1105" i="12"/>
  <c r="Q1105" i="12" s="1" a="1"/>
  <c r="Q1105" i="12" s="1"/>
  <c r="R1105" i="12"/>
  <c r="S1105" i="12" s="1"/>
  <c r="U1105" i="12"/>
  <c r="N1106" i="12" a="1"/>
  <c r="N1106" i="12" s="1"/>
  <c r="P1106" i="12"/>
  <c r="Q1106" i="12" s="1" a="1"/>
  <c r="Q1106" i="12" s="1"/>
  <c r="R1106" i="12"/>
  <c r="S1106" i="12" s="1"/>
  <c r="U1106" i="12"/>
  <c r="N1107" i="12" a="1"/>
  <c r="N1107" i="12" s="1"/>
  <c r="P1107" i="12"/>
  <c r="Q1107" i="12" s="1" a="1"/>
  <c r="Q1107" i="12" s="1"/>
  <c r="R1107" i="12"/>
  <c r="S1107" i="12" s="1"/>
  <c r="U1107" i="12"/>
  <c r="N1108" i="12" a="1"/>
  <c r="N1108" i="12" s="1"/>
  <c r="P1108" i="12"/>
  <c r="Q1108" i="12" s="1" a="1"/>
  <c r="Q1108" i="12" s="1"/>
  <c r="R1108" i="12"/>
  <c r="S1108" i="12" s="1"/>
  <c r="U1108" i="12"/>
  <c r="N1109" i="12" a="1"/>
  <c r="N1109" i="12" s="1"/>
  <c r="P1109" i="12"/>
  <c r="Q1109" i="12" s="1" a="1"/>
  <c r="Q1109" i="12" s="1"/>
  <c r="R1109" i="12"/>
  <c r="S1109" i="12" s="1"/>
  <c r="U1109" i="12"/>
  <c r="N1110" i="12" a="1"/>
  <c r="N1110" i="12" s="1"/>
  <c r="P1110" i="12"/>
  <c r="Q1110" i="12" s="1" a="1"/>
  <c r="Q1110" i="12" s="1"/>
  <c r="R1110" i="12"/>
  <c r="S1110" i="12" s="1"/>
  <c r="U1110" i="12"/>
  <c r="N1111" i="12" a="1"/>
  <c r="N1111" i="12" s="1"/>
  <c r="P1111" i="12"/>
  <c r="Q1111" i="12" s="1" a="1"/>
  <c r="Q1111" i="12" s="1"/>
  <c r="R1111" i="12"/>
  <c r="S1111" i="12" s="1"/>
  <c r="U1111" i="12"/>
  <c r="N1112" i="12" a="1"/>
  <c r="N1112" i="12" s="1"/>
  <c r="P1112" i="12"/>
  <c r="Q1112" i="12" s="1" a="1"/>
  <c r="Q1112" i="12" s="1"/>
  <c r="R1112" i="12"/>
  <c r="S1112" i="12" s="1"/>
  <c r="U1112" i="12"/>
  <c r="N1113" i="12" a="1"/>
  <c r="N1113" i="12" s="1"/>
  <c r="P1113" i="12"/>
  <c r="Q1113" i="12" s="1" a="1"/>
  <c r="Q1113" i="12" s="1"/>
  <c r="R1113" i="12"/>
  <c r="S1113" i="12" s="1"/>
  <c r="U1113" i="12"/>
  <c r="N1114" i="12" a="1"/>
  <c r="N1114" i="12" s="1"/>
  <c r="P1114" i="12"/>
  <c r="Q1114" i="12" s="1" a="1"/>
  <c r="Q1114" i="12" s="1"/>
  <c r="R1114" i="12"/>
  <c r="S1114" i="12" s="1"/>
  <c r="U1114" i="12"/>
  <c r="N1115" i="12" a="1"/>
  <c r="N1115" i="12" s="1"/>
  <c r="P1115" i="12"/>
  <c r="Q1115" i="12" s="1" a="1"/>
  <c r="Q1115" i="12" s="1"/>
  <c r="R1115" i="12"/>
  <c r="S1115" i="12" s="1"/>
  <c r="U1115" i="12"/>
  <c r="N1116" i="12" a="1"/>
  <c r="N1116" i="12" s="1"/>
  <c r="P1116" i="12"/>
  <c r="Q1116" i="12" s="1" a="1"/>
  <c r="Q1116" i="12" s="1"/>
  <c r="R1116" i="12"/>
  <c r="S1116" i="12" s="1"/>
  <c r="U1116" i="12"/>
  <c r="N1117" i="12" a="1"/>
  <c r="N1117" i="12" s="1"/>
  <c r="P1117" i="12"/>
  <c r="Q1117" i="12" s="1" a="1"/>
  <c r="Q1117" i="12" s="1"/>
  <c r="R1117" i="12"/>
  <c r="S1117" i="12" s="1"/>
  <c r="U1117" i="12"/>
  <c r="N1118" i="12" a="1"/>
  <c r="N1118" i="12" s="1"/>
  <c r="P1118" i="12"/>
  <c r="Q1118" i="12" s="1" a="1"/>
  <c r="Q1118" i="12" s="1"/>
  <c r="R1118" i="12"/>
  <c r="S1118" i="12" s="1"/>
  <c r="U1118" i="12"/>
  <c r="N1119" i="12" a="1"/>
  <c r="N1119" i="12" s="1"/>
  <c r="P1119" i="12"/>
  <c r="Q1119" i="12" s="1" a="1"/>
  <c r="Q1119" i="12" s="1"/>
  <c r="R1119" i="12"/>
  <c r="S1119" i="12" s="1"/>
  <c r="U1119" i="12"/>
  <c r="N1120" i="12" a="1"/>
  <c r="N1120" i="12" s="1"/>
  <c r="P1120" i="12"/>
  <c r="Q1120" i="12" s="1" a="1"/>
  <c r="Q1120" i="12" s="1"/>
  <c r="R1120" i="12"/>
  <c r="S1120" i="12" s="1"/>
  <c r="U1120" i="12"/>
  <c r="N1121" i="12" a="1"/>
  <c r="N1121" i="12" s="1"/>
  <c r="P1121" i="12"/>
  <c r="Q1121" i="12" s="1" a="1"/>
  <c r="Q1121" i="12" s="1"/>
  <c r="R1121" i="12"/>
  <c r="S1121" i="12" s="1"/>
  <c r="U1121" i="12"/>
  <c r="N1122" i="12" a="1"/>
  <c r="N1122" i="12" s="1"/>
  <c r="P1122" i="12"/>
  <c r="Q1122" i="12" s="1" a="1"/>
  <c r="Q1122" i="12" s="1"/>
  <c r="R1122" i="12"/>
  <c r="S1122" i="12" s="1"/>
  <c r="U1122" i="12"/>
  <c r="N1123" i="12" a="1"/>
  <c r="N1123" i="12" s="1"/>
  <c r="P1123" i="12"/>
  <c r="Q1123" i="12" s="1" a="1"/>
  <c r="Q1123" i="12" s="1"/>
  <c r="R1123" i="12"/>
  <c r="S1123" i="12" s="1"/>
  <c r="U1123" i="12"/>
  <c r="N1124" i="12" a="1"/>
  <c r="N1124" i="12" s="1"/>
  <c r="P1124" i="12"/>
  <c r="Q1124" i="12" s="1" a="1"/>
  <c r="Q1124" i="12" s="1"/>
  <c r="R1124" i="12"/>
  <c r="S1124" i="12" s="1"/>
  <c r="U1124" i="12"/>
  <c r="N1125" i="12" a="1"/>
  <c r="N1125" i="12" s="1"/>
  <c r="P1125" i="12"/>
  <c r="Q1125" i="12" s="1" a="1"/>
  <c r="Q1125" i="12" s="1"/>
  <c r="R1125" i="12"/>
  <c r="S1125" i="12" s="1"/>
  <c r="U1125" i="12"/>
  <c r="N1126" i="12" a="1"/>
  <c r="N1126" i="12" s="1"/>
  <c r="P1126" i="12"/>
  <c r="Q1126" i="12" s="1" a="1"/>
  <c r="Q1126" i="12" s="1"/>
  <c r="R1126" i="12"/>
  <c r="S1126" i="12" s="1"/>
  <c r="U1126" i="12"/>
  <c r="N1127" i="12" a="1"/>
  <c r="N1127" i="12" s="1"/>
  <c r="P1127" i="12"/>
  <c r="Q1127" i="12" s="1" a="1"/>
  <c r="Q1127" i="12" s="1"/>
  <c r="R1127" i="12"/>
  <c r="S1127" i="12" s="1"/>
  <c r="U1127" i="12"/>
  <c r="N1128" i="12" a="1"/>
  <c r="N1128" i="12" s="1"/>
  <c r="P1128" i="12"/>
  <c r="Q1128" i="12" s="1" a="1"/>
  <c r="Q1128" i="12" s="1"/>
  <c r="R1128" i="12"/>
  <c r="S1128" i="12" s="1"/>
  <c r="U1128" i="12"/>
  <c r="N1129" i="12" a="1"/>
  <c r="N1129" i="12" s="1"/>
  <c r="P1129" i="12"/>
  <c r="Q1129" i="12" s="1" a="1"/>
  <c r="Q1129" i="12" s="1"/>
  <c r="R1129" i="12"/>
  <c r="S1129" i="12" s="1"/>
  <c r="U1129" i="12"/>
  <c r="N1130" i="12" a="1"/>
  <c r="N1130" i="12" s="1"/>
  <c r="P1130" i="12"/>
  <c r="Q1130" i="12" s="1" a="1"/>
  <c r="Q1130" i="12" s="1"/>
  <c r="R1130" i="12"/>
  <c r="S1130" i="12" s="1"/>
  <c r="U1130" i="12"/>
  <c r="N1131" i="12" a="1"/>
  <c r="N1131" i="12" s="1"/>
  <c r="P1131" i="12"/>
  <c r="Q1131" i="12" s="1" a="1"/>
  <c r="Q1131" i="12" s="1"/>
  <c r="R1131" i="12"/>
  <c r="S1131" i="12" s="1"/>
  <c r="U1131" i="12"/>
  <c r="N1132" i="12" a="1"/>
  <c r="N1132" i="12" s="1"/>
  <c r="P1132" i="12"/>
  <c r="Q1132" i="12" s="1" a="1"/>
  <c r="Q1132" i="12" s="1"/>
  <c r="R1132" i="12"/>
  <c r="S1132" i="12" s="1"/>
  <c r="U1132" i="12"/>
  <c r="N1133" i="12" a="1"/>
  <c r="N1133" i="12" s="1"/>
  <c r="P1133" i="12"/>
  <c r="Q1133" i="12" s="1" a="1"/>
  <c r="Q1133" i="12" s="1"/>
  <c r="R1133" i="12"/>
  <c r="S1133" i="12" s="1"/>
  <c r="U1133" i="12"/>
  <c r="N1134" i="12" a="1"/>
  <c r="N1134" i="12" s="1"/>
  <c r="P1134" i="12"/>
  <c r="Q1134" i="12" s="1" a="1"/>
  <c r="Q1134" i="12" s="1"/>
  <c r="R1134" i="12"/>
  <c r="S1134" i="12" s="1"/>
  <c r="U1134" i="12"/>
  <c r="N1135" i="12" a="1"/>
  <c r="N1135" i="12" s="1"/>
  <c r="P1135" i="12"/>
  <c r="Q1135" i="12" s="1" a="1"/>
  <c r="Q1135" i="12" s="1"/>
  <c r="R1135" i="12"/>
  <c r="S1135" i="12" s="1"/>
  <c r="U1135" i="12"/>
  <c r="N1136" i="12" a="1"/>
  <c r="N1136" i="12" s="1"/>
  <c r="P1136" i="12"/>
  <c r="Q1136" i="12" s="1" a="1"/>
  <c r="Q1136" i="12" s="1"/>
  <c r="R1136" i="12"/>
  <c r="S1136" i="12" s="1"/>
  <c r="U1136" i="12"/>
  <c r="N1137" i="12" a="1"/>
  <c r="N1137" i="12" s="1"/>
  <c r="P1137" i="12"/>
  <c r="Q1137" i="12" s="1" a="1"/>
  <c r="Q1137" i="12" s="1"/>
  <c r="R1137" i="12"/>
  <c r="S1137" i="12" s="1"/>
  <c r="U1137" i="12"/>
  <c r="N1138" i="12" a="1"/>
  <c r="N1138" i="12" s="1"/>
  <c r="P1138" i="12"/>
  <c r="Q1138" i="12" s="1" a="1"/>
  <c r="Q1138" i="12" s="1"/>
  <c r="R1138" i="12"/>
  <c r="S1138" i="12" s="1"/>
  <c r="U1138" i="12"/>
  <c r="N1139" i="12" a="1"/>
  <c r="N1139" i="12" s="1"/>
  <c r="P1139" i="12"/>
  <c r="Q1139" i="12" s="1" a="1"/>
  <c r="Q1139" i="12" s="1"/>
  <c r="R1139" i="12"/>
  <c r="S1139" i="12" s="1"/>
  <c r="U1139" i="12"/>
  <c r="N1140" i="12" a="1"/>
  <c r="N1140" i="12" s="1"/>
  <c r="P1140" i="12"/>
  <c r="Q1140" i="12" s="1" a="1"/>
  <c r="Q1140" i="12" s="1"/>
  <c r="R1140" i="12"/>
  <c r="S1140" i="12" s="1"/>
  <c r="U1140" i="12"/>
  <c r="N1141" i="12" a="1"/>
  <c r="N1141" i="12" s="1"/>
  <c r="P1141" i="12"/>
  <c r="Q1141" i="12" s="1" a="1"/>
  <c r="Q1141" i="12" s="1"/>
  <c r="R1141" i="12"/>
  <c r="S1141" i="12" s="1"/>
  <c r="U1141" i="12"/>
  <c r="N1142" i="12" a="1"/>
  <c r="N1142" i="12" s="1"/>
  <c r="P1142" i="12"/>
  <c r="Q1142" i="12" s="1" a="1"/>
  <c r="Q1142" i="12" s="1"/>
  <c r="R1142" i="12"/>
  <c r="S1142" i="12" s="1"/>
  <c r="U1142" i="12"/>
  <c r="N1143" i="12" a="1"/>
  <c r="N1143" i="12" s="1"/>
  <c r="P1143" i="12"/>
  <c r="Q1143" i="12" s="1" a="1"/>
  <c r="Q1143" i="12" s="1"/>
  <c r="R1143" i="12"/>
  <c r="S1143" i="12" s="1"/>
  <c r="U1143" i="12"/>
  <c r="N1144" i="12" a="1"/>
  <c r="N1144" i="12" s="1"/>
  <c r="P1144" i="12"/>
  <c r="Q1144" i="12" s="1" a="1"/>
  <c r="Q1144" i="12" s="1"/>
  <c r="R1144" i="12"/>
  <c r="S1144" i="12" s="1"/>
  <c r="U1144" i="12"/>
  <c r="N1145" i="12" a="1"/>
  <c r="N1145" i="12" s="1"/>
  <c r="P1145" i="12"/>
  <c r="Q1145" i="12" s="1" a="1"/>
  <c r="Q1145" i="12" s="1"/>
  <c r="R1145" i="12"/>
  <c r="S1145" i="12" s="1"/>
  <c r="U1145" i="12"/>
  <c r="N1146" i="12" a="1"/>
  <c r="N1146" i="12" s="1"/>
  <c r="P1146" i="12"/>
  <c r="Q1146" i="12" s="1" a="1"/>
  <c r="Q1146" i="12" s="1"/>
  <c r="R1146" i="12"/>
  <c r="S1146" i="12" s="1"/>
  <c r="U1146" i="12"/>
  <c r="N1147" i="12" a="1"/>
  <c r="N1147" i="12" s="1"/>
  <c r="P1147" i="12"/>
  <c r="Q1147" i="12" s="1" a="1"/>
  <c r="Q1147" i="12" s="1"/>
  <c r="R1147" i="12"/>
  <c r="S1147" i="12" s="1"/>
  <c r="U1147" i="12"/>
  <c r="N1148" i="12" a="1"/>
  <c r="N1148" i="12" s="1"/>
  <c r="P1148" i="12"/>
  <c r="Q1148" i="12" s="1" a="1"/>
  <c r="Q1148" i="12" s="1"/>
  <c r="R1148" i="12"/>
  <c r="S1148" i="12" s="1"/>
  <c r="U1148" i="12"/>
  <c r="N1149" i="12" a="1"/>
  <c r="N1149" i="12" s="1"/>
  <c r="P1149" i="12"/>
  <c r="Q1149" i="12" s="1" a="1"/>
  <c r="Q1149" i="12" s="1"/>
  <c r="R1149" i="12"/>
  <c r="S1149" i="12" s="1"/>
  <c r="U1149" i="12"/>
  <c r="N1150" i="12" a="1"/>
  <c r="N1150" i="12" s="1"/>
  <c r="P1150" i="12"/>
  <c r="Q1150" i="12" s="1" a="1"/>
  <c r="Q1150" i="12" s="1"/>
  <c r="R1150" i="12"/>
  <c r="S1150" i="12" s="1"/>
  <c r="U1150" i="12"/>
  <c r="N1151" i="12" a="1"/>
  <c r="N1151" i="12" s="1"/>
  <c r="P1151" i="12"/>
  <c r="Q1151" i="12" s="1" a="1"/>
  <c r="Q1151" i="12" s="1"/>
  <c r="R1151" i="12"/>
  <c r="S1151" i="12" s="1"/>
  <c r="U1151" i="12"/>
  <c r="N1152" i="12" a="1"/>
  <c r="N1152" i="12" s="1"/>
  <c r="P1152" i="12"/>
  <c r="Q1152" i="12" s="1" a="1"/>
  <c r="Q1152" i="12" s="1"/>
  <c r="R1152" i="12"/>
  <c r="S1152" i="12" s="1"/>
  <c r="U1152" i="12"/>
  <c r="N1153" i="12" a="1"/>
  <c r="N1153" i="12" s="1"/>
  <c r="P1153" i="12"/>
  <c r="Q1153" i="12" s="1" a="1"/>
  <c r="Q1153" i="12" s="1"/>
  <c r="R1153" i="12"/>
  <c r="S1153" i="12" s="1"/>
  <c r="U1153" i="12"/>
  <c r="N1154" i="12" a="1"/>
  <c r="N1154" i="12" s="1"/>
  <c r="P1154" i="12"/>
  <c r="Q1154" i="12" s="1" a="1"/>
  <c r="Q1154" i="12" s="1"/>
  <c r="R1154" i="12"/>
  <c r="S1154" i="12" s="1"/>
  <c r="U1154" i="12"/>
  <c r="N1155" i="12" a="1"/>
  <c r="N1155" i="12" s="1"/>
  <c r="P1155" i="12"/>
  <c r="Q1155" i="12" s="1" a="1"/>
  <c r="Q1155" i="12" s="1"/>
  <c r="R1155" i="12"/>
  <c r="S1155" i="12" s="1"/>
  <c r="U1155" i="12"/>
  <c r="N1156" i="12" a="1"/>
  <c r="N1156" i="12" s="1"/>
  <c r="P1156" i="12"/>
  <c r="Q1156" i="12" s="1" a="1"/>
  <c r="Q1156" i="12" s="1"/>
  <c r="R1156" i="12"/>
  <c r="S1156" i="12" s="1"/>
  <c r="U1156" i="12"/>
  <c r="N1157" i="12" a="1"/>
  <c r="N1157" i="12" s="1"/>
  <c r="P1157" i="12"/>
  <c r="Q1157" i="12" s="1" a="1"/>
  <c r="Q1157" i="12" s="1"/>
  <c r="R1157" i="12"/>
  <c r="S1157" i="12" s="1"/>
  <c r="U1157" i="12"/>
  <c r="N1158" i="12" a="1"/>
  <c r="N1158" i="12" s="1"/>
  <c r="P1158" i="12"/>
  <c r="Q1158" i="12" s="1" a="1"/>
  <c r="Q1158" i="12" s="1"/>
  <c r="R1158" i="12"/>
  <c r="S1158" i="12" s="1"/>
  <c r="U1158" i="12"/>
  <c r="N1159" i="12" a="1"/>
  <c r="N1159" i="12" s="1"/>
  <c r="P1159" i="12"/>
  <c r="Q1159" i="12" s="1" a="1"/>
  <c r="Q1159" i="12" s="1"/>
  <c r="R1159" i="12"/>
  <c r="S1159" i="12" s="1"/>
  <c r="U1159" i="12"/>
  <c r="N1160" i="12" a="1"/>
  <c r="N1160" i="12" s="1"/>
  <c r="P1160" i="12"/>
  <c r="Q1160" i="12" s="1" a="1"/>
  <c r="Q1160" i="12" s="1"/>
  <c r="R1160" i="12"/>
  <c r="S1160" i="12" s="1"/>
  <c r="U1160" i="12"/>
  <c r="N1161" i="12" a="1"/>
  <c r="N1161" i="12" s="1"/>
  <c r="P1161" i="12"/>
  <c r="Q1161" i="12" s="1" a="1"/>
  <c r="Q1161" i="12" s="1"/>
  <c r="R1161" i="12"/>
  <c r="S1161" i="12" s="1"/>
  <c r="U1161" i="12"/>
  <c r="N1162" i="12" a="1"/>
  <c r="N1162" i="12" s="1"/>
  <c r="P1162" i="12"/>
  <c r="Q1162" i="12" s="1" a="1"/>
  <c r="Q1162" i="12" s="1"/>
  <c r="R1162" i="12"/>
  <c r="S1162" i="12" s="1"/>
  <c r="U1162" i="12"/>
  <c r="N1163" i="12" a="1"/>
  <c r="N1163" i="12" s="1"/>
  <c r="P1163" i="12"/>
  <c r="Q1163" i="12" s="1" a="1"/>
  <c r="Q1163" i="12" s="1"/>
  <c r="R1163" i="12"/>
  <c r="S1163" i="12" s="1"/>
  <c r="U1163" i="12"/>
  <c r="N1164" i="12" a="1"/>
  <c r="N1164" i="12" s="1"/>
  <c r="P1164" i="12"/>
  <c r="Q1164" i="12" s="1" a="1"/>
  <c r="Q1164" i="12" s="1"/>
  <c r="R1164" i="12"/>
  <c r="S1164" i="12" s="1"/>
  <c r="U1164" i="12"/>
  <c r="N1165" i="12" a="1"/>
  <c r="N1165" i="12" s="1"/>
  <c r="P1165" i="12"/>
  <c r="Q1165" i="12" s="1" a="1"/>
  <c r="Q1165" i="12" s="1"/>
  <c r="R1165" i="12"/>
  <c r="S1165" i="12" s="1"/>
  <c r="U1165" i="12"/>
  <c r="N1166" i="12" a="1"/>
  <c r="N1166" i="12" s="1"/>
  <c r="P1166" i="12"/>
  <c r="Q1166" i="12" s="1" a="1"/>
  <c r="Q1166" i="12" s="1"/>
  <c r="R1166" i="12"/>
  <c r="S1166" i="12" s="1"/>
  <c r="U1166" i="12"/>
  <c r="N1167" i="12" a="1"/>
  <c r="N1167" i="12" s="1"/>
  <c r="P1167" i="12"/>
  <c r="Q1167" i="12" s="1" a="1"/>
  <c r="Q1167" i="12" s="1"/>
  <c r="R1167" i="12"/>
  <c r="S1167" i="12" s="1"/>
  <c r="U1167" i="12"/>
  <c r="N1168" i="12" a="1"/>
  <c r="N1168" i="12" s="1"/>
  <c r="P1168" i="12"/>
  <c r="Q1168" i="12" s="1" a="1"/>
  <c r="Q1168" i="12" s="1"/>
  <c r="R1168" i="12"/>
  <c r="S1168" i="12" s="1"/>
  <c r="U1168" i="12"/>
  <c r="N1169" i="12" a="1"/>
  <c r="N1169" i="12" s="1"/>
  <c r="P1169" i="12"/>
  <c r="Q1169" i="12" s="1" a="1"/>
  <c r="Q1169" i="12" s="1"/>
  <c r="R1169" i="12"/>
  <c r="S1169" i="12" s="1"/>
  <c r="U1169" i="12"/>
  <c r="N1170" i="12" a="1"/>
  <c r="N1170" i="12" s="1"/>
  <c r="P1170" i="12"/>
  <c r="Q1170" i="12" s="1" a="1"/>
  <c r="Q1170" i="12" s="1"/>
  <c r="R1170" i="12"/>
  <c r="S1170" i="12" s="1"/>
  <c r="U1170" i="12"/>
  <c r="N1171" i="12" a="1"/>
  <c r="N1171" i="12" s="1"/>
  <c r="P1171" i="12"/>
  <c r="Q1171" i="12" s="1" a="1"/>
  <c r="Q1171" i="12" s="1"/>
  <c r="R1171" i="12"/>
  <c r="S1171" i="12" s="1"/>
  <c r="U1171" i="12"/>
  <c r="N1172" i="12" a="1"/>
  <c r="N1172" i="12" s="1"/>
  <c r="P1172" i="12"/>
  <c r="Q1172" i="12" s="1" a="1"/>
  <c r="Q1172" i="12" s="1"/>
  <c r="R1172" i="12"/>
  <c r="S1172" i="12" s="1"/>
  <c r="U1172" i="12"/>
  <c r="N1173" i="12" a="1"/>
  <c r="N1173" i="12" s="1"/>
  <c r="P1173" i="12"/>
  <c r="Q1173" i="12" s="1" a="1"/>
  <c r="Q1173" i="12" s="1"/>
  <c r="R1173" i="12"/>
  <c r="S1173" i="12" s="1"/>
  <c r="U1173" i="12"/>
  <c r="N1174" i="12" a="1"/>
  <c r="N1174" i="12" s="1"/>
  <c r="P1174" i="12"/>
  <c r="Q1174" i="12" s="1" a="1"/>
  <c r="Q1174" i="12" s="1"/>
  <c r="R1174" i="12"/>
  <c r="S1174" i="12" s="1"/>
  <c r="U1174" i="12"/>
  <c r="N1175" i="12" a="1"/>
  <c r="N1175" i="12" s="1"/>
  <c r="P1175" i="12"/>
  <c r="Q1175" i="12" s="1" a="1"/>
  <c r="Q1175" i="12" s="1"/>
  <c r="R1175" i="12"/>
  <c r="S1175" i="12" s="1"/>
  <c r="U1175" i="12"/>
  <c r="N1176" i="12" a="1"/>
  <c r="N1176" i="12" s="1"/>
  <c r="P1176" i="12"/>
  <c r="Q1176" i="12" s="1" a="1"/>
  <c r="Q1176" i="12" s="1"/>
  <c r="R1176" i="12"/>
  <c r="S1176" i="12" s="1"/>
  <c r="U1176" i="12"/>
  <c r="N1177" i="12" a="1"/>
  <c r="N1177" i="12" s="1"/>
  <c r="P1177" i="12"/>
  <c r="Q1177" i="12" s="1" a="1"/>
  <c r="Q1177" i="12" s="1"/>
  <c r="R1177" i="12"/>
  <c r="S1177" i="12" s="1"/>
  <c r="U1177" i="12"/>
  <c r="N1178" i="12" a="1"/>
  <c r="N1178" i="12" s="1"/>
  <c r="P1178" i="12"/>
  <c r="Q1178" i="12" s="1" a="1"/>
  <c r="Q1178" i="12" s="1"/>
  <c r="R1178" i="12"/>
  <c r="S1178" i="12" s="1"/>
  <c r="U1178" i="12"/>
  <c r="N1179" i="12" a="1"/>
  <c r="N1179" i="12" s="1"/>
  <c r="P1179" i="12"/>
  <c r="Q1179" i="12" s="1" a="1"/>
  <c r="Q1179" i="12" s="1"/>
  <c r="R1179" i="12"/>
  <c r="S1179" i="12" s="1"/>
  <c r="U1179" i="12"/>
  <c r="N1180" i="12" a="1"/>
  <c r="N1180" i="12" s="1"/>
  <c r="P1180" i="12"/>
  <c r="Q1180" i="12" s="1" a="1"/>
  <c r="Q1180" i="12" s="1"/>
  <c r="R1180" i="12"/>
  <c r="S1180" i="12" s="1"/>
  <c r="U1180" i="12"/>
  <c r="N1181" i="12" a="1"/>
  <c r="N1181" i="12" s="1"/>
  <c r="P1181" i="12"/>
  <c r="Q1181" i="12" s="1" a="1"/>
  <c r="Q1181" i="12" s="1"/>
  <c r="R1181" i="12"/>
  <c r="S1181" i="12" s="1"/>
  <c r="U1181" i="12"/>
  <c r="N1182" i="12" a="1"/>
  <c r="N1182" i="12" s="1"/>
  <c r="P1182" i="12"/>
  <c r="Q1182" i="12" s="1" a="1"/>
  <c r="Q1182" i="12" s="1"/>
  <c r="R1182" i="12"/>
  <c r="S1182" i="12" s="1"/>
  <c r="U1182" i="12"/>
  <c r="N1183" i="12" a="1"/>
  <c r="N1183" i="12" s="1"/>
  <c r="P1183" i="12"/>
  <c r="Q1183" i="12" s="1" a="1"/>
  <c r="Q1183" i="12" s="1"/>
  <c r="R1183" i="12"/>
  <c r="S1183" i="12" s="1"/>
  <c r="U1183" i="12"/>
  <c r="N1184" i="12" a="1"/>
  <c r="N1184" i="12" s="1"/>
  <c r="P1184" i="12"/>
  <c r="Q1184" i="12" s="1" a="1"/>
  <c r="Q1184" i="12" s="1"/>
  <c r="R1184" i="12"/>
  <c r="S1184" i="12" s="1"/>
  <c r="U1184" i="12"/>
  <c r="N1185" i="12" a="1"/>
  <c r="N1185" i="12" s="1"/>
  <c r="P1185" i="12"/>
  <c r="Q1185" i="12" s="1" a="1"/>
  <c r="Q1185" i="12" s="1"/>
  <c r="R1185" i="12"/>
  <c r="S1185" i="12" s="1"/>
  <c r="U1185" i="12"/>
  <c r="N1186" i="12" a="1"/>
  <c r="N1186" i="12" s="1"/>
  <c r="P1186" i="12"/>
  <c r="Q1186" i="12" s="1" a="1"/>
  <c r="Q1186" i="12" s="1"/>
  <c r="R1186" i="12"/>
  <c r="S1186" i="12" s="1"/>
  <c r="U1186" i="12"/>
  <c r="N1187" i="12" a="1"/>
  <c r="N1187" i="12" s="1"/>
  <c r="P1187" i="12"/>
  <c r="Q1187" i="12" s="1" a="1"/>
  <c r="Q1187" i="12" s="1"/>
  <c r="R1187" i="12"/>
  <c r="S1187" i="12" s="1"/>
  <c r="U1187" i="12"/>
  <c r="N1188" i="12" a="1"/>
  <c r="N1188" i="12" s="1"/>
  <c r="P1188" i="12"/>
  <c r="Q1188" i="12" s="1" a="1"/>
  <c r="Q1188" i="12" s="1"/>
  <c r="R1188" i="12"/>
  <c r="S1188" i="12" s="1"/>
  <c r="U1188" i="12"/>
  <c r="N1189" i="12" a="1"/>
  <c r="N1189" i="12" s="1"/>
  <c r="P1189" i="12"/>
  <c r="Q1189" i="12" s="1" a="1"/>
  <c r="Q1189" i="12" s="1"/>
  <c r="R1189" i="12"/>
  <c r="S1189" i="12" s="1"/>
  <c r="U1189" i="12"/>
  <c r="N1190" i="12" a="1"/>
  <c r="N1190" i="12" s="1"/>
  <c r="P1190" i="12"/>
  <c r="Q1190" i="12" s="1" a="1"/>
  <c r="Q1190" i="12" s="1"/>
  <c r="R1190" i="12"/>
  <c r="S1190" i="12" s="1"/>
  <c r="U1190" i="12"/>
  <c r="N1191" i="12" a="1"/>
  <c r="N1191" i="12" s="1"/>
  <c r="P1191" i="12"/>
  <c r="Q1191" i="12" s="1" a="1"/>
  <c r="Q1191" i="12" s="1"/>
  <c r="R1191" i="12"/>
  <c r="S1191" i="12" s="1"/>
  <c r="U1191" i="12"/>
  <c r="N1192" i="12" a="1"/>
  <c r="N1192" i="12" s="1"/>
  <c r="P1192" i="12"/>
  <c r="Q1192" i="12" s="1" a="1"/>
  <c r="Q1192" i="12" s="1"/>
  <c r="R1192" i="12"/>
  <c r="S1192" i="12" s="1"/>
  <c r="U1192" i="12"/>
  <c r="N1193" i="12" a="1"/>
  <c r="N1193" i="12" s="1"/>
  <c r="P1193" i="12"/>
  <c r="Q1193" i="12" s="1" a="1"/>
  <c r="Q1193" i="12" s="1"/>
  <c r="R1193" i="12"/>
  <c r="S1193" i="12" s="1"/>
  <c r="U1193" i="12"/>
  <c r="N1194" i="12" a="1"/>
  <c r="N1194" i="12" s="1"/>
  <c r="P1194" i="12"/>
  <c r="Q1194" i="12" s="1" a="1"/>
  <c r="Q1194" i="12" s="1"/>
  <c r="R1194" i="12"/>
  <c r="S1194" i="12" s="1"/>
  <c r="U1194" i="12"/>
  <c r="N1195" i="12" a="1"/>
  <c r="N1195" i="12" s="1"/>
  <c r="P1195" i="12"/>
  <c r="Q1195" i="12" s="1" a="1"/>
  <c r="Q1195" i="12" s="1"/>
  <c r="R1195" i="12"/>
  <c r="S1195" i="12" s="1"/>
  <c r="U1195" i="12"/>
  <c r="N1196" i="12" a="1"/>
  <c r="N1196" i="12" s="1"/>
  <c r="P1196" i="12"/>
  <c r="Q1196" i="12" s="1" a="1"/>
  <c r="Q1196" i="12" s="1"/>
  <c r="R1196" i="12"/>
  <c r="S1196" i="12" s="1"/>
  <c r="U1196" i="12"/>
  <c r="N1197" i="12" a="1"/>
  <c r="N1197" i="12" s="1"/>
  <c r="P1197" i="12"/>
  <c r="Q1197" i="12" s="1" a="1"/>
  <c r="Q1197" i="12" s="1"/>
  <c r="R1197" i="12"/>
  <c r="S1197" i="12" s="1"/>
  <c r="U1197" i="12"/>
  <c r="N1198" i="12" a="1"/>
  <c r="N1198" i="12" s="1"/>
  <c r="P1198" i="12"/>
  <c r="Q1198" i="12" s="1" a="1"/>
  <c r="Q1198" i="12" s="1"/>
  <c r="R1198" i="12"/>
  <c r="S1198" i="12" s="1"/>
  <c r="U1198" i="12"/>
  <c r="N1199" i="12" a="1"/>
  <c r="N1199" i="12" s="1"/>
  <c r="P1199" i="12"/>
  <c r="Q1199" i="12" s="1" a="1"/>
  <c r="Q1199" i="12" s="1"/>
  <c r="R1199" i="12"/>
  <c r="S1199" i="12" s="1"/>
  <c r="U1199" i="12"/>
  <c r="N1200" i="12" a="1"/>
  <c r="N1200" i="12" s="1"/>
  <c r="P1200" i="12"/>
  <c r="Q1200" i="12" s="1" a="1"/>
  <c r="Q1200" i="12" s="1"/>
  <c r="R1200" i="12"/>
  <c r="S1200" i="12" s="1"/>
  <c r="U1200" i="12"/>
  <c r="N1201" i="12" a="1"/>
  <c r="N1201" i="12" s="1"/>
  <c r="P1201" i="12"/>
  <c r="Q1201" i="12" s="1" a="1"/>
  <c r="Q1201" i="12" s="1"/>
  <c r="R1201" i="12"/>
  <c r="S1201" i="12" s="1"/>
  <c r="U1201" i="12"/>
  <c r="N1202" i="12" a="1"/>
  <c r="N1202" i="12" s="1"/>
  <c r="P1202" i="12"/>
  <c r="Q1202" i="12" s="1" a="1"/>
  <c r="Q1202" i="12" s="1"/>
  <c r="R1202" i="12"/>
  <c r="S1202" i="12" s="1"/>
  <c r="U1202" i="12"/>
  <c r="N1203" i="12" a="1"/>
  <c r="N1203" i="12" s="1"/>
  <c r="P1203" i="12"/>
  <c r="Q1203" i="12" s="1" a="1"/>
  <c r="Q1203" i="12" s="1"/>
  <c r="R1203" i="12"/>
  <c r="S1203" i="12" s="1"/>
  <c r="U1203" i="12"/>
  <c r="N203" i="12" a="1"/>
  <c r="N203" i="12" s="1"/>
  <c r="P203" i="12"/>
  <c r="Q203" i="12" s="1" a="1"/>
  <c r="Q203" i="12" s="1"/>
  <c r="R203" i="12"/>
  <c r="S203" i="12" s="1"/>
  <c r="U203" i="12"/>
  <c r="N204" i="12" a="1"/>
  <c r="N204" i="12" s="1"/>
  <c r="U196" i="12" l="1"/>
  <c r="U197" i="12"/>
  <c r="U200" i="12"/>
  <c r="U204" i="12"/>
  <c r="U202" i="12"/>
  <c r="P204" i="12"/>
  <c r="Q204" i="12" s="1" a="1"/>
  <c r="Q204" i="12" s="1"/>
  <c r="R204" i="12"/>
  <c r="S204" i="12" s="1"/>
  <c r="P202" i="12"/>
  <c r="Q202" i="12" s="1" a="1"/>
  <c r="Q202" i="12" s="1"/>
  <c r="R202" i="12"/>
  <c r="S202" i="12" s="1"/>
  <c r="R198" i="12"/>
  <c r="P198" i="12"/>
  <c r="N198" i="12" a="1"/>
  <c r="N198" i="12" s="1"/>
  <c r="R200" i="12"/>
  <c r="P200" i="12"/>
  <c r="N200" i="12" a="1"/>
  <c r="N200" i="12" s="1"/>
  <c r="R196" i="12"/>
  <c r="S196" i="12" s="1"/>
  <c r="P196" i="12"/>
  <c r="Q196" i="12" s="1" a="1"/>
  <c r="Q196" i="12" s="1"/>
  <c r="N196" i="12" a="1"/>
  <c r="N196" i="12" s="1"/>
  <c r="U168" i="12"/>
  <c r="R188" i="12" l="1"/>
  <c r="U174" i="12" l="1"/>
  <c r="U175" i="12"/>
  <c r="U176" i="12"/>
  <c r="U177" i="12"/>
  <c r="U178" i="12"/>
  <c r="U179" i="12"/>
  <c r="U180" i="12"/>
  <c r="U181" i="12"/>
  <c r="U182" i="12"/>
  <c r="U184" i="12"/>
  <c r="U183" i="12"/>
  <c r="U185" i="12"/>
  <c r="U186" i="12"/>
  <c r="U187" i="12"/>
  <c r="U188" i="12"/>
  <c r="U189" i="12"/>
  <c r="U190" i="12"/>
  <c r="U191" i="12"/>
  <c r="U194" i="12"/>
  <c r="U192" i="12"/>
  <c r="U193" i="12"/>
  <c r="U195" i="12"/>
  <c r="U201" i="12"/>
  <c r="U198" i="12"/>
  <c r="U199" i="12"/>
  <c r="R182" i="12"/>
  <c r="S182" i="12" s="1"/>
  <c r="P182" i="12"/>
  <c r="Q182" i="12" s="1" a="1"/>
  <c r="Q182" i="12" s="1"/>
  <c r="N182" i="12" a="1"/>
  <c r="N182" i="12" s="1"/>
  <c r="N184" i="12" a="1"/>
  <c r="N184" i="12" s="1"/>
  <c r="R184" i="12"/>
  <c r="S184" i="12" s="1"/>
  <c r="P184" i="12"/>
  <c r="Q184" i="12" s="1" a="1"/>
  <c r="Q184" i="12" s="1"/>
  <c r="E2" i="4"/>
  <c r="G2" i="4" s="1"/>
  <c r="I2" i="4"/>
  <c r="K2" i="4"/>
  <c r="J2" i="4" s="1"/>
  <c r="L2" i="4"/>
  <c r="U173" i="12"/>
  <c r="P177" i="12"/>
  <c r="Q177" i="12" s="1" a="1"/>
  <c r="Q177" i="12" s="1"/>
  <c r="R177" i="12"/>
  <c r="S177" i="12" s="1"/>
  <c r="N177" i="12" a="1"/>
  <c r="N177" i="12" s="1"/>
  <c r="R169" i="12"/>
  <c r="R172" i="12"/>
  <c r="S172" i="12" s="1"/>
  <c r="R166" i="12"/>
  <c r="S166" i="12" s="1"/>
  <c r="R167" i="12"/>
  <c r="S167" i="12" s="1"/>
  <c r="P166" i="12"/>
  <c r="Q166" i="12" s="1" a="1"/>
  <c r="Q166" i="12" s="1"/>
  <c r="P167" i="12"/>
  <c r="Q167" i="12" s="1" a="1"/>
  <c r="Q167" i="12" s="1"/>
  <c r="P168" i="12"/>
  <c r="P169" i="12"/>
  <c r="P172" i="12"/>
  <c r="Q172" i="12" s="1" a="1"/>
  <c r="Q172" i="12" s="1"/>
  <c r="N166" i="12" a="1"/>
  <c r="N166" i="12" s="1"/>
  <c r="N167" i="12" a="1"/>
  <c r="N167" i="12" s="1"/>
  <c r="N168" i="12" a="1"/>
  <c r="N168" i="12" s="1"/>
  <c r="N169" i="12" a="1"/>
  <c r="N169" i="12" s="1"/>
  <c r="N172" i="12" a="1"/>
  <c r="N172" i="12" s="1"/>
  <c r="U172" i="12"/>
  <c r="U159" i="12"/>
  <c r="U160" i="12"/>
  <c r="U161" i="12"/>
  <c r="U162" i="12"/>
  <c r="U163" i="12"/>
  <c r="U164" i="12"/>
  <c r="U165" i="12"/>
  <c r="U166" i="12"/>
  <c r="U167" i="12"/>
  <c r="U169" i="12"/>
  <c r="U170" i="12"/>
  <c r="U171" i="12"/>
  <c r="P164" i="12"/>
  <c r="Q164" i="12" s="1" a="1"/>
  <c r="Q164" i="12" s="1"/>
  <c r="R164" i="12"/>
  <c r="S164" i="12" s="1"/>
  <c r="N164" i="12" a="1"/>
  <c r="N164" i="12" s="1"/>
  <c r="R162" i="12"/>
  <c r="S162" i="12" s="1"/>
  <c r="P162" i="12"/>
  <c r="Q162" i="12" s="1" a="1"/>
  <c r="Q162" i="12" s="1"/>
  <c r="N162" i="12" a="1"/>
  <c r="N162" i="12" s="1"/>
  <c r="P158" i="12"/>
  <c r="U153" i="12"/>
  <c r="P157" i="12"/>
  <c r="Q157" i="12" s="1" a="1"/>
  <c r="Q157" i="12" s="1"/>
  <c r="R157" i="12"/>
  <c r="S157" i="12" s="1"/>
  <c r="N157" i="12" a="1"/>
  <c r="N157" i="12" s="1"/>
  <c r="U157" i="12"/>
  <c r="U154" i="12"/>
  <c r="S154" i="12"/>
  <c r="P154" i="12"/>
  <c r="N154" i="12" a="1"/>
  <c r="N154" i="12" s="1"/>
  <c r="N146" i="12" a="1"/>
  <c r="N146" i="12" s="1"/>
  <c r="P146" i="12"/>
  <c r="Q146" i="12" s="1" a="1"/>
  <c r="Q146" i="12" s="1"/>
  <c r="S146" i="12"/>
  <c r="U146" i="12"/>
  <c r="P153" i="12"/>
  <c r="Q153" i="12" s="1" a="1"/>
  <c r="Q153" i="12" s="1"/>
  <c r="N153" i="12" a="1"/>
  <c r="N153" i="12" s="1"/>
  <c r="R153" i="12"/>
  <c r="S153" i="12" s="1"/>
  <c r="H2" i="4" l="1"/>
  <c r="U148" i="12"/>
  <c r="U149" i="12"/>
  <c r="U150" i="12"/>
  <c r="U151" i="12"/>
  <c r="U152" i="12"/>
  <c r="U158" i="12"/>
  <c r="U155" i="12"/>
  <c r="U156" i="12"/>
  <c r="R150" i="12"/>
  <c r="S150" i="12" s="1"/>
  <c r="N150" i="12" a="1"/>
  <c r="N150" i="12" s="1"/>
  <c r="P150" i="12"/>
  <c r="Q150" i="12" s="1" a="1"/>
  <c r="Q150" i="12" s="1"/>
  <c r="P145" i="12" l="1"/>
  <c r="S145" i="12"/>
  <c r="N145" i="12" a="1"/>
  <c r="N145" i="12" s="1"/>
  <c r="U145" i="12"/>
  <c r="N144" i="12" a="1"/>
  <c r="N144" i="12" s="1"/>
  <c r="P144" i="12"/>
  <c r="R144" i="12"/>
  <c r="S144" i="12" s="1"/>
  <c r="U144" i="12"/>
  <c r="S139" i="12"/>
  <c r="P139" i="12"/>
  <c r="Q139" i="12" s="1" a="1"/>
  <c r="Q139" i="12" s="1"/>
  <c r="N139" i="12" a="1"/>
  <c r="N139" i="12" s="1"/>
  <c r="U139" i="12"/>
  <c r="U136" i="12"/>
  <c r="R136" i="12"/>
  <c r="S136" i="12" s="1"/>
  <c r="P136" i="12"/>
  <c r="Q136" i="12" s="1" a="1"/>
  <c r="Q136" i="12" s="1"/>
  <c r="N136" i="12" a="1"/>
  <c r="N136" i="12" s="1"/>
  <c r="N142" i="12" a="1"/>
  <c r="N142" i="12" s="1"/>
  <c r="P142" i="12"/>
  <c r="Q142" i="12" s="1" a="1"/>
  <c r="Q142" i="12" s="1"/>
  <c r="R142" i="12"/>
  <c r="S142" i="12" s="1"/>
  <c r="U142" i="12"/>
  <c r="U135" i="12"/>
  <c r="R135" i="12"/>
  <c r="S135" i="12" s="1"/>
  <c r="P135" i="12"/>
  <c r="Q135" i="12" s="1" a="1"/>
  <c r="Q135" i="12" s="1"/>
  <c r="N135" i="12" a="1"/>
  <c r="N135" i="12" s="1"/>
  <c r="U124" i="12" l="1"/>
  <c r="S124" i="12"/>
  <c r="P124" i="12"/>
  <c r="N124" i="12" a="1"/>
  <c r="N124" i="12" s="1"/>
  <c r="U125" i="12"/>
  <c r="S125" i="12"/>
  <c r="P125" i="12"/>
  <c r="N125" i="12" a="1"/>
  <c r="N125" i="12" s="1"/>
  <c r="U38" i="12" l="1"/>
  <c r="U39" i="12"/>
  <c r="U123" i="12"/>
  <c r="S123" i="12"/>
  <c r="P123" i="12"/>
  <c r="N123" i="12" a="1"/>
  <c r="N123" i="12" s="1"/>
  <c r="R122" i="12"/>
  <c r="G29" i="4"/>
  <c r="I29" i="4"/>
  <c r="H29" i="4" s="1"/>
  <c r="G28" i="4"/>
  <c r="I28" i="4"/>
  <c r="H28" i="4" s="1"/>
  <c r="L27" i="4"/>
  <c r="K27" i="4"/>
  <c r="J27" i="4" s="1"/>
  <c r="I27" i="4"/>
  <c r="G27" i="4"/>
  <c r="S116" i="12"/>
  <c r="R115" i="12"/>
  <c r="S115" i="12" s="1"/>
  <c r="R114" i="12"/>
  <c r="S114" i="12" s="1"/>
  <c r="U116" i="12"/>
  <c r="P116" i="12"/>
  <c r="Q116" i="12" s="1" a="1"/>
  <c r="Q116" i="12" s="1"/>
  <c r="N116" i="12" a="1"/>
  <c r="N116" i="12" s="1"/>
  <c r="U115" i="12"/>
  <c r="P115" i="12"/>
  <c r="Q115" i="12" s="1" a="1"/>
  <c r="Q115" i="12" s="1"/>
  <c r="N115" i="12" a="1"/>
  <c r="N115" i="12" s="1"/>
  <c r="U114" i="12"/>
  <c r="P114" i="12"/>
  <c r="Q114" i="12" s="1" a="1"/>
  <c r="Q114" i="12" s="1"/>
  <c r="N114" i="12" a="1"/>
  <c r="N114" i="12" s="1"/>
  <c r="U113" i="12"/>
  <c r="S113" i="12"/>
  <c r="P113" i="12"/>
  <c r="N113" i="12" a="1"/>
  <c r="N113" i="12" s="1"/>
  <c r="H27" i="4" l="1"/>
  <c r="U108" i="12"/>
  <c r="S108" i="12"/>
  <c r="P108" i="12"/>
  <c r="Q108" i="12" s="1" a="1"/>
  <c r="Q108" i="12" s="1"/>
  <c r="N108" i="12" a="1"/>
  <c r="N108" i="12" s="1"/>
  <c r="U107" i="12"/>
  <c r="S107" i="12"/>
  <c r="P107" i="12"/>
  <c r="Q107" i="12" s="1" a="1"/>
  <c r="Q107" i="12" s="1"/>
  <c r="N107" i="12" a="1"/>
  <c r="N107" i="12" s="1"/>
  <c r="U109" i="12"/>
  <c r="S109" i="12"/>
  <c r="P109" i="12"/>
  <c r="Q109" i="12" s="1" a="1"/>
  <c r="Q109" i="12" s="1"/>
  <c r="N109" i="12" a="1"/>
  <c r="N109" i="12" s="1"/>
  <c r="U3" i="12" l="1"/>
  <c r="U4" i="12"/>
  <c r="U5" i="12"/>
  <c r="U6" i="12"/>
  <c r="U7" i="12"/>
  <c r="U8" i="12"/>
  <c r="U9" i="12"/>
  <c r="U10" i="12"/>
  <c r="U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12" i="12"/>
  <c r="U102" i="12"/>
  <c r="U103" i="12"/>
  <c r="U104" i="12"/>
  <c r="U105" i="12"/>
  <c r="U106" i="12"/>
  <c r="U110" i="12"/>
  <c r="U111" i="12"/>
  <c r="U117" i="12"/>
  <c r="U118" i="12"/>
  <c r="U119" i="12"/>
  <c r="U120" i="12"/>
  <c r="U121" i="12"/>
  <c r="U122" i="12"/>
  <c r="U126" i="12"/>
  <c r="U127" i="12"/>
  <c r="U128" i="12"/>
  <c r="U129" i="12"/>
  <c r="U130" i="12"/>
  <c r="U131" i="12"/>
  <c r="U132" i="12"/>
  <c r="U133" i="12"/>
  <c r="U134" i="12"/>
  <c r="U137" i="12"/>
  <c r="U138" i="12"/>
  <c r="U140" i="12"/>
  <c r="U141" i="12"/>
  <c r="U143" i="12"/>
  <c r="U147" i="12"/>
  <c r="U11" i="12"/>
  <c r="U12" i="12"/>
  <c r="S104" i="12"/>
  <c r="P104" i="12"/>
  <c r="Q104" i="12" s="1" a="1"/>
  <c r="Q104" i="12" s="1"/>
  <c r="N104" i="12" a="1"/>
  <c r="N104" i="12" s="1"/>
  <c r="S103" i="12"/>
  <c r="P103" i="12"/>
  <c r="Q103" i="12" s="1" a="1"/>
  <c r="Q103" i="12" s="1"/>
  <c r="N103" i="12" a="1"/>
  <c r="N103" i="12" s="1"/>
  <c r="R100" i="12"/>
  <c r="S100" i="12" s="1"/>
  <c r="P100" i="12"/>
  <c r="Q100" i="12" s="1" a="1"/>
  <c r="Q100" i="12" s="1"/>
  <c r="N100" i="12" a="1"/>
  <c r="N100" i="12" s="1"/>
  <c r="N98" i="12" l="1" a="1"/>
  <c r="N98" i="12" s="1"/>
  <c r="S98" i="12"/>
  <c r="P98" i="12"/>
  <c r="Q98" i="12" s="1" a="1"/>
  <c r="Q98" i="12" s="1"/>
  <c r="S97" i="12"/>
  <c r="P97" i="12"/>
  <c r="Q97" i="12" s="1" a="1"/>
  <c r="Q97" i="12" s="1"/>
  <c r="N97" i="12" a="1"/>
  <c r="N97" i="12" s="1"/>
  <c r="E8" i="4" l="1"/>
  <c r="G8" i="4" s="1"/>
  <c r="I8" i="4"/>
  <c r="K8" i="4"/>
  <c r="J8" i="4" s="1"/>
  <c r="L8" i="4"/>
  <c r="N81" i="12" a="1"/>
  <c r="N81" i="12" s="1"/>
  <c r="S81" i="12"/>
  <c r="P81" i="12"/>
  <c r="Q81" i="12" s="1" a="1"/>
  <c r="Q81" i="12" s="1"/>
  <c r="H8" i="4" l="1"/>
  <c r="S85" i="12" l="1"/>
  <c r="P85" i="12"/>
  <c r="N85" i="12" a="1"/>
  <c r="N85" i="12" s="1"/>
  <c r="S84" i="12"/>
  <c r="P84" i="12"/>
  <c r="N84" i="12" a="1"/>
  <c r="N84" i="12" s="1"/>
  <c r="S83" i="12"/>
  <c r="S82" i="12"/>
  <c r="P83" i="12"/>
  <c r="N83" i="12" a="1"/>
  <c r="N83" i="12" s="1"/>
  <c r="P82" i="12"/>
  <c r="N82" i="12" a="1"/>
  <c r="N82" i="12" s="1"/>
  <c r="L22" i="4"/>
  <c r="K22" i="4"/>
  <c r="J22" i="4" s="1"/>
  <c r="I22" i="4"/>
  <c r="E22" i="4"/>
  <c r="G22" i="4" s="1"/>
  <c r="S80" i="12"/>
  <c r="P80" i="12"/>
  <c r="Q80" i="12" s="1" a="1"/>
  <c r="Q80" i="12" s="1"/>
  <c r="N80" i="12" a="1"/>
  <c r="N80" i="12" s="1"/>
  <c r="S75" i="12"/>
  <c r="P75" i="12"/>
  <c r="Q75" i="12" s="1" a="1"/>
  <c r="Q75" i="12" s="1"/>
  <c r="N75" i="12" a="1"/>
  <c r="N75" i="12" s="1"/>
  <c r="S74" i="12"/>
  <c r="P74" i="12"/>
  <c r="Q74" i="12" s="1" a="1"/>
  <c r="Q74" i="12" s="1"/>
  <c r="N74" i="12" a="1"/>
  <c r="N74" i="12" s="1"/>
  <c r="R73" i="12"/>
  <c r="S73" i="12" s="1"/>
  <c r="P73" i="12"/>
  <c r="Q73" i="12" s="1" a="1"/>
  <c r="Q73" i="12" s="1"/>
  <c r="N73" i="12" a="1"/>
  <c r="N73" i="12" s="1"/>
  <c r="S72" i="12"/>
  <c r="P72" i="12"/>
  <c r="Q72" i="12" s="1" a="1"/>
  <c r="Q72" i="12" s="1"/>
  <c r="N72" i="12" a="1"/>
  <c r="N72" i="12" s="1"/>
  <c r="S71" i="12"/>
  <c r="P71" i="12"/>
  <c r="Q71" i="12" s="1" a="1"/>
  <c r="Q71" i="12" s="1"/>
  <c r="N71" i="12" a="1"/>
  <c r="N71" i="12" s="1"/>
  <c r="S70" i="12"/>
  <c r="P70" i="12"/>
  <c r="Q70" i="12" s="1" a="1"/>
  <c r="Q70" i="12" s="1"/>
  <c r="N70" i="12" a="1"/>
  <c r="N70" i="12" s="1"/>
  <c r="S69" i="12"/>
  <c r="P69" i="12"/>
  <c r="Q69" i="12" s="1" a="1"/>
  <c r="Q69" i="12" s="1"/>
  <c r="N69" i="12" a="1"/>
  <c r="N69" i="12" s="1"/>
  <c r="S79" i="12"/>
  <c r="P79" i="12"/>
  <c r="Q79" i="12" s="1" a="1"/>
  <c r="Q79" i="12" s="1"/>
  <c r="N79" i="12" a="1"/>
  <c r="N79" i="12" s="1"/>
  <c r="H22" i="4" l="1"/>
  <c r="S59" i="12"/>
  <c r="R12" i="12"/>
  <c r="S12" i="12" s="1"/>
  <c r="R77" i="12" l="1"/>
  <c r="S77" i="12" s="1"/>
  <c r="P77" i="12"/>
  <c r="Q77" i="12" s="1" a="1"/>
  <c r="Q77" i="12" s="1"/>
  <c r="N77" i="12" a="1"/>
  <c r="N77" i="12" s="1"/>
  <c r="R68" i="12" l="1"/>
  <c r="S68" i="12" s="1"/>
  <c r="P68" i="12"/>
  <c r="Q68" i="12" s="1" a="1"/>
  <c r="Q68" i="12" s="1"/>
  <c r="N68" i="12" a="1"/>
  <c r="N68" i="12" s="1"/>
  <c r="R67" i="12"/>
  <c r="S67" i="12" s="1"/>
  <c r="P67" i="12"/>
  <c r="Q67" i="12" s="1" a="1"/>
  <c r="Q67" i="12" s="1"/>
  <c r="N67" i="12" a="1"/>
  <c r="N67" i="12" s="1"/>
  <c r="R66" i="12"/>
  <c r="S66" i="12" s="1"/>
  <c r="P66" i="12"/>
  <c r="Q66" i="12" s="1" a="1"/>
  <c r="Q66" i="12" s="1"/>
  <c r="N66" i="12" a="1"/>
  <c r="N66" i="12" s="1"/>
  <c r="R64" i="12"/>
  <c r="S64" i="12" s="1"/>
  <c r="P64" i="12"/>
  <c r="Q64" i="12" s="1" a="1"/>
  <c r="Q64" i="12" s="1"/>
  <c r="N64" i="12" a="1"/>
  <c r="N64" i="12" s="1"/>
  <c r="R92" i="12"/>
  <c r="S92" i="12" s="1"/>
  <c r="P92" i="12"/>
  <c r="Q92" i="12" s="1" a="1"/>
  <c r="Q92" i="12" s="1"/>
  <c r="N92" i="12" a="1"/>
  <c r="N92" i="12" s="1"/>
  <c r="R91" i="12"/>
  <c r="S91" i="12" s="1"/>
  <c r="P91" i="12"/>
  <c r="Q91" i="12" s="1" a="1"/>
  <c r="Q91" i="12" s="1"/>
  <c r="N91" i="12" a="1"/>
  <c r="N91" i="12" s="1"/>
  <c r="R90" i="12"/>
  <c r="S90" i="12" s="1"/>
  <c r="P90" i="12"/>
  <c r="Q90" i="12" s="1" a="1"/>
  <c r="Q90" i="12" s="1"/>
  <c r="N90" i="12" a="1"/>
  <c r="N90" i="12" s="1"/>
  <c r="R89" i="12"/>
  <c r="S89" i="12" s="1"/>
  <c r="P89" i="12"/>
  <c r="Q89" i="12" s="1" a="1"/>
  <c r="Q89" i="12" s="1"/>
  <c r="N89" i="12" a="1"/>
  <c r="N89" i="12" s="1"/>
  <c r="R88" i="12"/>
  <c r="S88" i="12" s="1"/>
  <c r="P88" i="12"/>
  <c r="Q88" i="12" s="1" a="1"/>
  <c r="Q88" i="12" s="1"/>
  <c r="N88" i="12" a="1"/>
  <c r="N88" i="12" s="1"/>
  <c r="R87" i="12"/>
  <c r="S87" i="12" s="1"/>
  <c r="P87" i="12"/>
  <c r="Q87" i="12" s="1" a="1"/>
  <c r="Q87" i="12" s="1"/>
  <c r="N87" i="12" a="1"/>
  <c r="N87" i="12" s="1"/>
  <c r="R86" i="12"/>
  <c r="S86" i="12" s="1"/>
  <c r="P86" i="12"/>
  <c r="Q86" i="12" s="1" a="1"/>
  <c r="Q86" i="12" s="1"/>
  <c r="N86" i="12" a="1"/>
  <c r="N86" i="12" s="1"/>
  <c r="R96" i="12"/>
  <c r="S96" i="12" s="1"/>
  <c r="P96" i="12"/>
  <c r="Q96" i="12" s="1" a="1"/>
  <c r="Q96" i="12" s="1"/>
  <c r="N96" i="12" a="1"/>
  <c r="N96" i="12" s="1"/>
  <c r="R95" i="12"/>
  <c r="S95" i="12" s="1"/>
  <c r="P95" i="12"/>
  <c r="Q95" i="12" s="1" a="1"/>
  <c r="Q95" i="12" s="1"/>
  <c r="N95" i="12" a="1"/>
  <c r="N95" i="12" s="1"/>
  <c r="R94" i="12"/>
  <c r="S94" i="12" s="1"/>
  <c r="P94" i="12"/>
  <c r="Q94" i="12" s="1" a="1"/>
  <c r="Q94" i="12" s="1"/>
  <c r="N94" i="12" a="1"/>
  <c r="N94" i="12" s="1"/>
  <c r="S93" i="12"/>
  <c r="P93" i="12"/>
  <c r="Q93" i="12" s="1" a="1"/>
  <c r="Q93" i="12" s="1"/>
  <c r="N93" i="12" a="1"/>
  <c r="N93" i="12" s="1"/>
  <c r="R65" i="12"/>
  <c r="S65" i="12" s="1"/>
  <c r="P65" i="12"/>
  <c r="Q65" i="12" s="1" a="1"/>
  <c r="Q65" i="12" s="1"/>
  <c r="N65" i="12" a="1"/>
  <c r="N65" i="12" s="1"/>
  <c r="R63" i="12"/>
  <c r="S63" i="12" s="1"/>
  <c r="P63" i="12"/>
  <c r="Q63" i="12" s="1" a="1"/>
  <c r="Q63" i="12" s="1"/>
  <c r="N63" i="12" a="1"/>
  <c r="N63" i="12" s="1"/>
  <c r="R62" i="12"/>
  <c r="S62" i="12" s="1"/>
  <c r="P62" i="12"/>
  <c r="Q62" i="12" s="1" a="1"/>
  <c r="Q62" i="12" s="1"/>
  <c r="N62" i="12" a="1"/>
  <c r="N62" i="12" s="1"/>
  <c r="R61" i="12"/>
  <c r="S61" i="12" s="1"/>
  <c r="P61" i="12"/>
  <c r="Q61" i="12" s="1" a="1"/>
  <c r="Q61" i="12" s="1"/>
  <c r="N61" i="12" a="1"/>
  <c r="N61" i="12" s="1"/>
  <c r="R60" i="12"/>
  <c r="S60" i="12" s="1"/>
  <c r="P60" i="12"/>
  <c r="Q60" i="12" s="1" a="1"/>
  <c r="Q60" i="12" s="1"/>
  <c r="N60" i="12" a="1"/>
  <c r="N60" i="12" s="1"/>
  <c r="R58" i="12"/>
  <c r="S58" i="12" s="1"/>
  <c r="P58" i="12"/>
  <c r="Q58" i="12" s="1" a="1"/>
  <c r="Q58" i="12" s="1"/>
  <c r="N58" i="12" a="1"/>
  <c r="N58" i="12" s="1"/>
  <c r="R57" i="12" l="1"/>
  <c r="S57" i="12" s="1"/>
  <c r="P57" i="12"/>
  <c r="Q57" i="12" s="1" a="1"/>
  <c r="Q57" i="12" s="1"/>
  <c r="N57" i="12" a="1"/>
  <c r="N57" i="12" s="1"/>
  <c r="S76" i="12"/>
  <c r="P76" i="12"/>
  <c r="Q76" i="12" s="1" a="1"/>
  <c r="Q76" i="12" s="1"/>
  <c r="N76" i="12" a="1"/>
  <c r="N76" i="12" s="1"/>
  <c r="S78" i="12"/>
  <c r="P78" i="12"/>
  <c r="Q78" i="12" s="1" a="1"/>
  <c r="Q78" i="12" s="1"/>
  <c r="N78" i="12" a="1"/>
  <c r="N78" i="12" s="1"/>
  <c r="P42" i="12"/>
  <c r="Q42" i="12" s="1" a="1"/>
  <c r="Q42" i="12" s="1"/>
  <c r="N40" i="12" a="1"/>
  <c r="N40" i="12" s="1"/>
  <c r="P40" i="12"/>
  <c r="Q40" i="12" s="1" a="1"/>
  <c r="Q40" i="12" s="1"/>
  <c r="R40" i="12"/>
  <c r="S40" i="12" s="1"/>
  <c r="N41" i="12" a="1"/>
  <c r="N41" i="12" s="1"/>
  <c r="P41" i="12"/>
  <c r="Q41" i="12" s="1" a="1"/>
  <c r="Q41" i="12" s="1"/>
  <c r="R41" i="12"/>
  <c r="S41" i="12" s="1"/>
  <c r="N42" i="12" a="1"/>
  <c r="N42" i="12" s="1"/>
  <c r="R42" i="12"/>
  <c r="S42" i="12" s="1"/>
  <c r="N43" i="12" a="1"/>
  <c r="N43" i="12" s="1"/>
  <c r="P43" i="12"/>
  <c r="Q43" i="12" s="1" a="1"/>
  <c r="Q43" i="12" s="1"/>
  <c r="R43" i="12"/>
  <c r="S43" i="12" s="1"/>
  <c r="N49" i="12" a="1"/>
  <c r="N49" i="12" s="1"/>
  <c r="P49" i="12"/>
  <c r="Q49" i="12" s="1" a="1"/>
  <c r="Q49" i="12" s="1"/>
  <c r="R49" i="12"/>
  <c r="S49" i="12" s="1"/>
  <c r="N46" i="12" a="1"/>
  <c r="N46" i="12" s="1"/>
  <c r="P46" i="12"/>
  <c r="Q46" i="12" s="1" a="1"/>
  <c r="Q46" i="12" s="1"/>
  <c r="R46" i="12"/>
  <c r="S46" i="12" s="1"/>
  <c r="N44" i="12" a="1"/>
  <c r="N44" i="12" s="1"/>
  <c r="P44" i="12"/>
  <c r="Q44" i="12" s="1" a="1"/>
  <c r="Q44" i="12" s="1"/>
  <c r="R44" i="12"/>
  <c r="S44" i="12" s="1"/>
  <c r="N45" i="12" a="1"/>
  <c r="N45" i="12" s="1"/>
  <c r="P45" i="12"/>
  <c r="Q45" i="12" s="1" a="1"/>
  <c r="Q45" i="12" s="1"/>
  <c r="R45" i="12"/>
  <c r="S45" i="12" s="1"/>
  <c r="N50" i="12" a="1"/>
  <c r="N50" i="12" s="1"/>
  <c r="P50" i="12"/>
  <c r="Q50" i="12" s="1" a="1"/>
  <c r="Q50" i="12" s="1"/>
  <c r="R50" i="12"/>
  <c r="S50" i="12" s="1"/>
  <c r="N51" i="12" a="1"/>
  <c r="N51" i="12" s="1"/>
  <c r="P51" i="12"/>
  <c r="Q51" i="12" s="1" a="1"/>
  <c r="Q51" i="12" s="1"/>
  <c r="R51" i="12"/>
  <c r="S51" i="12" s="1"/>
  <c r="N52" i="12" a="1"/>
  <c r="N52" i="12" s="1"/>
  <c r="P52" i="12"/>
  <c r="Q52" i="12" s="1" a="1"/>
  <c r="Q52" i="12" s="1"/>
  <c r="R52" i="12"/>
  <c r="S52" i="12" s="1"/>
  <c r="N53" i="12" a="1"/>
  <c r="N53" i="12" s="1"/>
  <c r="P53" i="12"/>
  <c r="Q53" i="12" s="1" a="1"/>
  <c r="Q53" i="12" s="1"/>
  <c r="R53" i="12"/>
  <c r="S53" i="12" s="1"/>
  <c r="N54" i="12" a="1"/>
  <c r="N54" i="12" s="1"/>
  <c r="P54" i="12"/>
  <c r="Q54" i="12" s="1" a="1"/>
  <c r="Q54" i="12" s="1"/>
  <c r="R54" i="12"/>
  <c r="S54" i="12" s="1"/>
  <c r="N55" i="12" a="1"/>
  <c r="N55" i="12" s="1"/>
  <c r="P55" i="12"/>
  <c r="Q55" i="12" s="1" a="1"/>
  <c r="Q55" i="12" s="1"/>
  <c r="R55" i="12"/>
  <c r="S55" i="12" s="1"/>
  <c r="N56" i="12" a="1"/>
  <c r="N56" i="12" s="1"/>
  <c r="P56" i="12"/>
  <c r="Q56" i="12" s="1" a="1"/>
  <c r="Q56" i="12" s="1"/>
  <c r="R56" i="12"/>
  <c r="S56" i="12" s="1"/>
  <c r="N37" i="12" l="1" a="1"/>
  <c r="N37" i="12" s="1"/>
  <c r="P37" i="12"/>
  <c r="Q37" i="12" s="1" a="1"/>
  <c r="Q37" i="12" s="1"/>
  <c r="R37" i="12"/>
  <c r="S37" i="12" s="1"/>
  <c r="N38" i="12" a="1"/>
  <c r="N38" i="12" s="1"/>
  <c r="P38" i="12"/>
  <c r="Q38" i="12" s="1" a="1"/>
  <c r="Q38" i="12" s="1"/>
  <c r="R38" i="12"/>
  <c r="S38" i="12" s="1"/>
  <c r="N39" i="12" a="1"/>
  <c r="N39" i="12" s="1"/>
  <c r="P39" i="12"/>
  <c r="Q39" i="12" s="1" a="1"/>
  <c r="Q39" i="12" s="1"/>
  <c r="R39" i="12"/>
  <c r="S39" i="12" s="1"/>
  <c r="P36" i="12"/>
  <c r="Q36" i="12" s="1" a="1"/>
  <c r="Q36" i="12" s="1"/>
  <c r="N36" i="12" a="1"/>
  <c r="N36" i="12" s="1"/>
  <c r="R36" i="12"/>
  <c r="S36" i="12" s="1"/>
  <c r="R34" i="12"/>
  <c r="S34" i="12" s="1"/>
  <c r="S35" i="12"/>
  <c r="R47" i="12"/>
  <c r="S47" i="12" s="1"/>
  <c r="P34" i="12"/>
  <c r="Q34" i="12" s="1" a="1"/>
  <c r="Q34" i="12" s="1"/>
  <c r="P35" i="12"/>
  <c r="Q35" i="12" s="1" a="1"/>
  <c r="Q35" i="12" s="1"/>
  <c r="P47" i="12"/>
  <c r="Q47" i="12" s="1" a="1"/>
  <c r="Q47" i="12" s="1"/>
  <c r="N34" i="12" a="1"/>
  <c r="N34" i="12" s="1"/>
  <c r="N35" i="12" a="1"/>
  <c r="N35" i="12" s="1"/>
  <c r="N47" i="12" a="1"/>
  <c r="N47" i="12" s="1"/>
  <c r="S32" i="12"/>
  <c r="P32" i="12"/>
  <c r="Q32" i="12" s="1" a="1"/>
  <c r="Q32" i="12" s="1"/>
  <c r="N32" i="12" a="1"/>
  <c r="N32" i="12" s="1"/>
  <c r="R30" i="12"/>
  <c r="S30" i="12" s="1"/>
  <c r="P30" i="12"/>
  <c r="Q30" i="12" s="1" a="1"/>
  <c r="Q30" i="12" s="1"/>
  <c r="N30" i="12" a="1"/>
  <c r="N30" i="12" s="1"/>
  <c r="N33" i="12" a="1"/>
  <c r="N33" i="12" s="1"/>
  <c r="N31" i="12" a="1"/>
  <c r="N31" i="12" s="1"/>
  <c r="P31" i="12"/>
  <c r="Q31" i="12" s="1" a="1"/>
  <c r="Q31" i="12" s="1"/>
  <c r="R31" i="12"/>
  <c r="S31" i="12" s="1"/>
  <c r="P33" i="12"/>
  <c r="Q33" i="12" s="1" a="1"/>
  <c r="Q33" i="12" s="1"/>
  <c r="S33" i="12"/>
  <c r="N29" i="12" a="1"/>
  <c r="N29" i="12" s="1"/>
  <c r="N28" i="12" a="1"/>
  <c r="N28" i="12" s="1"/>
  <c r="N27" i="12" a="1"/>
  <c r="N27" i="12" s="1"/>
  <c r="N26" i="12" a="1"/>
  <c r="N26" i="12" s="1"/>
  <c r="N25" i="12" a="1"/>
  <c r="N25" i="12" s="1"/>
  <c r="N24" i="12" a="1"/>
  <c r="N24" i="12" s="1"/>
  <c r="N23" i="12" a="1"/>
  <c r="N23" i="12" s="1"/>
  <c r="N22" i="12" a="1"/>
  <c r="N22" i="12" s="1"/>
  <c r="N21" i="12" a="1"/>
  <c r="N21" i="12" s="1"/>
  <c r="N20" i="12" a="1"/>
  <c r="N20" i="12" s="1"/>
  <c r="N19" i="12" a="1"/>
  <c r="N19" i="12" s="1"/>
  <c r="N18" i="12" a="1"/>
  <c r="N18" i="12" s="1"/>
  <c r="N17" i="12" a="1"/>
  <c r="N17" i="12" s="1"/>
  <c r="N16" i="12" a="1"/>
  <c r="N16" i="12" s="1"/>
  <c r="N15" i="12" a="1"/>
  <c r="N15" i="12" s="1"/>
  <c r="N14" i="12" a="1"/>
  <c r="N14" i="12" s="1"/>
  <c r="N13" i="12" a="1"/>
  <c r="N13" i="12" s="1"/>
  <c r="N12" i="12" a="1"/>
  <c r="N12" i="12" s="1"/>
  <c r="N11" i="12" a="1"/>
  <c r="N11" i="12" s="1"/>
  <c r="N10" i="12" a="1"/>
  <c r="N10" i="12" s="1"/>
  <c r="N9" i="12" a="1"/>
  <c r="N9" i="12" s="1"/>
  <c r="N8" i="12" a="1"/>
  <c r="N8" i="12" s="1"/>
  <c r="N7" i="12" a="1"/>
  <c r="N7" i="12" s="1"/>
  <c r="N6" i="12" a="1"/>
  <c r="N6" i="12" s="1"/>
  <c r="N5" i="12" a="1"/>
  <c r="N5" i="12" s="1"/>
  <c r="N4" i="12" a="1"/>
  <c r="N4" i="12" s="1"/>
  <c r="N3" i="12" a="1"/>
  <c r="N3" i="12" s="1"/>
  <c r="N2" i="12" a="1"/>
  <c r="N2" i="12" s="1"/>
  <c r="P2" i="12"/>
  <c r="Q2" i="12" s="1" a="1"/>
  <c r="Q2" i="12" s="1"/>
  <c r="R2" i="12"/>
  <c r="S2" i="12" s="1"/>
  <c r="P3" i="12"/>
  <c r="Q3" i="12" s="1" a="1"/>
  <c r="Q3" i="12" s="1"/>
  <c r="R3" i="12"/>
  <c r="S3" i="12" s="1"/>
  <c r="P4" i="12"/>
  <c r="Q4" i="12" s="1" a="1"/>
  <c r="Q4" i="12" s="1"/>
  <c r="R4" i="12"/>
  <c r="S4" i="12" s="1"/>
  <c r="P5" i="12"/>
  <c r="Q5" i="12" s="1" a="1"/>
  <c r="Q5" i="12" s="1"/>
  <c r="R5" i="12"/>
  <c r="S5" i="12" s="1"/>
  <c r="P6" i="12"/>
  <c r="Q6" i="12" s="1" a="1"/>
  <c r="Q6" i="12" s="1"/>
  <c r="R6" i="12"/>
  <c r="S6" i="12" s="1"/>
  <c r="P7" i="12"/>
  <c r="Q7" i="12" s="1" a="1"/>
  <c r="Q7" i="12" s="1"/>
  <c r="R7" i="12"/>
  <c r="S7" i="12" s="1"/>
  <c r="P8" i="12"/>
  <c r="Q8" i="12" s="1" a="1"/>
  <c r="Q8" i="12" s="1"/>
  <c r="R8" i="12"/>
  <c r="S8" i="12" s="1"/>
  <c r="P9" i="12"/>
  <c r="Q9" i="12" s="1" a="1"/>
  <c r="Q9" i="12" s="1"/>
  <c r="R9" i="12"/>
  <c r="S9" i="12" s="1"/>
  <c r="P10" i="12"/>
  <c r="Q10" i="12" s="1" a="1"/>
  <c r="Q10" i="12" s="1"/>
  <c r="R10" i="12"/>
  <c r="S10" i="12" s="1"/>
  <c r="P11" i="12"/>
  <c r="Q11" i="12" s="1" a="1"/>
  <c r="Q11" i="12" s="1"/>
  <c r="R11" i="12"/>
  <c r="S11" i="12" s="1"/>
  <c r="P12" i="12"/>
  <c r="Q12" i="12" s="1" a="1"/>
  <c r="Q12" i="12" s="1"/>
  <c r="P13" i="12"/>
  <c r="Q13" i="12" s="1" a="1"/>
  <c r="Q13" i="12" s="1"/>
  <c r="R13" i="12"/>
  <c r="S13" i="12" s="1"/>
  <c r="P14" i="12"/>
  <c r="Q14" i="12" s="1" a="1"/>
  <c r="Q14" i="12" s="1"/>
  <c r="R14" i="12"/>
  <c r="S14" i="12" s="1"/>
  <c r="P15" i="12"/>
  <c r="Q15" i="12" s="1" a="1"/>
  <c r="Q15" i="12" s="1"/>
  <c r="R15" i="12"/>
  <c r="S15" i="12" s="1"/>
  <c r="P16" i="12"/>
  <c r="Q16" i="12" s="1" a="1"/>
  <c r="Q16" i="12" s="1"/>
  <c r="R16" i="12"/>
  <c r="S16" i="12" s="1"/>
  <c r="P17" i="12"/>
  <c r="Q17" i="12" s="1" a="1"/>
  <c r="Q17" i="12" s="1"/>
  <c r="R17" i="12"/>
  <c r="S17" i="12" s="1"/>
  <c r="P18" i="12"/>
  <c r="Q18" i="12" s="1" a="1"/>
  <c r="Q18" i="12" s="1"/>
  <c r="R18" i="12"/>
  <c r="S18" i="12" s="1"/>
  <c r="P19" i="12"/>
  <c r="Q19" i="12" s="1" a="1"/>
  <c r="Q19" i="12" s="1"/>
  <c r="R19" i="12"/>
  <c r="S19" i="12" s="1"/>
  <c r="P20" i="12"/>
  <c r="Q20" i="12" s="1" a="1"/>
  <c r="Q20" i="12" s="1"/>
  <c r="R20" i="12"/>
  <c r="S20" i="12" s="1"/>
  <c r="P21" i="12"/>
  <c r="Q21" i="12" s="1" a="1"/>
  <c r="Q21" i="12" s="1"/>
  <c r="R21" i="12"/>
  <c r="S21" i="12" s="1"/>
  <c r="P22" i="12"/>
  <c r="Q22" i="12" s="1" a="1"/>
  <c r="Q22" i="12" s="1"/>
  <c r="R22" i="12"/>
  <c r="S22" i="12" s="1"/>
  <c r="P23" i="12"/>
  <c r="Q23" i="12" s="1" a="1"/>
  <c r="Q23" i="12" s="1"/>
  <c r="S23" i="12"/>
  <c r="P24" i="12"/>
  <c r="Q24" i="12" s="1" a="1"/>
  <c r="Q24" i="12" s="1"/>
  <c r="R24" i="12"/>
  <c r="S24" i="12" s="1"/>
  <c r="P25" i="12"/>
  <c r="Q25" i="12" s="1" a="1"/>
  <c r="Q25" i="12" s="1"/>
  <c r="R25" i="12"/>
  <c r="S25" i="12" s="1"/>
  <c r="P26" i="12"/>
  <c r="Q26" i="12" s="1" a="1"/>
  <c r="Q26" i="12" s="1"/>
  <c r="S26" i="12"/>
  <c r="P27" i="12"/>
  <c r="Q27" i="12" s="1" a="1"/>
  <c r="Q27" i="12" s="1"/>
  <c r="R27" i="12"/>
  <c r="S27" i="12" s="1"/>
  <c r="P28" i="12"/>
  <c r="Q28" i="12" s="1" a="1"/>
  <c r="Q28" i="12" s="1"/>
  <c r="S28" i="12"/>
  <c r="P29" i="12"/>
  <c r="Q29" i="12" s="1" a="1"/>
  <c r="Q29" i="12" s="1"/>
  <c r="R29" i="12"/>
  <c r="S29" i="12" s="1"/>
  <c r="J17" i="4" l="1"/>
  <c r="H17" i="4"/>
  <c r="L14" i="4" l="1"/>
  <c r="K14" i="4"/>
  <c r="J14" i="4" s="1"/>
  <c r="I14" i="4"/>
  <c r="E14" i="4"/>
  <c r="G14" i="4" s="1"/>
  <c r="H14" i="4" l="1"/>
  <c r="N202" i="12" l="1" a="1"/>
  <c r="N202" i="12" s="1"/>
  <c r="R199" i="12"/>
  <c r="S199" i="12" s="1"/>
  <c r="P199" i="12"/>
  <c r="Q199" i="12" s="1" a="1"/>
  <c r="Q199" i="12" s="1"/>
  <c r="N199" i="12" a="1"/>
  <c r="N199" i="12" s="1"/>
  <c r="S198" i="12"/>
  <c r="Q198" i="12" a="1"/>
  <c r="Q198" i="12" s="1"/>
  <c r="R201" i="12"/>
  <c r="S201" i="12" s="1"/>
  <c r="P201" i="12"/>
  <c r="Q201" i="12" s="1" a="1"/>
  <c r="Q201" i="12" s="1"/>
  <c r="N201" i="12" a="1"/>
  <c r="N201" i="12" s="1"/>
  <c r="S200" i="12"/>
  <c r="Q200" i="12" a="1"/>
  <c r="Q200" i="12" s="1"/>
  <c r="R197" i="12"/>
  <c r="S197" i="12" s="1"/>
  <c r="P197" i="12"/>
  <c r="Q197" i="12" s="1" a="1"/>
  <c r="Q197" i="12" s="1"/>
  <c r="N197" i="12" a="1"/>
  <c r="N197" i="12" s="1"/>
  <c r="R195" i="12"/>
  <c r="S195" i="12" s="1"/>
  <c r="P195" i="12"/>
  <c r="Q195" i="12" s="1" a="1"/>
  <c r="Q195" i="12" s="1"/>
  <c r="N195" i="12" a="1"/>
  <c r="N195" i="12" s="1"/>
  <c r="R193" i="12"/>
  <c r="S193" i="12" s="1"/>
  <c r="P193" i="12"/>
  <c r="Q193" i="12" s="1" a="1"/>
  <c r="Q193" i="12" s="1"/>
  <c r="N193" i="12" a="1"/>
  <c r="N193" i="12" s="1"/>
  <c r="R192" i="12"/>
  <c r="S192" i="12" s="1"/>
  <c r="P192" i="12"/>
  <c r="Q192" i="12" s="1" a="1"/>
  <c r="Q192" i="12" s="1"/>
  <c r="N192" i="12" a="1"/>
  <c r="N192" i="12" s="1"/>
  <c r="R194" i="12"/>
  <c r="S194" i="12" s="1"/>
  <c r="P194" i="12"/>
  <c r="Q194" i="12" s="1" a="1"/>
  <c r="Q194" i="12" s="1"/>
  <c r="N194" i="12" a="1"/>
  <c r="N194" i="12" s="1"/>
  <c r="R191" i="12"/>
  <c r="S191" i="12" s="1"/>
  <c r="P191" i="12"/>
  <c r="Q191" i="12" s="1" a="1"/>
  <c r="Q191" i="12" s="1"/>
  <c r="N191" i="12" a="1"/>
  <c r="N191" i="12" s="1"/>
  <c r="R190" i="12"/>
  <c r="S190" i="12" s="1"/>
  <c r="P190" i="12"/>
  <c r="Q190" i="12" s="1" a="1"/>
  <c r="Q190" i="12" s="1"/>
  <c r="N190" i="12" a="1"/>
  <c r="N190" i="12" s="1"/>
  <c r="R189" i="12"/>
  <c r="S189" i="12" s="1"/>
  <c r="P189" i="12"/>
  <c r="Q189" i="12" s="1" a="1"/>
  <c r="Q189" i="12" s="1"/>
  <c r="N189" i="12" a="1"/>
  <c r="N189" i="12" s="1"/>
  <c r="S188" i="12"/>
  <c r="P188" i="12"/>
  <c r="Q188" i="12" s="1" a="1"/>
  <c r="Q188" i="12" s="1"/>
  <c r="N188" i="12" a="1"/>
  <c r="N188" i="12" s="1"/>
  <c r="R187" i="12"/>
  <c r="S187" i="12" s="1"/>
  <c r="P187" i="12"/>
  <c r="Q187" i="12" s="1" a="1"/>
  <c r="Q187" i="12" s="1"/>
  <c r="N187" i="12" a="1"/>
  <c r="N187" i="12" s="1"/>
  <c r="R186" i="12"/>
  <c r="S186" i="12" s="1"/>
  <c r="P186" i="12"/>
  <c r="Q186" i="12" s="1" a="1"/>
  <c r="Q186" i="12" s="1"/>
  <c r="N186" i="12" a="1"/>
  <c r="N186" i="12" s="1"/>
  <c r="R185" i="12"/>
  <c r="S185" i="12" s="1"/>
  <c r="P185" i="12"/>
  <c r="Q185" i="12" s="1" a="1"/>
  <c r="Q185" i="12" s="1"/>
  <c r="N185" i="12" a="1"/>
  <c r="N185" i="12" s="1"/>
  <c r="R183" i="12"/>
  <c r="S183" i="12" s="1"/>
  <c r="P183" i="12"/>
  <c r="Q183" i="12" s="1" a="1"/>
  <c r="Q183" i="12" s="1"/>
  <c r="N183" i="12" a="1"/>
  <c r="N183" i="12" s="1"/>
  <c r="S181" i="12"/>
  <c r="P181" i="12"/>
  <c r="Q181" i="12" s="1" a="1"/>
  <c r="Q181" i="12" s="1"/>
  <c r="N181" i="12" a="1"/>
  <c r="N181" i="12" s="1"/>
  <c r="R180" i="12"/>
  <c r="S180" i="12" s="1"/>
  <c r="P180" i="12"/>
  <c r="Q180" i="12" s="1" a="1"/>
  <c r="Q180" i="12" s="1"/>
  <c r="N180" i="12" a="1"/>
  <c r="N180" i="12" s="1"/>
  <c r="R179" i="12"/>
  <c r="S179" i="12" s="1"/>
  <c r="P179" i="12"/>
  <c r="Q179" i="12" s="1" a="1"/>
  <c r="Q179" i="12" s="1"/>
  <c r="N179" i="12" a="1"/>
  <c r="N179" i="12" s="1"/>
  <c r="R178" i="12"/>
  <c r="S178" i="12" s="1"/>
  <c r="P178" i="12"/>
  <c r="Q178" i="12" s="1" a="1"/>
  <c r="Q178" i="12" s="1"/>
  <c r="N178" i="12" a="1"/>
  <c r="N178" i="12" s="1"/>
  <c r="R176" i="12"/>
  <c r="S176" i="12" s="1"/>
  <c r="P176" i="12"/>
  <c r="Q176" i="12" s="1" a="1"/>
  <c r="Q176" i="12" s="1"/>
  <c r="N176" i="12" a="1"/>
  <c r="N176" i="12" s="1"/>
  <c r="R174" i="12"/>
  <c r="S174" i="12" s="1"/>
  <c r="P174" i="12"/>
  <c r="Q174" i="12" s="1" a="1"/>
  <c r="Q174" i="12" s="1"/>
  <c r="N174" i="12" a="1"/>
  <c r="N174" i="12" s="1"/>
  <c r="R175" i="12"/>
  <c r="S175" i="12" s="1"/>
  <c r="P175" i="12"/>
  <c r="Q175" i="12" s="1" a="1"/>
  <c r="Q175" i="12" s="1"/>
  <c r="N175" i="12" a="1"/>
  <c r="N175" i="12" s="1"/>
  <c r="R173" i="12"/>
  <c r="S173" i="12" s="1"/>
  <c r="P173" i="12"/>
  <c r="Q173" i="12" s="1" a="1"/>
  <c r="Q173" i="12" s="1"/>
  <c r="N173" i="12" a="1"/>
  <c r="N173" i="12" s="1"/>
  <c r="R171" i="12"/>
  <c r="S171" i="12" s="1"/>
  <c r="P171" i="12"/>
  <c r="Q171" i="12" s="1" a="1"/>
  <c r="Q171" i="12" s="1"/>
  <c r="N171" i="12" a="1"/>
  <c r="N171" i="12" s="1"/>
  <c r="R170" i="12"/>
  <c r="S170" i="12" s="1"/>
  <c r="P170" i="12"/>
  <c r="Q170" i="12" s="1" a="1"/>
  <c r="Q170" i="12" s="1"/>
  <c r="N170" i="12" a="1"/>
  <c r="N170" i="12" s="1"/>
  <c r="S169" i="12"/>
  <c r="Q169" i="12" a="1"/>
  <c r="Q169" i="12" s="1"/>
  <c r="R163" i="12"/>
  <c r="S163" i="12" s="1"/>
  <c r="P163" i="12"/>
  <c r="Q163" i="12" s="1" a="1"/>
  <c r="Q163" i="12" s="1"/>
  <c r="R168" i="12"/>
  <c r="S168" i="12" s="1"/>
  <c r="Q168" i="12" a="1"/>
  <c r="Q168" i="12" s="1"/>
  <c r="R160" i="12"/>
  <c r="S160" i="12" s="1"/>
  <c r="P160" i="12"/>
  <c r="Q160" i="12" s="1" a="1"/>
  <c r="Q160" i="12" s="1"/>
  <c r="N160" i="12" a="1"/>
  <c r="N160" i="12" s="1"/>
  <c r="R161" i="12"/>
  <c r="S161" i="12" s="1"/>
  <c r="P161" i="12"/>
  <c r="Q161" i="12" s="1" a="1"/>
  <c r="Q161" i="12" s="1"/>
  <c r="N161" i="12" a="1"/>
  <c r="N161" i="12" s="1"/>
  <c r="S159" i="12"/>
  <c r="P159" i="12"/>
  <c r="Q159" i="12" s="1" a="1"/>
  <c r="Q159" i="12" s="1"/>
  <c r="N159" i="12" a="1"/>
  <c r="N159" i="12" s="1"/>
  <c r="R156" i="12"/>
  <c r="S156" i="12" s="1"/>
  <c r="P156" i="12"/>
  <c r="Q156" i="12" s="1" a="1"/>
  <c r="Q156" i="12" s="1"/>
  <c r="N156" i="12" a="1"/>
  <c r="N156" i="12" s="1"/>
  <c r="R155" i="12"/>
  <c r="S155" i="12" s="1"/>
  <c r="P155" i="12"/>
  <c r="Q155" i="12" s="1" a="1"/>
  <c r="Q155" i="12" s="1"/>
  <c r="N155" i="12" a="1"/>
  <c r="N155" i="12" s="1"/>
  <c r="S158" i="12"/>
  <c r="Q158" i="12" a="1"/>
  <c r="Q158" i="12" s="1"/>
  <c r="N158" i="12" a="1"/>
  <c r="N158" i="12" s="1"/>
  <c r="R152" i="12"/>
  <c r="S152" i="12" s="1"/>
  <c r="P152" i="12"/>
  <c r="Q152" i="12" s="1" a="1"/>
  <c r="Q152" i="12" s="1"/>
  <c r="N152" i="12" a="1"/>
  <c r="N152" i="12" s="1"/>
  <c r="R151" i="12"/>
  <c r="S151" i="12" s="1"/>
  <c r="P151" i="12"/>
  <c r="Q151" i="12" s="1" a="1"/>
  <c r="Q151" i="12" s="1"/>
  <c r="N151" i="12" a="1"/>
  <c r="N151" i="12" s="1"/>
  <c r="R148" i="12"/>
  <c r="S148" i="12" s="1"/>
  <c r="P148" i="12"/>
  <c r="Q148" i="12" s="1" a="1"/>
  <c r="Q148" i="12" s="1"/>
  <c r="N148" i="12" a="1"/>
  <c r="N148" i="12" s="1"/>
  <c r="R149" i="12"/>
  <c r="S149" i="12" s="1"/>
  <c r="P149" i="12"/>
  <c r="Q149" i="12" s="1" a="1"/>
  <c r="Q149" i="12" s="1"/>
  <c r="N149" i="12" a="1"/>
  <c r="N149" i="12" s="1"/>
  <c r="S147" i="12"/>
  <c r="P147" i="12"/>
  <c r="Q147" i="12" s="1" a="1"/>
  <c r="Q147" i="12" s="1"/>
  <c r="N147" i="12" a="1"/>
  <c r="N147" i="12" s="1"/>
  <c r="R143" i="12"/>
  <c r="S143" i="12" s="1"/>
  <c r="P143" i="12"/>
  <c r="Q143" i="12" s="1" a="1"/>
  <c r="Q143" i="12" s="1"/>
  <c r="N143" i="12" a="1"/>
  <c r="N143" i="12" s="1"/>
  <c r="S141" i="12"/>
  <c r="P141" i="12"/>
  <c r="Q141" i="12" s="1" a="1"/>
  <c r="Q141" i="12" s="1"/>
  <c r="N141" i="12" a="1"/>
  <c r="N141" i="12" s="1"/>
  <c r="R140" i="12"/>
  <c r="S140" i="12" s="1"/>
  <c r="P140" i="12"/>
  <c r="Q140" i="12" s="1" a="1"/>
  <c r="Q140" i="12" s="1"/>
  <c r="N140" i="12" a="1"/>
  <c r="N140" i="12" s="1"/>
  <c r="R138" i="12"/>
  <c r="S138" i="12" s="1"/>
  <c r="P138" i="12"/>
  <c r="Q138" i="12" s="1" a="1"/>
  <c r="Q138" i="12" s="1"/>
  <c r="N138" i="12" a="1"/>
  <c r="N138" i="12" s="1"/>
  <c r="R137" i="12"/>
  <c r="S137" i="12" s="1"/>
  <c r="P137" i="12"/>
  <c r="Q137" i="12" s="1" a="1"/>
  <c r="Q137" i="12" s="1"/>
  <c r="N137" i="12" a="1"/>
  <c r="N137" i="12" s="1"/>
  <c r="R134" i="12"/>
  <c r="S134" i="12" s="1"/>
  <c r="P134" i="12"/>
  <c r="Q134" i="12" s="1" a="1"/>
  <c r="Q134" i="12" s="1"/>
  <c r="N134" i="12" a="1"/>
  <c r="N134" i="12" s="1"/>
  <c r="R133" i="12"/>
  <c r="S133" i="12" s="1"/>
  <c r="P133" i="12"/>
  <c r="Q133" i="12" s="1" a="1"/>
  <c r="Q133" i="12" s="1"/>
  <c r="N133" i="12" a="1"/>
  <c r="N133" i="12" s="1"/>
  <c r="S132" i="12"/>
  <c r="P132" i="12"/>
  <c r="Q132" i="12" s="1" a="1"/>
  <c r="Q132" i="12" s="1"/>
  <c r="N132" i="12" a="1"/>
  <c r="N132" i="12" s="1"/>
  <c r="R131" i="12"/>
  <c r="S131" i="12" s="1"/>
  <c r="P131" i="12"/>
  <c r="Q131" i="12" s="1" a="1"/>
  <c r="Q131" i="12" s="1"/>
  <c r="N131" i="12" a="1"/>
  <c r="N131" i="12" s="1"/>
  <c r="R130" i="12"/>
  <c r="S130" i="12" s="1"/>
  <c r="P130" i="12"/>
  <c r="N130" i="12" a="1"/>
  <c r="N130" i="12" s="1"/>
  <c r="S129" i="12"/>
  <c r="P129" i="12"/>
  <c r="Q129" i="12" s="1" a="1"/>
  <c r="Q129" i="12" s="1"/>
  <c r="N129" i="12" a="1"/>
  <c r="N129" i="12" s="1"/>
  <c r="R128" i="12"/>
  <c r="S128" i="12" s="1"/>
  <c r="P128" i="12"/>
  <c r="Q128" i="12" s="1" a="1"/>
  <c r="Q128" i="12" s="1"/>
  <c r="N128" i="12" a="1"/>
  <c r="N128" i="12" s="1"/>
  <c r="S127" i="12"/>
  <c r="P127" i="12"/>
  <c r="Q127" i="12" s="1" a="1"/>
  <c r="Q127" i="12" s="1"/>
  <c r="N127" i="12" a="1"/>
  <c r="N127" i="12" s="1"/>
  <c r="R126" i="12"/>
  <c r="S126" i="12" s="1"/>
  <c r="P126" i="12"/>
  <c r="Q126" i="12" s="1" a="1"/>
  <c r="Q126" i="12" s="1"/>
  <c r="N126" i="12" a="1"/>
  <c r="N126" i="12" s="1"/>
  <c r="S122" i="12"/>
  <c r="P122" i="12"/>
  <c r="Q122" i="12" s="1" a="1"/>
  <c r="Q122" i="12" s="1"/>
  <c r="N122" i="12" a="1"/>
  <c r="N122" i="12" s="1"/>
  <c r="R121" i="12"/>
  <c r="S121" i="12" s="1"/>
  <c r="P121" i="12"/>
  <c r="Q121" i="12" s="1" a="1"/>
  <c r="Q121" i="12" s="1"/>
  <c r="N121" i="12" a="1"/>
  <c r="N121" i="12" s="1"/>
  <c r="S120" i="12"/>
  <c r="P120" i="12"/>
  <c r="Q120" i="12" s="1" a="1"/>
  <c r="Q120" i="12" s="1"/>
  <c r="N120" i="12" a="1"/>
  <c r="N120" i="12" s="1"/>
  <c r="R119" i="12"/>
  <c r="S119" i="12" s="1"/>
  <c r="P119" i="12"/>
  <c r="Q119" i="12" s="1" a="1"/>
  <c r="Q119" i="12" s="1"/>
  <c r="N119" i="12" a="1"/>
  <c r="N119" i="12" s="1"/>
  <c r="R118" i="12"/>
  <c r="S118" i="12" s="1"/>
  <c r="P118" i="12"/>
  <c r="Q118" i="12" s="1" a="1"/>
  <c r="Q118" i="12" s="1"/>
  <c r="N118" i="12" a="1"/>
  <c r="N118" i="12" s="1"/>
  <c r="S117" i="12"/>
  <c r="P117" i="12"/>
  <c r="N117" i="12" a="1"/>
  <c r="N117" i="12" s="1"/>
  <c r="S111" i="12"/>
  <c r="P111" i="12"/>
  <c r="Q111" i="12" s="1" a="1"/>
  <c r="Q111" i="12" s="1"/>
  <c r="N111" i="12" a="1"/>
  <c r="N111" i="12" s="1"/>
  <c r="S110" i="12"/>
  <c r="P110" i="12"/>
  <c r="Q110" i="12" s="1" a="1"/>
  <c r="Q110" i="12" s="1"/>
  <c r="N110" i="12" a="1"/>
  <c r="N110" i="12" s="1"/>
  <c r="S106" i="12"/>
  <c r="P106" i="12"/>
  <c r="Q106" i="12" s="1" a="1"/>
  <c r="Q106" i="12" s="1"/>
  <c r="N106" i="12" a="1"/>
  <c r="N106" i="12" s="1"/>
  <c r="R105" i="12"/>
  <c r="S105" i="12" s="1"/>
  <c r="P105" i="12"/>
  <c r="Q105" i="12" s="1" a="1"/>
  <c r="Q105" i="12" s="1"/>
  <c r="N105" i="12" a="1"/>
  <c r="N105" i="12" s="1"/>
  <c r="R102" i="12"/>
  <c r="S102" i="12" s="1"/>
  <c r="P102" i="12"/>
  <c r="Q102" i="12" s="1" a="1"/>
  <c r="Q102" i="12" s="1"/>
  <c r="N102" i="12" a="1"/>
  <c r="N102" i="12" s="1"/>
  <c r="S112" i="12"/>
  <c r="P112" i="12"/>
  <c r="Q112" i="12" s="1" a="1"/>
  <c r="Q112" i="12" s="1"/>
  <c r="N112" i="12" a="1"/>
  <c r="N112" i="12" s="1"/>
  <c r="R101" i="12"/>
  <c r="S101" i="12" s="1"/>
  <c r="P101" i="12"/>
  <c r="Q101" i="12" s="1" a="1"/>
  <c r="Q101" i="12" s="1"/>
  <c r="N101" i="12" a="1"/>
  <c r="N101" i="12" s="1"/>
  <c r="R99" i="12"/>
  <c r="S99" i="12" s="1"/>
  <c r="P99" i="12"/>
  <c r="Q99" i="12" s="1" a="1"/>
  <c r="Q99" i="12" s="1"/>
  <c r="N99" i="12" a="1"/>
  <c r="N99" i="12" s="1"/>
  <c r="P59" i="12"/>
  <c r="Q59" i="12" s="1" a="1"/>
  <c r="Q59" i="12" s="1"/>
  <c r="N59" i="12" a="1"/>
  <c r="N59" i="12" s="1"/>
  <c r="S48" i="12"/>
  <c r="P48" i="12"/>
  <c r="Q48" i="12" s="1" a="1"/>
  <c r="Q48" i="12" s="1"/>
  <c r="N48" i="12" a="1"/>
  <c r="N48" i="12" s="1"/>
  <c r="J83" i="8" l="1"/>
  <c r="H83" i="8"/>
  <c r="D83" i="8"/>
  <c r="I83" i="8" s="1"/>
  <c r="F82" i="8"/>
  <c r="E82" i="8"/>
  <c r="C82" i="8"/>
  <c r="J81" i="8"/>
  <c r="I81" i="8"/>
  <c r="H81" i="8"/>
  <c r="D81" i="8"/>
  <c r="H80" i="8"/>
  <c r="F80" i="8"/>
  <c r="E80" i="8"/>
  <c r="D80" i="8"/>
  <c r="J80" i="8" s="1"/>
  <c r="C80" i="8"/>
  <c r="K80" i="8" s="1"/>
  <c r="J79" i="8"/>
  <c r="I79" i="8"/>
  <c r="H79" i="8"/>
  <c r="D79" i="8"/>
  <c r="K78" i="8"/>
  <c r="C78" i="8"/>
  <c r="K77" i="8"/>
  <c r="H77" i="8"/>
  <c r="D77" i="8"/>
  <c r="C76" i="8"/>
  <c r="H75" i="8"/>
  <c r="D75" i="8"/>
  <c r="G74" i="8"/>
  <c r="F74" i="8"/>
  <c r="E74" i="8"/>
  <c r="D74" i="8"/>
  <c r="J74" i="8" s="1"/>
  <c r="C74" i="8"/>
  <c r="K73" i="8"/>
  <c r="J73" i="8"/>
  <c r="I73" i="8"/>
  <c r="H73" i="8"/>
  <c r="D73" i="8"/>
  <c r="J72" i="8"/>
  <c r="I72" i="8"/>
  <c r="G72" i="8"/>
  <c r="F72" i="8"/>
  <c r="E72" i="8"/>
  <c r="H72" i="8" s="1"/>
  <c r="D72" i="8"/>
  <c r="C72" i="8"/>
  <c r="K72" i="8" s="1"/>
  <c r="E71" i="8"/>
  <c r="D71" i="8"/>
  <c r="I71" i="8" s="1"/>
  <c r="C71" i="8"/>
  <c r="K68" i="8"/>
  <c r="E68" i="8"/>
  <c r="G68" i="8" s="1"/>
  <c r="Q67" i="8"/>
  <c r="R67" i="8" s="1"/>
  <c r="K67" i="8"/>
  <c r="G67" i="8"/>
  <c r="E67" i="8"/>
  <c r="P67" i="8" s="1"/>
  <c r="Q66" i="8"/>
  <c r="R66" i="8" s="1"/>
  <c r="K66" i="8"/>
  <c r="G66" i="8"/>
  <c r="E66" i="8"/>
  <c r="P66" i="8" s="1"/>
  <c r="Q65" i="8"/>
  <c r="R65" i="8" s="1"/>
  <c r="P65" i="8"/>
  <c r="K65" i="8"/>
  <c r="G65" i="8"/>
  <c r="E65" i="8"/>
  <c r="R64" i="8"/>
  <c r="P64" i="8"/>
  <c r="Q64" i="8" s="1"/>
  <c r="K64" i="8"/>
  <c r="H64" i="8"/>
  <c r="M64" i="8" s="1"/>
  <c r="G64" i="8"/>
  <c r="L64" i="8" s="1"/>
  <c r="E64" i="8"/>
  <c r="R63" i="8"/>
  <c r="P63" i="8"/>
  <c r="Q63" i="8" s="1"/>
  <c r="K63" i="8"/>
  <c r="G63" i="8"/>
  <c r="H63" i="8" s="1"/>
  <c r="M63" i="8" s="1"/>
  <c r="E63" i="8"/>
  <c r="P62" i="8"/>
  <c r="Q62" i="8" s="1"/>
  <c r="R62" i="8" s="1"/>
  <c r="K62" i="8"/>
  <c r="E62" i="8"/>
  <c r="G62" i="8" s="1"/>
  <c r="L62" i="8" s="1"/>
  <c r="L61" i="8"/>
  <c r="K61" i="8"/>
  <c r="E61" i="8"/>
  <c r="G61" i="8" s="1"/>
  <c r="H61" i="8" s="1"/>
  <c r="M61" i="8" s="1"/>
  <c r="K60" i="8"/>
  <c r="E60" i="8"/>
  <c r="G60" i="8" s="1"/>
  <c r="L60" i="8" s="1"/>
  <c r="R59" i="8"/>
  <c r="K59" i="8"/>
  <c r="E59" i="8"/>
  <c r="P59" i="8" s="1"/>
  <c r="Q59" i="8" s="1"/>
  <c r="K58" i="8"/>
  <c r="E58" i="8"/>
  <c r="P58" i="8" s="1"/>
  <c r="Q58" i="8" s="1"/>
  <c r="R58" i="8" s="1"/>
  <c r="K57" i="8"/>
  <c r="E57" i="8"/>
  <c r="G57" i="8" s="1"/>
  <c r="H57" i="8" s="1"/>
  <c r="M57" i="8" s="1"/>
  <c r="P56" i="8"/>
  <c r="Q56" i="8" s="1"/>
  <c r="R56" i="8" s="1"/>
  <c r="L56" i="8"/>
  <c r="K56" i="8"/>
  <c r="G56" i="8"/>
  <c r="H56" i="8" s="1"/>
  <c r="M56" i="8" s="1"/>
  <c r="E56" i="8"/>
  <c r="P55" i="8"/>
  <c r="Q55" i="8" s="1"/>
  <c r="R55" i="8" s="1"/>
  <c r="L55" i="8"/>
  <c r="K55" i="8"/>
  <c r="H55" i="8"/>
  <c r="M55" i="8" s="1"/>
  <c r="G55" i="8"/>
  <c r="E55" i="8"/>
  <c r="K54" i="8"/>
  <c r="G54" i="8"/>
  <c r="H54" i="8" s="1"/>
  <c r="M54" i="8" s="1"/>
  <c r="E54" i="8"/>
  <c r="P54" i="8" s="1"/>
  <c r="Q54" i="8" s="1"/>
  <c r="R54" i="8" s="1"/>
  <c r="K53" i="8"/>
  <c r="E53" i="8"/>
  <c r="K52" i="8"/>
  <c r="E52" i="8"/>
  <c r="Q51" i="8"/>
  <c r="R51" i="8" s="1"/>
  <c r="K51" i="8"/>
  <c r="G51" i="8"/>
  <c r="L51" i="8" s="1"/>
  <c r="E51" i="8"/>
  <c r="P51" i="8" s="1"/>
  <c r="Q50" i="8"/>
  <c r="R50" i="8" s="1"/>
  <c r="K50" i="8"/>
  <c r="G50" i="8"/>
  <c r="E50" i="8"/>
  <c r="P50" i="8" s="1"/>
  <c r="P49" i="8"/>
  <c r="Q49" i="8" s="1"/>
  <c r="R49" i="8" s="1"/>
  <c r="K49" i="8"/>
  <c r="G49" i="8"/>
  <c r="E49" i="8"/>
  <c r="P48" i="8"/>
  <c r="Q48" i="8" s="1"/>
  <c r="R48" i="8" s="1"/>
  <c r="L48" i="8"/>
  <c r="K48" i="8"/>
  <c r="H48" i="8"/>
  <c r="M48" i="8" s="1"/>
  <c r="G48" i="8"/>
  <c r="E48" i="8"/>
  <c r="R47" i="8"/>
  <c r="P47" i="8"/>
  <c r="Q47" i="8" s="1"/>
  <c r="M47" i="8"/>
  <c r="L47" i="8"/>
  <c r="K47" i="8"/>
  <c r="G47" i="8"/>
  <c r="H47" i="8" s="1"/>
  <c r="E47" i="8"/>
  <c r="P46" i="8"/>
  <c r="Q46" i="8" s="1"/>
  <c r="R46" i="8" s="1"/>
  <c r="K46" i="8"/>
  <c r="E46" i="8"/>
  <c r="G46" i="8" s="1"/>
  <c r="L46" i="8" s="1"/>
  <c r="K45" i="8"/>
  <c r="E45" i="8"/>
  <c r="G45" i="8" s="1"/>
  <c r="L45" i="8" s="1"/>
  <c r="K44" i="8"/>
  <c r="E44" i="8"/>
  <c r="G44" i="8" s="1"/>
  <c r="L44" i="8" s="1"/>
  <c r="K43" i="8"/>
  <c r="E43" i="8"/>
  <c r="K42" i="8"/>
  <c r="E42" i="8"/>
  <c r="K41" i="8"/>
  <c r="E41" i="8"/>
  <c r="P40" i="8"/>
  <c r="Q40" i="8" s="1"/>
  <c r="R40" i="8" s="1"/>
  <c r="L40" i="8"/>
  <c r="K40" i="8"/>
  <c r="G40" i="8"/>
  <c r="H40" i="8" s="1"/>
  <c r="M40" i="8" s="1"/>
  <c r="E40" i="8"/>
  <c r="P39" i="8"/>
  <c r="Q39" i="8" s="1"/>
  <c r="R39" i="8" s="1"/>
  <c r="L39" i="8"/>
  <c r="K39" i="8"/>
  <c r="H39" i="8"/>
  <c r="M39" i="8" s="1"/>
  <c r="G39" i="8"/>
  <c r="E39" i="8"/>
  <c r="K38" i="8"/>
  <c r="E38" i="8"/>
  <c r="P37" i="8"/>
  <c r="Q37" i="8" s="1"/>
  <c r="R37" i="8" s="1"/>
  <c r="K37" i="8"/>
  <c r="E37" i="8"/>
  <c r="G37" i="8" s="1"/>
  <c r="K36" i="8"/>
  <c r="E36" i="8"/>
  <c r="G36" i="8" s="1"/>
  <c r="Q35" i="8"/>
  <c r="R35" i="8" s="1"/>
  <c r="K35" i="8"/>
  <c r="G35" i="8"/>
  <c r="E35" i="8"/>
  <c r="P35" i="8" s="1"/>
  <c r="Q34" i="8"/>
  <c r="R34" i="8" s="1"/>
  <c r="K34" i="8"/>
  <c r="G34" i="8"/>
  <c r="E34" i="8"/>
  <c r="P34" i="8" s="1"/>
  <c r="Q33" i="8"/>
  <c r="R33" i="8" s="1"/>
  <c r="P33" i="8"/>
  <c r="K33" i="8"/>
  <c r="G33" i="8"/>
  <c r="E33" i="8"/>
  <c r="R32" i="8"/>
  <c r="P32" i="8"/>
  <c r="Q32" i="8" s="1"/>
  <c r="K32" i="8"/>
  <c r="H32" i="8"/>
  <c r="M32" i="8" s="1"/>
  <c r="G32" i="8"/>
  <c r="L32" i="8" s="1"/>
  <c r="E32" i="8"/>
  <c r="R31" i="8"/>
  <c r="P31" i="8"/>
  <c r="Q31" i="8" s="1"/>
  <c r="L31" i="8"/>
  <c r="K31" i="8"/>
  <c r="G31" i="8"/>
  <c r="H31" i="8" s="1"/>
  <c r="M31" i="8" s="1"/>
  <c r="E31" i="8"/>
  <c r="P30" i="8"/>
  <c r="Q30" i="8" s="1"/>
  <c r="R30" i="8" s="1"/>
  <c r="K30" i="8"/>
  <c r="H30" i="8"/>
  <c r="M30" i="8" s="1"/>
  <c r="E30" i="8"/>
  <c r="G30" i="8" s="1"/>
  <c r="L30" i="8" s="1"/>
  <c r="Q29" i="8"/>
  <c r="R29" i="8" s="1"/>
  <c r="P29" i="8"/>
  <c r="L29" i="8"/>
  <c r="K29" i="8"/>
  <c r="E29" i="8"/>
  <c r="G29" i="8" s="1"/>
  <c r="H29" i="8" s="1"/>
  <c r="M29" i="8" s="1"/>
  <c r="Q28" i="8"/>
  <c r="R28" i="8" s="1"/>
  <c r="P28" i="8"/>
  <c r="K28" i="8"/>
  <c r="E28" i="8"/>
  <c r="G28" i="8" s="1"/>
  <c r="L28" i="8" s="1"/>
  <c r="K27" i="8"/>
  <c r="E27" i="8"/>
  <c r="P27" i="8" s="1"/>
  <c r="Q27" i="8" s="1"/>
  <c r="R27" i="8" s="1"/>
  <c r="K26" i="8"/>
  <c r="E26" i="8"/>
  <c r="P26" i="8" s="1"/>
  <c r="Q26" i="8" s="1"/>
  <c r="R26" i="8" s="1"/>
  <c r="P25" i="8"/>
  <c r="Q25" i="8" s="1"/>
  <c r="R25" i="8" s="1"/>
  <c r="K25" i="8"/>
  <c r="E25" i="8"/>
  <c r="G25" i="8" s="1"/>
  <c r="H25" i="8" s="1"/>
  <c r="M25" i="8" s="1"/>
  <c r="P24" i="8"/>
  <c r="Q24" i="8" s="1"/>
  <c r="R24" i="8" s="1"/>
  <c r="L24" i="8"/>
  <c r="K24" i="8"/>
  <c r="G24" i="8"/>
  <c r="H24" i="8" s="1"/>
  <c r="M24" i="8" s="1"/>
  <c r="E24" i="8"/>
  <c r="P23" i="8"/>
  <c r="Q23" i="8" s="1"/>
  <c r="R23" i="8" s="1"/>
  <c r="K23" i="8"/>
  <c r="H23" i="8"/>
  <c r="M23" i="8" s="1"/>
  <c r="G23" i="8"/>
  <c r="L23" i="8" s="1"/>
  <c r="E23" i="8"/>
  <c r="R22" i="8"/>
  <c r="K22" i="8"/>
  <c r="G22" i="8"/>
  <c r="L22" i="8" s="1"/>
  <c r="E22" i="8"/>
  <c r="P22" i="8" s="1"/>
  <c r="Q22" i="8" s="1"/>
  <c r="K21" i="8"/>
  <c r="E21" i="8"/>
  <c r="P20" i="8"/>
  <c r="Q20" i="8" s="1"/>
  <c r="R20" i="8" s="1"/>
  <c r="K20" i="8"/>
  <c r="H20" i="8"/>
  <c r="M20" i="8" s="1"/>
  <c r="E20" i="8"/>
  <c r="G20" i="8" s="1"/>
  <c r="L20" i="8" s="1"/>
  <c r="Q19" i="8"/>
  <c r="R19" i="8" s="1"/>
  <c r="K19" i="8"/>
  <c r="H19" i="8"/>
  <c r="M19" i="8" s="1"/>
  <c r="G19" i="8"/>
  <c r="L19" i="8" s="1"/>
  <c r="E19" i="8"/>
  <c r="P19" i="8" s="1"/>
  <c r="Q18" i="8"/>
  <c r="R18" i="8" s="1"/>
  <c r="K18" i="8"/>
  <c r="G18" i="8"/>
  <c r="H18" i="8" s="1"/>
  <c r="M18" i="8" s="1"/>
  <c r="E18" i="8"/>
  <c r="P18" i="8" s="1"/>
  <c r="P17" i="8"/>
  <c r="Q17" i="8" s="1"/>
  <c r="R17" i="8" s="1"/>
  <c r="K17" i="8"/>
  <c r="G17" i="8"/>
  <c r="H17" i="8" s="1"/>
  <c r="M17" i="8" s="1"/>
  <c r="E17" i="8"/>
  <c r="R16" i="8"/>
  <c r="P16" i="8"/>
  <c r="Q16" i="8" s="1"/>
  <c r="L16" i="8"/>
  <c r="K16" i="8"/>
  <c r="H16" i="8"/>
  <c r="M16" i="8" s="1"/>
  <c r="G16" i="8"/>
  <c r="E16" i="8"/>
  <c r="R15" i="8"/>
  <c r="P15" i="8"/>
  <c r="Q15" i="8" s="1"/>
  <c r="M15" i="8"/>
  <c r="L15" i="8"/>
  <c r="K15" i="8"/>
  <c r="G15" i="8"/>
  <c r="H15" i="8" s="1"/>
  <c r="E15" i="8"/>
  <c r="R14" i="8"/>
  <c r="Q14" i="8"/>
  <c r="P14" i="8"/>
  <c r="K14" i="8"/>
  <c r="H14" i="8"/>
  <c r="M14" i="8" s="1"/>
  <c r="E14" i="8"/>
  <c r="G14" i="8" s="1"/>
  <c r="L14" i="8" s="1"/>
  <c r="K13" i="8"/>
  <c r="E13" i="8"/>
  <c r="K12" i="8"/>
  <c r="E12" i="8"/>
  <c r="R11" i="8"/>
  <c r="K11" i="8"/>
  <c r="G11" i="8"/>
  <c r="E11" i="8"/>
  <c r="P11" i="8" s="1"/>
  <c r="Q11" i="8" s="1"/>
  <c r="K10" i="8"/>
  <c r="E10" i="8"/>
  <c r="P10" i="8" s="1"/>
  <c r="Q10" i="8" s="1"/>
  <c r="R10" i="8" s="1"/>
  <c r="K9" i="8"/>
  <c r="E9" i="8"/>
  <c r="P9" i="8" s="1"/>
  <c r="Q9" i="8" s="1"/>
  <c r="R9" i="8" s="1"/>
  <c r="B9" i="8"/>
  <c r="O8" i="8"/>
  <c r="K8" i="8"/>
  <c r="E8" i="8"/>
  <c r="P8" i="8" s="1"/>
  <c r="P7" i="8"/>
  <c r="Q7" i="8" s="1"/>
  <c r="R7" i="8" s="1"/>
  <c r="O7" i="8"/>
  <c r="K7" i="8"/>
  <c r="G7" i="8"/>
  <c r="L7" i="8" s="1"/>
  <c r="E7" i="8"/>
  <c r="C3" i="8"/>
  <c r="H2" i="8"/>
  <c r="F2" i="8"/>
  <c r="B10" i="8" l="1"/>
  <c r="G10" i="8"/>
  <c r="G13" i="8"/>
  <c r="P13" i="8"/>
  <c r="Q13" i="8" s="1"/>
  <c r="R13" i="8" s="1"/>
  <c r="H22" i="8"/>
  <c r="M22" i="8" s="1"/>
  <c r="H34" i="8"/>
  <c r="M34" i="8" s="1"/>
  <c r="L34" i="8"/>
  <c r="H46" i="8"/>
  <c r="M46" i="8" s="1"/>
  <c r="G52" i="8"/>
  <c r="P52" i="8"/>
  <c r="Q52" i="8" s="1"/>
  <c r="R52" i="8" s="1"/>
  <c r="L36" i="8"/>
  <c r="H36" i="8"/>
  <c r="M36" i="8" s="1"/>
  <c r="G38" i="8"/>
  <c r="P38" i="8"/>
  <c r="Q38" i="8" s="1"/>
  <c r="R38" i="8" s="1"/>
  <c r="L63" i="8"/>
  <c r="H66" i="8"/>
  <c r="M66" i="8" s="1"/>
  <c r="L66" i="8"/>
  <c r="I75" i="8"/>
  <c r="J75" i="8"/>
  <c r="G21" i="8"/>
  <c r="P21" i="8"/>
  <c r="Q21" i="8" s="1"/>
  <c r="R21" i="8" s="1"/>
  <c r="L68" i="8"/>
  <c r="H68" i="8"/>
  <c r="M68" i="8" s="1"/>
  <c r="L54" i="8"/>
  <c r="H62" i="8"/>
  <c r="M62" i="8" s="1"/>
  <c r="H7" i="8"/>
  <c r="M7" i="8" s="1"/>
  <c r="L18" i="8"/>
  <c r="P36" i="8"/>
  <c r="Q36" i="8" s="1"/>
  <c r="R36" i="8" s="1"/>
  <c r="H51" i="8"/>
  <c r="M51" i="8" s="1"/>
  <c r="G53" i="8"/>
  <c r="P53" i="8"/>
  <c r="Q53" i="8" s="1"/>
  <c r="R53" i="8" s="1"/>
  <c r="H65" i="8"/>
  <c r="M65" i="8" s="1"/>
  <c r="L65" i="8"/>
  <c r="J77" i="8"/>
  <c r="I77" i="8"/>
  <c r="L79" i="8"/>
  <c r="E76" i="8"/>
  <c r="H76" i="8" s="1"/>
  <c r="L76" i="8" s="1"/>
  <c r="K76" i="8"/>
  <c r="F76" i="8"/>
  <c r="D76" i="8"/>
  <c r="G12" i="8"/>
  <c r="P12" i="8"/>
  <c r="Q12" i="8" s="1"/>
  <c r="R12" i="8" s="1"/>
  <c r="H33" i="8"/>
  <c r="M33" i="8" s="1"/>
  <c r="L33" i="8"/>
  <c r="P41" i="8"/>
  <c r="Q41" i="8" s="1"/>
  <c r="R41" i="8" s="1"/>
  <c r="G41" i="8"/>
  <c r="P43" i="8"/>
  <c r="Q43" i="8" s="1"/>
  <c r="R43" i="8" s="1"/>
  <c r="G43" i="8"/>
  <c r="G76" i="8"/>
  <c r="O9" i="8"/>
  <c r="L25" i="8"/>
  <c r="L35" i="8"/>
  <c r="H35" i="8"/>
  <c r="M35" i="8" s="1"/>
  <c r="L37" i="8"/>
  <c r="H37" i="8"/>
  <c r="M37" i="8" s="1"/>
  <c r="P68" i="8"/>
  <c r="Q68" i="8" s="1"/>
  <c r="R68" i="8" s="1"/>
  <c r="I74" i="8"/>
  <c r="L77" i="8"/>
  <c r="P42" i="8"/>
  <c r="Q42" i="8" s="1"/>
  <c r="R42" i="8" s="1"/>
  <c r="G42" i="8"/>
  <c r="G8" i="8"/>
  <c r="G9" i="8"/>
  <c r="H49" i="8"/>
  <c r="M49" i="8" s="1"/>
  <c r="L49" i="8"/>
  <c r="L11" i="8"/>
  <c r="H11" i="8"/>
  <c r="M11" i="8" s="1"/>
  <c r="L17" i="8"/>
  <c r="H50" i="8"/>
  <c r="M50" i="8" s="1"/>
  <c r="L50" i="8"/>
  <c r="L57" i="8"/>
  <c r="L67" i="8"/>
  <c r="H67" i="8"/>
  <c r="M67" i="8" s="1"/>
  <c r="P57" i="8"/>
  <c r="Q57" i="8" s="1"/>
  <c r="R57" i="8" s="1"/>
  <c r="L81" i="8"/>
  <c r="H44" i="8"/>
  <c r="M44" i="8" s="1"/>
  <c r="H45" i="8"/>
  <c r="M45" i="8" s="1"/>
  <c r="P60" i="8"/>
  <c r="Q60" i="8" s="1"/>
  <c r="R60" i="8" s="1"/>
  <c r="P61" i="8"/>
  <c r="Q61" i="8" s="1"/>
  <c r="R61" i="8" s="1"/>
  <c r="K81" i="8"/>
  <c r="K79" i="8"/>
  <c r="K74" i="8"/>
  <c r="F78" i="8"/>
  <c r="E78" i="8"/>
  <c r="H78" i="8" s="1"/>
  <c r="L78" i="8" s="1"/>
  <c r="G26" i="8"/>
  <c r="G27" i="8"/>
  <c r="G58" i="8"/>
  <c r="G59" i="8"/>
  <c r="H71" i="8"/>
  <c r="L83" i="8" s="1"/>
  <c r="D78" i="8"/>
  <c r="I80" i="8"/>
  <c r="L73" i="8"/>
  <c r="L75" i="8"/>
  <c r="H28" i="8"/>
  <c r="M28" i="8" s="1"/>
  <c r="P44" i="8"/>
  <c r="Q44" i="8" s="1"/>
  <c r="R44" i="8" s="1"/>
  <c r="P45" i="8"/>
  <c r="Q45" i="8" s="1"/>
  <c r="R45" i="8" s="1"/>
  <c r="H60" i="8"/>
  <c r="M60" i="8" s="1"/>
  <c r="K75" i="8"/>
  <c r="G78" i="8"/>
  <c r="H82" i="8"/>
  <c r="L82" i="8" s="1"/>
  <c r="K83" i="8"/>
  <c r="K82" i="8"/>
  <c r="H74" i="8"/>
  <c r="L74" i="8" s="1"/>
  <c r="G80" i="8"/>
  <c r="D82" i="8"/>
  <c r="G82" i="8"/>
  <c r="J78" i="8" l="1"/>
  <c r="I78" i="8"/>
  <c r="L21" i="8"/>
  <c r="H21" i="8"/>
  <c r="M21" i="8" s="1"/>
  <c r="H38" i="8"/>
  <c r="M38" i="8" s="1"/>
  <c r="L38" i="8"/>
  <c r="J82" i="8"/>
  <c r="I82" i="8"/>
  <c r="L72" i="8"/>
  <c r="L12" i="8"/>
  <c r="H12" i="8"/>
  <c r="M12" i="8" s="1"/>
  <c r="L59" i="8"/>
  <c r="H59" i="8"/>
  <c r="M59" i="8" s="1"/>
  <c r="L43" i="8"/>
  <c r="H43" i="8"/>
  <c r="M43" i="8" s="1"/>
  <c r="I76" i="8"/>
  <c r="J76" i="8"/>
  <c r="L80" i="8"/>
  <c r="H13" i="8"/>
  <c r="M13" i="8" s="1"/>
  <c r="L13" i="8"/>
  <c r="H58" i="8"/>
  <c r="M58" i="8" s="1"/>
  <c r="L58" i="8"/>
  <c r="H10" i="8"/>
  <c r="M10" i="8" s="1"/>
  <c r="L10" i="8"/>
  <c r="H9" i="8"/>
  <c r="M9" i="8" s="1"/>
  <c r="L9" i="8"/>
  <c r="L27" i="8"/>
  <c r="H27" i="8"/>
  <c r="M27" i="8" s="1"/>
  <c r="L8" i="8"/>
  <c r="H8" i="8"/>
  <c r="M8" i="8" s="1"/>
  <c r="H41" i="8"/>
  <c r="M41" i="8" s="1"/>
  <c r="L41" i="8"/>
  <c r="L52" i="8"/>
  <c r="H52" i="8"/>
  <c r="M52" i="8" s="1"/>
  <c r="H26" i="8"/>
  <c r="M26" i="8" s="1"/>
  <c r="L26" i="8"/>
  <c r="L53" i="8"/>
  <c r="H53" i="8"/>
  <c r="M53" i="8" s="1"/>
  <c r="H42" i="8"/>
  <c r="M42" i="8" s="1"/>
  <c r="L42" i="8"/>
  <c r="B11" i="8"/>
  <c r="O10" i="8"/>
  <c r="O11" i="8" l="1"/>
  <c r="B12" i="8"/>
  <c r="O12" i="8" l="1"/>
  <c r="B13" i="8"/>
  <c r="O13" i="8" l="1"/>
  <c r="B14" i="8"/>
  <c r="O14" i="8" l="1"/>
  <c r="B15" i="8"/>
  <c r="B16" i="8" l="1"/>
  <c r="O15" i="8"/>
  <c r="B17" i="8" l="1"/>
  <c r="O16" i="8"/>
  <c r="B18" i="8" l="1"/>
  <c r="O17" i="8"/>
  <c r="B19" i="8" l="1"/>
  <c r="O18" i="8"/>
  <c r="B20" i="8" l="1"/>
  <c r="O19" i="8"/>
  <c r="B21" i="8" l="1"/>
  <c r="O20" i="8"/>
  <c r="O21" i="8" l="1"/>
  <c r="B22" i="8"/>
  <c r="O22" i="8" l="1"/>
  <c r="B23" i="8"/>
  <c r="B24" i="8" l="1"/>
  <c r="O23" i="8"/>
  <c r="B25" i="8" l="1"/>
  <c r="O24" i="8"/>
  <c r="B26" i="8" l="1"/>
  <c r="O25" i="8"/>
  <c r="B27" i="8" l="1"/>
  <c r="O26" i="8"/>
  <c r="B28" i="8" l="1"/>
  <c r="O27" i="8"/>
  <c r="B29" i="8" l="1"/>
  <c r="O28" i="8"/>
  <c r="O29" i="8" l="1"/>
  <c r="B30" i="8"/>
  <c r="O30" i="8" l="1"/>
  <c r="B31" i="8"/>
  <c r="O31" i="8" l="1"/>
  <c r="B32" i="8"/>
  <c r="O32" i="8" l="1"/>
  <c r="B33" i="8"/>
  <c r="B34" i="8" l="1"/>
  <c r="O33" i="8"/>
  <c r="B35" i="8" l="1"/>
  <c r="O34" i="8"/>
  <c r="B36" i="8" l="1"/>
  <c r="O35" i="8"/>
  <c r="B37" i="8" l="1"/>
  <c r="O36" i="8"/>
  <c r="O37" i="8" l="1"/>
  <c r="B38" i="8"/>
  <c r="O38" i="8" l="1"/>
  <c r="B39" i="8"/>
  <c r="B40" i="8" l="1"/>
  <c r="O39" i="8"/>
  <c r="O40" i="8" l="1"/>
  <c r="B41" i="8"/>
  <c r="B42" i="8" l="1"/>
  <c r="O41" i="8"/>
  <c r="B43" i="8" l="1"/>
  <c r="O42" i="8"/>
  <c r="O43" i="8" l="1"/>
  <c r="B44" i="8"/>
  <c r="O44" i="8" l="1"/>
  <c r="B45" i="8"/>
  <c r="O45" i="8" l="1"/>
  <c r="B46" i="8"/>
  <c r="O46" i="8" l="1"/>
  <c r="B47" i="8"/>
  <c r="B48" i="8" l="1"/>
  <c r="O47" i="8"/>
  <c r="B49" i="8" l="1"/>
  <c r="O48" i="8"/>
  <c r="B50" i="8" l="1"/>
  <c r="O49" i="8"/>
  <c r="B51" i="8" l="1"/>
  <c r="O50" i="8"/>
  <c r="B52" i="8" l="1"/>
  <c r="O51" i="8"/>
  <c r="B53" i="8" l="1"/>
  <c r="O52" i="8"/>
  <c r="O53" i="8" l="1"/>
  <c r="B54" i="8"/>
  <c r="O54" i="8" l="1"/>
  <c r="B55" i="8"/>
  <c r="B56" i="8" l="1"/>
  <c r="O55" i="8"/>
  <c r="B57" i="8" l="1"/>
  <c r="O56" i="8"/>
  <c r="B58" i="8" l="1"/>
  <c r="O57" i="8"/>
  <c r="B59" i="8" l="1"/>
  <c r="O58" i="8"/>
  <c r="B60" i="8" l="1"/>
  <c r="O59" i="8"/>
  <c r="B61" i="8" l="1"/>
  <c r="O60" i="8"/>
  <c r="O61" i="8" l="1"/>
  <c r="B62" i="8"/>
  <c r="O62" i="8" l="1"/>
  <c r="B63" i="8"/>
  <c r="O63" i="8" l="1"/>
  <c r="B64" i="8"/>
  <c r="O64" i="8" l="1"/>
  <c r="B65" i="8"/>
  <c r="B66" i="8" l="1"/>
  <c r="O65" i="8"/>
  <c r="B67" i="8" l="1"/>
  <c r="O66" i="8"/>
  <c r="B68" i="8" l="1"/>
  <c r="O68" i="8" s="1"/>
  <c r="O67" i="8"/>
  <c r="B74" i="8" a="1"/>
  <c r="B74" i="8" s="1"/>
  <c r="B75" i="8" s="1"/>
  <c r="B76" i="8" a="1"/>
  <c r="B76" i="8" s="1"/>
  <c r="B77" i="8" s="1"/>
  <c r="B80" i="8" a="1"/>
  <c r="B80" i="8" s="1"/>
  <c r="B81" i="8" s="1"/>
  <c r="B82" i="8" a="1"/>
  <c r="B82" i="8" s="1"/>
  <c r="B83" i="8" s="1"/>
  <c r="B78" i="8" a="1"/>
  <c r="B78" i="8" s="1"/>
  <c r="B79" i="8" s="1"/>
  <c r="B72" i="8" a="1"/>
  <c r="B72" i="8" s="1"/>
  <c r="B73" i="8" s="1"/>
  <c r="L31" i="4" l="1"/>
  <c r="K31" i="4"/>
  <c r="J31" i="4" s="1"/>
  <c r="E31" i="4"/>
  <c r="H31" i="4" s="1"/>
  <c r="L26" i="4"/>
  <c r="K26" i="4"/>
  <c r="J26" i="4" s="1"/>
  <c r="I26" i="4"/>
  <c r="E26" i="4"/>
  <c r="G26" i="4" s="1"/>
  <c r="M25" i="4"/>
  <c r="L25" i="4" s="1"/>
  <c r="K25" i="4"/>
  <c r="J25" i="4" s="1"/>
  <c r="I25" i="4"/>
  <c r="E25" i="4"/>
  <c r="G25" i="4" s="1"/>
  <c r="L24" i="4"/>
  <c r="K24" i="4"/>
  <c r="J24" i="4" s="1"/>
  <c r="I24" i="4"/>
  <c r="E24" i="4"/>
  <c r="G24" i="4" s="1"/>
  <c r="L23" i="4"/>
  <c r="K23" i="4"/>
  <c r="J23" i="4" s="1"/>
  <c r="I23" i="4"/>
  <c r="E23" i="4"/>
  <c r="G23" i="4" s="1"/>
  <c r="L21" i="4"/>
  <c r="K21" i="4"/>
  <c r="J21" i="4" s="1"/>
  <c r="I21" i="4"/>
  <c r="E21" i="4"/>
  <c r="G21" i="4" s="1"/>
  <c r="L20" i="4"/>
  <c r="K20" i="4"/>
  <c r="J20" i="4" s="1"/>
  <c r="I20" i="4"/>
  <c r="E20" i="4"/>
  <c r="G20" i="4" s="1"/>
  <c r="L19" i="4"/>
  <c r="K19" i="4"/>
  <c r="J19" i="4" s="1"/>
  <c r="I19" i="4"/>
  <c r="E19" i="4"/>
  <c r="L13" i="4"/>
  <c r="K13" i="4"/>
  <c r="J13" i="4" s="1"/>
  <c r="I13" i="4"/>
  <c r="E13" i="4"/>
  <c r="M12" i="4"/>
  <c r="L12" i="4" s="1"/>
  <c r="K12" i="4"/>
  <c r="J12" i="4" s="1"/>
  <c r="I12" i="4"/>
  <c r="E12" i="4"/>
  <c r="G12" i="4" s="1"/>
  <c r="M9" i="4"/>
  <c r="L9" i="4" s="1"/>
  <c r="K9" i="4"/>
  <c r="J9" i="4" s="1"/>
  <c r="I9" i="4"/>
  <c r="E9" i="4"/>
  <c r="G9" i="4" s="1"/>
  <c r="L7" i="4"/>
  <c r="K7" i="4"/>
  <c r="J7" i="4" s="1"/>
  <c r="I7" i="4"/>
  <c r="E7" i="4"/>
  <c r="G7" i="4" s="1"/>
  <c r="L6" i="4"/>
  <c r="K6" i="4"/>
  <c r="J6" i="4" s="1"/>
  <c r="I6" i="4"/>
  <c r="E6" i="4"/>
  <c r="G6" i="4" s="1"/>
  <c r="L5" i="4"/>
  <c r="K5" i="4"/>
  <c r="J5" i="4" s="1"/>
  <c r="I5" i="4"/>
  <c r="E5" i="4"/>
  <c r="G5" i="4" s="1"/>
  <c r="L4" i="4"/>
  <c r="K4" i="4"/>
  <c r="J4" i="4" s="1"/>
  <c r="I4" i="4"/>
  <c r="E4" i="4"/>
  <c r="L3" i="4"/>
  <c r="K3" i="4"/>
  <c r="J3" i="4" s="1"/>
  <c r="I3" i="4"/>
  <c r="E3" i="4"/>
  <c r="H3" i="4" s="1"/>
  <c r="H19" i="4" l="1"/>
  <c r="H13" i="4"/>
  <c r="H4" i="4"/>
  <c r="H20" i="4"/>
  <c r="H6" i="4"/>
  <c r="H24" i="4"/>
  <c r="H26" i="4"/>
  <c r="H23" i="4"/>
  <c r="G4" i="4"/>
  <c r="H9" i="4"/>
  <c r="H7" i="4"/>
  <c r="H25" i="4"/>
  <c r="G31" i="4"/>
  <c r="H5" i="4"/>
  <c r="H21" i="4"/>
  <c r="G3" i="4"/>
  <c r="G19" i="4"/>
  <c r="G13" i="4"/>
  <c r="H12" i="4"/>
  <c r="R450" i="12" l="1"/>
  <c r="S450" i="12" s="1"/>
  <c r="N450" i="12" a="1"/>
  <c r="N450" i="12" s="1"/>
  <c r="P450" i="12"/>
  <c r="Q450" i="12" s="1" a="1"/>
  <c r="Q450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<sst xmlns="http://schemas.openxmlformats.org/spreadsheetml/2006/main" count="6710" uniqueCount="911">
  <si>
    <t>Sample ID</t>
  </si>
  <si>
    <t>Date</t>
  </si>
  <si>
    <t>AKTA</t>
  </si>
  <si>
    <t>Column</t>
  </si>
  <si>
    <t>Priority</t>
  </si>
  <si>
    <t>Salt ex.</t>
  </si>
  <si>
    <t>HPLC</t>
  </si>
  <si>
    <t>Hardware</t>
  </si>
  <si>
    <t>Resin</t>
  </si>
  <si>
    <t>ID
(mm)</t>
  </si>
  <si>
    <t>BH
(cm)</t>
  </si>
  <si>
    <t>CV
(mL)</t>
  </si>
  <si>
    <t>Flow Rate
(mL/min)</t>
  </si>
  <si>
    <t>Flow Rate
(cm/h)</t>
  </si>
  <si>
    <t>Resin 
pressure limit
(psi)</t>
  </si>
  <si>
    <t>Resin 
pressure limit
(MPa)</t>
  </si>
  <si>
    <t>Hardware 
pressure limit
(psi)</t>
  </si>
  <si>
    <t>Hardware 
pressure limit
(MPa)</t>
  </si>
  <si>
    <t>Pack Date</t>
  </si>
  <si>
    <t>Note</t>
  </si>
  <si>
    <r>
      <t xml:space="preserve">IE
</t>
    </r>
    <r>
      <rPr>
        <sz val="11"/>
        <color theme="1"/>
        <rFont val="Aptos Narrow"/>
        <family val="2"/>
        <scheme val="minor"/>
      </rPr>
      <t>(Sample loading 
&lt;600 OD/mL)</t>
    </r>
  </si>
  <si>
    <t>AEX_10mm_23.5mL (1)</t>
  </si>
  <si>
    <t>Tricorn 10/300</t>
  </si>
  <si>
    <t>TSKgel SuperQ 5PW20</t>
  </si>
  <si>
    <t>AEX_10mm_23.5mL (2)</t>
  </si>
  <si>
    <t>AEX_10mm_23.5mL (3)</t>
  </si>
  <si>
    <t>unknown</t>
  </si>
  <si>
    <t>DYE</t>
  </si>
  <si>
    <t>AEX_10mm_23.5mL (4)</t>
  </si>
  <si>
    <t>NanoQ-15L</t>
  </si>
  <si>
    <t>AEX_20mm_63.8mL</t>
  </si>
  <si>
    <t>AP-2</t>
  </si>
  <si>
    <t>AEX_20mm_78.5mL</t>
  </si>
  <si>
    <t>Stainless steel 20</t>
  </si>
  <si>
    <t>1 inch L&amp;L</t>
  </si>
  <si>
    <t>AEX_35mm_288mL</t>
  </si>
  <si>
    <t>FLPilot35</t>
  </si>
  <si>
    <t>AEX_35mm_298mL</t>
  </si>
  <si>
    <t>AEX_50mm_383mL</t>
  </si>
  <si>
    <t>AP-5</t>
  </si>
  <si>
    <t>AEX_50mm_400mL</t>
  </si>
  <si>
    <t xml:space="preserve"> </t>
  </si>
  <si>
    <r>
      <t xml:space="preserve">RP
</t>
    </r>
    <r>
      <rPr>
        <sz val="11"/>
        <color theme="1"/>
        <rFont val="Aptos Narrow"/>
        <family val="2"/>
        <scheme val="minor"/>
      </rPr>
      <t>(Sample loading &lt;200 OD/mL, or &lt;400 OD/mL for hydrophobic oligo)</t>
    </r>
  </si>
  <si>
    <t>RP_10mm_22mL</t>
  </si>
  <si>
    <t>Source15RPC</t>
  </si>
  <si>
    <t>RP_10mm_24mL (1)</t>
  </si>
  <si>
    <t>UniPS 30-300</t>
  </si>
  <si>
    <t>RP_10mm_24mL (2)</t>
  </si>
  <si>
    <t>RP_20mm_89mL</t>
  </si>
  <si>
    <t>repacked 03/06/2025</t>
  </si>
  <si>
    <t>RP_25.4mm_178mL</t>
  </si>
  <si>
    <t>RP_35mm_251mL</t>
  </si>
  <si>
    <t>RP_50.8mm_709mL</t>
  </si>
  <si>
    <t>2 inch L&amp;L</t>
  </si>
  <si>
    <t xml:space="preserve">                   </t>
  </si>
  <si>
    <r>
      <t xml:space="preserve">SEC
</t>
    </r>
    <r>
      <rPr>
        <sz val="11"/>
        <color theme="1"/>
        <rFont val="Aptos Narrow"/>
        <family val="2"/>
        <scheme val="minor"/>
      </rPr>
      <t>(Sample conc &lt; 100 OD/mL,
Sample Vol &lt; 0.33 CV)</t>
    </r>
  </si>
  <si>
    <t>SEC_50mm_546mL</t>
  </si>
  <si>
    <t>Sephadex G25 Fine</t>
  </si>
  <si>
    <t>Sample Loading (OD/mL)</t>
  </si>
  <si>
    <t>Gradient CV</t>
  </si>
  <si>
    <t>0-200</t>
  </si>
  <si>
    <t>200-400</t>
  </si>
  <si>
    <t>400-600</t>
  </si>
  <si>
    <t>600-800</t>
  </si>
  <si>
    <t>Fraction (mL)</t>
  </si>
  <si>
    <t>(Loaded OD/(Max OD*CV)) x CV x 0.3</t>
  </si>
  <si>
    <t>=</t>
  </si>
  <si>
    <t>(Loaded OD x 0.3)/Max loading</t>
  </si>
  <si>
    <t>1 M NaOH</t>
  </si>
  <si>
    <t>RP_10mm_24mL</t>
  </si>
  <si>
    <t>RP</t>
  </si>
  <si>
    <t>Solution</t>
  </si>
  <si>
    <t>Packed On</t>
  </si>
  <si>
    <t>Resin Type</t>
  </si>
  <si>
    <t>Column Volume (mL)</t>
  </si>
  <si>
    <t>Column ID</t>
  </si>
  <si>
    <t>buffer filters</t>
  </si>
  <si>
    <t>IE</t>
  </si>
  <si>
    <t>Column (mL)</t>
  </si>
  <si>
    <t>Column Sterilization Log</t>
  </si>
  <si>
    <r>
      <t xml:space="preserve">AEX_10mm_23.5mL </t>
    </r>
    <r>
      <rPr>
        <sz val="14"/>
        <color theme="1"/>
        <rFont val="Aptos Narrow"/>
        <family val="2"/>
        <scheme val="minor"/>
      </rPr>
      <t>②</t>
    </r>
  </si>
  <si>
    <r>
      <t xml:space="preserve">AEX_10mm_23.5mL </t>
    </r>
    <r>
      <rPr>
        <sz val="14"/>
        <color theme="1"/>
        <rFont val="Aptos Narrow"/>
        <family val="2"/>
      </rPr>
      <t>①</t>
    </r>
  </si>
  <si>
    <t>200 OD/mL</t>
  </si>
  <si>
    <t>400 OD/mL</t>
  </si>
  <si>
    <t>Max loading for RP =</t>
  </si>
  <si>
    <t>Max loading for IE =</t>
  </si>
  <si>
    <t>HIGH</t>
  </si>
  <si>
    <t>no</t>
  </si>
  <si>
    <t>AEX</t>
  </si>
  <si>
    <t>PUR-2</t>
  </si>
  <si>
    <t>PUR-3</t>
  </si>
  <si>
    <t>YES</t>
  </si>
  <si>
    <t>example</t>
  </si>
  <si>
    <t>Crude OD</t>
  </si>
  <si>
    <t>TFF-4</t>
  </si>
  <si>
    <t>TFF-3</t>
  </si>
  <si>
    <t>S21056-1</t>
  </si>
  <si>
    <t>G-16</t>
  </si>
  <si>
    <t>S21058-1A</t>
  </si>
  <si>
    <t>S21002-9-NaEx</t>
  </si>
  <si>
    <t>S21002-10-NaEx</t>
  </si>
  <si>
    <t>S21002-11-NaEx</t>
  </si>
  <si>
    <t>S21002-12-NaEx</t>
  </si>
  <si>
    <t>Status</t>
  </si>
  <si>
    <t>Purified</t>
  </si>
  <si>
    <t>S21056-2</t>
  </si>
  <si>
    <t>Desalting Sterilization Log</t>
  </si>
  <si>
    <t>Time</t>
  </si>
  <si>
    <t>1M NaOH</t>
  </si>
  <si>
    <t>2h</t>
  </si>
  <si>
    <t>overnight</t>
  </si>
  <si>
    <t>30 min</t>
  </si>
  <si>
    <t>1h</t>
  </si>
  <si>
    <t>Desalt</t>
  </si>
  <si>
    <t>Endo Result</t>
  </si>
  <si>
    <t>S21067-2S</t>
  </si>
  <si>
    <t>S21058-1S</t>
  </si>
  <si>
    <t>-----AEX-----</t>
  </si>
  <si>
    <t>Source 15Q</t>
  </si>
  <si>
    <t>Source 30Q</t>
  </si>
  <si>
    <t>3 inch L&amp;L</t>
  </si>
  <si>
    <t>UniQ-30S</t>
  </si>
  <si>
    <t>-----RP-----</t>
  </si>
  <si>
    <t>Source 30RPC</t>
  </si>
  <si>
    <t>-----SEC-----</t>
  </si>
  <si>
    <t>PUR Batch</t>
  </si>
  <si>
    <t>BH, cm</t>
  </si>
  <si>
    <t>CV, mL</t>
  </si>
  <si>
    <t>Scale, umol</t>
  </si>
  <si>
    <t>Crude ESI Purity</t>
  </si>
  <si>
    <t>Loaded, OD</t>
  </si>
  <si>
    <t>Loading, OD/mL</t>
  </si>
  <si>
    <r>
      <t xml:space="preserve">CF, 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g/OD</t>
    </r>
  </si>
  <si>
    <t>Crude UV Purity</t>
  </si>
  <si>
    <r>
      <t xml:space="preserve">NOTE: </t>
    </r>
    <r>
      <rPr>
        <b/>
        <sz val="10"/>
        <color rgb="FFC00000"/>
        <rFont val="Arial"/>
        <family val="2"/>
      </rPr>
      <t>Hide the rows with unused fractions</t>
    </r>
  </si>
  <si>
    <t>To prepare 10 OD/mL, 100 uL for QC</t>
  </si>
  <si>
    <t>MP</t>
  </si>
  <si>
    <t>Fraction #</t>
  </si>
  <si>
    <t>Conc (A260), 
Dilution</t>
  </si>
  <si>
    <t>Dilution Factor</t>
  </si>
  <si>
    <t>Conc (A260)</t>
  </si>
  <si>
    <t>Vol, mL</t>
  </si>
  <si>
    <t>Frac OD</t>
  </si>
  <si>
    <t>Frac mg</t>
  </si>
  <si>
    <t>FLP, %</t>
  </si>
  <si>
    <t>Pre-FLP, %</t>
  </si>
  <si>
    <t>Post-FLP, %</t>
  </si>
  <si>
    <t xml:space="preserve">FLP, OD       </t>
  </si>
  <si>
    <t>FLP, mg</t>
  </si>
  <si>
    <t>Conc,
OD/mL</t>
  </si>
  <si>
    <t>Frac, 
uL</t>
  </si>
  <si>
    <t>H2O, 
uL</t>
  </si>
  <si>
    <t>Flow Through</t>
  </si>
  <si>
    <t>Fractions</t>
  </si>
  <si>
    <t>Total OD</t>
  </si>
  <si>
    <t>Total mg</t>
  </si>
  <si>
    <t>FLP%</t>
  </si>
  <si>
    <t>Pre-FLP%</t>
  </si>
  <si>
    <t xml:space="preserve"> Post-FLP %</t>
  </si>
  <si>
    <t>FLP, OD</t>
  </si>
  <si>
    <t>Yield (g/mmol)</t>
  </si>
  <si>
    <t>Recovery</t>
  </si>
  <si>
    <t>FLP Recovery</t>
  </si>
  <si>
    <t>Loaded-&gt;</t>
  </si>
  <si>
    <t>MP1</t>
  </si>
  <si>
    <t>Cal</t>
  </si>
  <si>
    <t>Actual</t>
  </si>
  <si>
    <t>MP2</t>
  </si>
  <si>
    <t>MP3</t>
  </si>
  <si>
    <t>MP4</t>
  </si>
  <si>
    <t>MP5</t>
  </si>
  <si>
    <t>MP6</t>
  </si>
  <si>
    <t>small column</t>
  </si>
  <si>
    <t>Notes</t>
  </si>
  <si>
    <t>Monday</t>
  </si>
  <si>
    <t>PUR</t>
  </si>
  <si>
    <t>DESALT</t>
  </si>
  <si>
    <t>AM</t>
  </si>
  <si>
    <t>PM</t>
  </si>
  <si>
    <t>Tuesday</t>
  </si>
  <si>
    <t>Wednesday</t>
  </si>
  <si>
    <t>Collected
OD</t>
  </si>
  <si>
    <t>Fraction 
(mL)</t>
  </si>
  <si>
    <t xml:space="preserve">  </t>
  </si>
  <si>
    <t>Endo Result 
(EU/mg)</t>
  </si>
  <si>
    <t>Neutralize</t>
  </si>
  <si>
    <t>Collected
Volume</t>
  </si>
  <si>
    <t>Method</t>
  </si>
  <si>
    <t>S21067-1A</t>
  </si>
  <si>
    <t>S21072-1S2S</t>
  </si>
  <si>
    <t>S21072-1A</t>
  </si>
  <si>
    <t>Packed on</t>
  </si>
  <si>
    <t>S21072-2A</t>
  </si>
  <si>
    <t>S21002-3-B2-RP2</t>
  </si>
  <si>
    <t>medium</t>
  </si>
  <si>
    <t>PUR-6</t>
  </si>
  <si>
    <t>S21002-6-B2-RP2</t>
  </si>
  <si>
    <t>New Column</t>
  </si>
  <si>
    <t>AEX_50.8mm_760mL</t>
  </si>
  <si>
    <t>S21073-3S6S7S8S</t>
  </si>
  <si>
    <t>S21067-2A3A</t>
  </si>
  <si>
    <t>S21067-3S</t>
  </si>
  <si>
    <t>S21002-3-B2-NaEx</t>
  </si>
  <si>
    <t>S21002-6-B2-NaEx</t>
  </si>
  <si>
    <t>1 M NaOH,2h</t>
  </si>
  <si>
    <t>S21087-1</t>
  </si>
  <si>
    <t>S21083/S21096-2</t>
  </si>
  <si>
    <t>S21083/S21096-1</t>
  </si>
  <si>
    <t>S21093-1A</t>
  </si>
  <si>
    <t>PUR-4</t>
  </si>
  <si>
    <t>S21093-1S</t>
  </si>
  <si>
    <t>SCX_21.2mm_88mL</t>
  </si>
  <si>
    <t>NP5</t>
  </si>
  <si>
    <t>CY5</t>
  </si>
  <si>
    <t>BHQ</t>
  </si>
  <si>
    <t>small column,TFF-4,G-16</t>
  </si>
  <si>
    <t>S21116-1S2Spre</t>
  </si>
  <si>
    <t>S21119-1</t>
  </si>
  <si>
    <t>S21119-2</t>
  </si>
  <si>
    <t>S21119-3</t>
  </si>
  <si>
    <t>S21121-1</t>
  </si>
  <si>
    <t>S21123-2</t>
  </si>
  <si>
    <t>S21116-3S4S5S6Spre</t>
  </si>
  <si>
    <t>S21092-2</t>
  </si>
  <si>
    <t>0.1M NaOH</t>
  </si>
  <si>
    <t>Endo
(EU/mg)</t>
  </si>
  <si>
    <t>Loading
 OD/mL)</t>
  </si>
  <si>
    <t>S21092-1-RP</t>
  </si>
  <si>
    <t>S21092-1-AEX</t>
  </si>
  <si>
    <t>S21124-1</t>
  </si>
  <si>
    <t>&lt;0.006</t>
  </si>
  <si>
    <t>BHQ sample</t>
  </si>
  <si>
    <t>1M NaOH, 1h</t>
  </si>
  <si>
    <t>70mL small column desalting</t>
  </si>
  <si>
    <t>&lt;0.005</t>
  </si>
  <si>
    <t>1.5hour</t>
  </si>
  <si>
    <t>S20882-3-RP2</t>
  </si>
  <si>
    <t>S20882-4-RP2</t>
  </si>
  <si>
    <t>S20882-5-RP2</t>
  </si>
  <si>
    <t>S20882-6-RP2</t>
  </si>
  <si>
    <t>1 M NaOH,1h</t>
  </si>
  <si>
    <t>S21136-1Spre</t>
  </si>
  <si>
    <t>&lt;0.01</t>
  </si>
  <si>
    <t>S21136-2Spre</t>
  </si>
  <si>
    <t>S21136-3Spre</t>
  </si>
  <si>
    <t>S21136-4Spre</t>
  </si>
  <si>
    <t>S21136-5Spre</t>
  </si>
  <si>
    <t>S21136-6Spre</t>
  </si>
  <si>
    <t>S21136-7Spre</t>
  </si>
  <si>
    <t>S21136-8Spre</t>
  </si>
  <si>
    <t>S21136-10Spre</t>
  </si>
  <si>
    <t>S21136-11Spre</t>
  </si>
  <si>
    <t>S21136-12Spre</t>
  </si>
  <si>
    <t>S21136-13Spre</t>
  </si>
  <si>
    <t>S21136-14Spre</t>
  </si>
  <si>
    <t>S21136-15Spre</t>
  </si>
  <si>
    <t>AEX_20mm_63.8mL (ARCHIVE)</t>
  </si>
  <si>
    <t>low</t>
  </si>
  <si>
    <t>S21136-9Spre-B1</t>
  </si>
  <si>
    <t>S21136-9Spre-B2</t>
  </si>
  <si>
    <t>S21136-1S</t>
  </si>
  <si>
    <t>S21136-2S</t>
  </si>
  <si>
    <t>S21136-3S</t>
  </si>
  <si>
    <t>S21136-4S</t>
  </si>
  <si>
    <t>2 injections w/ NaOAc</t>
  </si>
  <si>
    <t>BK, 3%-2000, 2%N-1,1%N-2</t>
  </si>
  <si>
    <t>S21144-1</t>
  </si>
  <si>
    <t>S21148-1</t>
  </si>
  <si>
    <t>S21148-2</t>
  </si>
  <si>
    <t>S21148-3</t>
  </si>
  <si>
    <t>S21148-4</t>
  </si>
  <si>
    <t>S21148-5</t>
  </si>
  <si>
    <t>S21148-6</t>
  </si>
  <si>
    <t>S21148-7</t>
  </si>
  <si>
    <t>S21144-2</t>
  </si>
  <si>
    <t>S21144-3</t>
  </si>
  <si>
    <t>S21144-4</t>
  </si>
  <si>
    <t>S21144-5</t>
  </si>
  <si>
    <t>S21145-1S</t>
  </si>
  <si>
    <t>S21145-1A</t>
  </si>
  <si>
    <t>S21150-1</t>
  </si>
  <si>
    <t>S21150-2</t>
  </si>
  <si>
    <t>S21136-5S</t>
  </si>
  <si>
    <t>S21136-6S</t>
  </si>
  <si>
    <t>S21136-7S</t>
  </si>
  <si>
    <t>S21136-8S</t>
  </si>
  <si>
    <t>S21136-9S</t>
  </si>
  <si>
    <t>BK</t>
  </si>
  <si>
    <t>S21136-10A11A-B2</t>
  </si>
  <si>
    <t>Fraction/CV</t>
  </si>
  <si>
    <t>Ideal 
Column</t>
  </si>
  <si>
    <t>Actual
Column</t>
  </si>
  <si>
    <t>S21123-1-B1</t>
  </si>
  <si>
    <t>S21123-1-B2</t>
  </si>
  <si>
    <t>S21136-10S</t>
  </si>
  <si>
    <t>S21136-11S</t>
  </si>
  <si>
    <t>S21092-1-B2-RP</t>
  </si>
  <si>
    <t>RP_20mm_55mL</t>
  </si>
  <si>
    <t>worse quality</t>
  </si>
  <si>
    <t>better quality</t>
  </si>
  <si>
    <t>S21136-12S-RP1</t>
  </si>
  <si>
    <t>S21136-13S-RP1</t>
  </si>
  <si>
    <t>S21136-14S-RP1</t>
  </si>
  <si>
    <t>S21136-15S-RP1</t>
  </si>
  <si>
    <t>S21136-12S-NaEx</t>
  </si>
  <si>
    <t>S21136-13S-NaEx</t>
  </si>
  <si>
    <t>S21136-14S-NaEx</t>
  </si>
  <si>
    <t>S21136-15S-NaEx</t>
  </si>
  <si>
    <t>G-7</t>
  </si>
  <si>
    <t>S21123-3-B1</t>
  </si>
  <si>
    <t>not enough</t>
  </si>
  <si>
    <t>S21123-3-B2</t>
  </si>
  <si>
    <t>purple from BHQ column</t>
  </si>
  <si>
    <t>less purple</t>
  </si>
  <si>
    <t>S21150-1pre1</t>
  </si>
  <si>
    <t>AEX_20mm_64.7mL</t>
  </si>
  <si>
    <t>S21153-1-7pre1</t>
  </si>
  <si>
    <t>1M NaOH, 2h</t>
  </si>
  <si>
    <t>TFF-5</t>
  </si>
  <si>
    <t>S21168-1to32S+55S</t>
  </si>
  <si>
    <t>TFF-5(9/2025)</t>
  </si>
  <si>
    <t>Redoing</t>
  </si>
  <si>
    <t>S21141-1-B1-AEX</t>
  </si>
  <si>
    <t>S21141-1-B1-RP</t>
  </si>
  <si>
    <t>S21123-1-B3</t>
  </si>
  <si>
    <t>S21156-1-B1-AEX NaEx</t>
  </si>
  <si>
    <t>Recovery (%)</t>
  </si>
  <si>
    <t>S21153-1-7pre2</t>
  </si>
  <si>
    <t>S21153-1-7pre2-test1</t>
  </si>
  <si>
    <t>S21153-1-7pre2-test2</t>
  </si>
  <si>
    <t>S21153-1-7pre2-test3</t>
  </si>
  <si>
    <t>S21147-1-B1-RP1-OAA</t>
  </si>
  <si>
    <t>S21147-1-B1-AEX1-NaEx</t>
  </si>
  <si>
    <t>S21172-1-B1-RP1</t>
  </si>
  <si>
    <t>S21172-1-B2-RP1</t>
  </si>
  <si>
    <t>S21172-1-B1B2-AEX1</t>
  </si>
  <si>
    <t>S21141-1-B2-RP</t>
  </si>
  <si>
    <t>S21147-2-B1-AEX1-NaEx</t>
  </si>
  <si>
    <t>S21191-1-B1</t>
  </si>
  <si>
    <t>CL1</t>
  </si>
  <si>
    <t>CL2</t>
  </si>
  <si>
    <t>CL3</t>
  </si>
  <si>
    <t>S21141-1-B2-AEX</t>
  </si>
  <si>
    <t>S21118-1A</t>
  </si>
  <si>
    <t>S21118-1S</t>
  </si>
  <si>
    <t>S21191-2-B1-AEX</t>
  </si>
  <si>
    <t>B1+B2+B3 188944OD 4759mL, desalted UFDF Together</t>
  </si>
  <si>
    <t>S21156-2-B1-DMT-RP</t>
  </si>
  <si>
    <t>S21147-3-B1-AEX1-NaEx</t>
  </si>
  <si>
    <t>S21147-1-B2-AEX1-NaEx</t>
  </si>
  <si>
    <t>S21147-1-B2-AEX2-NaEx</t>
  </si>
  <si>
    <t>flushed out due to column/instrument issue, recollected for Repurify</t>
  </si>
  <si>
    <t>S20658-1-B0-DMT-RP1-T1</t>
  </si>
  <si>
    <t>S21170-1S-B1-RP2</t>
  </si>
  <si>
    <t>RP1 was ran with TEAA, desalted, RP2 ran with NaOAc to salt ex.</t>
  </si>
  <si>
    <t>need to use more crude for T2, keeping at -80C</t>
  </si>
  <si>
    <t>S21156-1-DMT-RP1</t>
  </si>
  <si>
    <t>S21156-1-B1-DMT-RP2</t>
  </si>
  <si>
    <t>S21170-2S-B1-AEX1 NaEx</t>
  </si>
  <si>
    <t>S21156-1-B2-DMT-RP1</t>
  </si>
  <si>
    <t>S20658-1-B0-DMT-RP1-T2</t>
  </si>
  <si>
    <t>1 M NaOH, 2h</t>
  </si>
  <si>
    <t>high pressure issues, don't use unless no other options</t>
  </si>
  <si>
    <r>
      <t xml:space="preserve">AEX_10mm_23.5mL </t>
    </r>
    <r>
      <rPr>
        <sz val="14"/>
        <color theme="1"/>
        <rFont val="Aptos Narrow"/>
        <family val="2"/>
      </rPr>
      <t>③</t>
    </r>
  </si>
  <si>
    <r>
      <t xml:space="preserve">AEX_10mm_23.5mL </t>
    </r>
    <r>
      <rPr>
        <sz val="14"/>
        <color theme="1"/>
        <rFont val="Aptos Narrow"/>
        <family val="2"/>
        <scheme val="minor"/>
      </rPr>
      <t>④</t>
    </r>
  </si>
  <si>
    <t>DO NOT use on PUR-2</t>
  </si>
  <si>
    <t>S21217-2S</t>
  </si>
  <si>
    <t>S21217-2A</t>
  </si>
  <si>
    <t>S21215-2P-pre1</t>
  </si>
  <si>
    <t>S21215-3P-pre1</t>
  </si>
  <si>
    <t>S21195-252S-266S</t>
  </si>
  <si>
    <t>S21215-1Ppre1-B1-AEX1</t>
  </si>
  <si>
    <t>Desalt date</t>
  </si>
  <si>
    <t>S21150-3-B1-AEX1</t>
  </si>
  <si>
    <t>S21211-2-B1-RP1</t>
  </si>
  <si>
    <t>S21211-2-B1-AEX1</t>
  </si>
  <si>
    <t>S20658-1-B0-T2-RP2-CL3-MP1</t>
  </si>
  <si>
    <t>PUR-7</t>
  </si>
  <si>
    <t>S21150-1pre4-RP-test</t>
  </si>
  <si>
    <t>S21156-2-B2-DMT-RP1</t>
  </si>
  <si>
    <t>S21172-1-B3-CL3-test</t>
  </si>
  <si>
    <t>S21205-1A</t>
  </si>
  <si>
    <t>S21205-2S</t>
  </si>
  <si>
    <t>S21205-1S-B1-AEX1</t>
  </si>
  <si>
    <t>add 10.37 mL 1M PBS</t>
  </si>
  <si>
    <t>S21230-1-B1-AEX1</t>
  </si>
  <si>
    <t>???</t>
  </si>
  <si>
    <t>S21220-2-B1-NaEx</t>
  </si>
  <si>
    <t>GD:3A3-3B5, BK: 3A1,3A2,3C1,3C2, keep fractions separate in -20C, wait for B2</t>
  </si>
  <si>
    <t>1.5h</t>
  </si>
  <si>
    <t>0.5h</t>
  </si>
  <si>
    <t>S21250-1</t>
  </si>
  <si>
    <t>S21230-1-B2-AEX1</t>
  </si>
  <si>
    <t>B1+B2=187.48 mLx37.7 OD/mL=7068 OD</t>
  </si>
  <si>
    <t>S21215-1S2S</t>
  </si>
  <si>
    <t>S21220-1-B1-NaEx</t>
  </si>
  <si>
    <t>S21205-2A-B1</t>
  </si>
  <si>
    <t>S21150-1-CJT2+3</t>
  </si>
  <si>
    <t>S21271-1Spre</t>
  </si>
  <si>
    <t>S21271-1A</t>
  </si>
  <si>
    <t>151.64 mL desalted on G-16, 30 mL desalted on small column</t>
  </si>
  <si>
    <t>S21211-3-B1-RP</t>
  </si>
  <si>
    <t>S21265-1</t>
  </si>
  <si>
    <t>S21215-1P-B1-RP</t>
  </si>
  <si>
    <t>fraction and desalt ASAP!!</t>
  </si>
  <si>
    <t>2 injections for RP</t>
  </si>
  <si>
    <t>S21211-3-B1-AEX</t>
  </si>
  <si>
    <t>S21271-2S-AEX</t>
  </si>
  <si>
    <t>S21271-2A-AEX</t>
  </si>
  <si>
    <t>S21215-2P-B1-RP</t>
  </si>
  <si>
    <t>S21215-3P-B1-RP</t>
  </si>
  <si>
    <t>Salt Ex using 1L 0.2M NaCl 20% CAN 1mM EDTA</t>
  </si>
  <si>
    <t>S21215-3S-B1-AEX</t>
  </si>
  <si>
    <t>S21257-1-B1-AEX</t>
  </si>
  <si>
    <t>1 M NaOH, 1h</t>
  </si>
  <si>
    <t>S21282-1</t>
  </si>
  <si>
    <t>S21282-2</t>
  </si>
  <si>
    <t>S21292-1Spre</t>
  </si>
  <si>
    <t>S21292-2Spre</t>
  </si>
  <si>
    <t>S21282-3</t>
  </si>
  <si>
    <t>S21293-1Spre</t>
  </si>
  <si>
    <t>S21250-2</t>
  </si>
  <si>
    <t>S21250-3</t>
  </si>
  <si>
    <t>S21250-4</t>
  </si>
  <si>
    <t>S21257-2-B1-AEX1</t>
  </si>
  <si>
    <t>AEX_10mm_16.1mL</t>
  </si>
  <si>
    <t>S21281-1-B1-AEX1</t>
  </si>
  <si>
    <t>S20882-10-2B-50</t>
  </si>
  <si>
    <t>S20882-10-2B-50P</t>
  </si>
  <si>
    <t>S20882-10-2B-S28</t>
  </si>
  <si>
    <t>S21254-1Spre</t>
  </si>
  <si>
    <t>10/14//2025</t>
  </si>
  <si>
    <t>S21254-2Spre-B2</t>
  </si>
  <si>
    <t>S21114-1-B1-AEX1</t>
  </si>
  <si>
    <t>leaking</t>
  </si>
  <si>
    <t>S21304-1</t>
  </si>
  <si>
    <t>S21217-1pre-B2</t>
  </si>
  <si>
    <t>S21286-3-B1-AEX1</t>
  </si>
  <si>
    <t>S21290-12pre-B1-RP1</t>
  </si>
  <si>
    <t>S21290-13pre-B1-RP1</t>
  </si>
  <si>
    <t>S21211-1-B1-RP1</t>
  </si>
  <si>
    <t>S21211-1-B1-AEX2</t>
  </si>
  <si>
    <t>CV</t>
  </si>
  <si>
    <t>S21322-6-B1-AEX1</t>
  </si>
  <si>
    <t>S21322-7-B1-AEX1</t>
  </si>
  <si>
    <t>S21217-1-B1-AEX1</t>
  </si>
  <si>
    <t>S21322-11-B1-AEX1</t>
  </si>
  <si>
    <t>S21322-12-B1-AEX1</t>
  </si>
  <si>
    <t>S21322-14-B1-AEX1</t>
  </si>
  <si>
    <t>S21315-1-B1-AEX1</t>
  </si>
  <si>
    <t>Desalted
Volume</t>
  </si>
  <si>
    <t>Desalted
OD</t>
  </si>
  <si>
    <t>246 OD for stock</t>
  </si>
  <si>
    <t>Buffer</t>
  </si>
  <si>
    <t>10% MeOH</t>
  </si>
  <si>
    <t>NaP 10% ACN</t>
  </si>
  <si>
    <t>S21330-1-B1-AEX1</t>
  </si>
  <si>
    <t>S21329-1-B1-AEX1</t>
  </si>
  <si>
    <t>S21329-2-B1-AEX1</t>
  </si>
  <si>
    <t>50mM TEAA</t>
  </si>
  <si>
    <t>S21327-1pre-B1-RP1</t>
  </si>
  <si>
    <t>S21327-2pre3pre-B1-RP1</t>
  </si>
  <si>
    <t>S21327-1pre-B1-AEX2</t>
  </si>
  <si>
    <t>50mM NaOAc</t>
  </si>
  <si>
    <t>S21340-2pre-B1-RP1</t>
  </si>
  <si>
    <t>S21342-1Spre1-B1</t>
  </si>
  <si>
    <t>S21255-2Spre-B1-AEX1</t>
  </si>
  <si>
    <t>S21342-2Spre1-B1</t>
  </si>
  <si>
    <t>S21322-2-B1-AEX1</t>
  </si>
  <si>
    <t>S21322-3-B1-AEX1</t>
  </si>
  <si>
    <t>S21255-3Spre-B1</t>
  </si>
  <si>
    <t>S21321-1S-B1-DMT-RP1</t>
  </si>
  <si>
    <t>S21321-2S-B1-DMT-RP1</t>
  </si>
  <si>
    <t>DMT off</t>
  </si>
  <si>
    <t>S21355-1S-B1</t>
  </si>
  <si>
    <t>S21353-1S2S-B1-AEX1</t>
  </si>
  <si>
    <t>S21321-1S-B1-AEX2</t>
  </si>
  <si>
    <t>S21321-2S-B1-AEX2</t>
  </si>
  <si>
    <t>Gradient</t>
  </si>
  <si>
    <t>15-75</t>
  </si>
  <si>
    <t>S21342-3Spre1-B1-AEX1</t>
  </si>
  <si>
    <t>S21342-1A-B1-AEX1</t>
  </si>
  <si>
    <t>S21342-2A-B1-AEX1</t>
  </si>
  <si>
    <t>S21353-1A-B1-AEX1</t>
  </si>
  <si>
    <t>S21335-1-B1-RP1</t>
  </si>
  <si>
    <t>S21353-2A-B1-AEX1</t>
  </si>
  <si>
    <t>S21355-1A-B1-AEX1</t>
  </si>
  <si>
    <t>S21335-1-B1-AEX2</t>
  </si>
  <si>
    <t>20-85</t>
  </si>
  <si>
    <t>5-45</t>
  </si>
  <si>
    <t>S21355-3A5A-B1-AEX1</t>
  </si>
  <si>
    <t>S21355-4S/10-B1-AEX1</t>
  </si>
  <si>
    <t>S21355-6S/7-B1-AEX1</t>
  </si>
  <si>
    <t>5-50</t>
  </si>
  <si>
    <t>S21355-3S-B1-AEX1</t>
  </si>
  <si>
    <t>S21357-1pre-B1</t>
  </si>
  <si>
    <t>15-40</t>
  </si>
  <si>
    <t>S21357-2pre-B1</t>
  </si>
  <si>
    <t>10-40</t>
  </si>
  <si>
    <t>S21355-5S-B1-AEX1</t>
  </si>
  <si>
    <t>1 M NaOH,30min</t>
  </si>
  <si>
    <t>Temp</t>
  </si>
  <si>
    <t>RT</t>
  </si>
  <si>
    <t>S21345-1-B3B4B5-AEX1</t>
  </si>
  <si>
    <t>S21327-3-B1-AEX1</t>
  </si>
  <si>
    <t>S21377-1Spre1-B1-AEX1</t>
  </si>
  <si>
    <t>PH</t>
  </si>
  <si>
    <t>Conductivity</t>
  </si>
  <si>
    <t>0.2M NaCl, 10% CAN</t>
  </si>
  <si>
    <t>w/ Sigma-Aldrich NaCl</t>
  </si>
  <si>
    <t>Name</t>
  </si>
  <si>
    <t>XW</t>
  </si>
  <si>
    <t>D.I. H2O</t>
  </si>
  <si>
    <t>S21357-1-B1-RP1</t>
  </si>
  <si>
    <t>5-35</t>
  </si>
  <si>
    <t>15-80</t>
  </si>
  <si>
    <t>S21390-2pre-B1-RP1</t>
  </si>
  <si>
    <t>IE buffer A</t>
  </si>
  <si>
    <t>S21396-2pre-B1</t>
  </si>
  <si>
    <t>S21394-1-B1</t>
  </si>
  <si>
    <t>S21396-4-B1</t>
  </si>
  <si>
    <t>S21370-1pre-B1</t>
  </si>
  <si>
    <t>S21386-1-B1</t>
  </si>
  <si>
    <t>AEX_20mm_78.5mL (ARCHIVE)</t>
  </si>
  <si>
    <t>AEX_10mm_24mL</t>
  </si>
  <si>
    <t>S21327-2-B1</t>
  </si>
  <si>
    <t>S21392-1-B1</t>
  </si>
  <si>
    <t>S21370-6pre1-B1</t>
  </si>
  <si>
    <t>S21401-1A-B1</t>
  </si>
  <si>
    <t>G-6</t>
  </si>
  <si>
    <t>AEX_76.2mm_1823mL</t>
  </si>
  <si>
    <t>S21410-2-B1</t>
  </si>
  <si>
    <t>used G-16 purification</t>
  </si>
  <si>
    <t>S21327-2-B2</t>
  </si>
  <si>
    <t>disassemble the sample pumps, and not found any problem, then put them back
using Buffer A to try desalting test,D.I. water Con: 0.96 us/cm,Buffer A Con.:2.12 ms/cm.
The Con. went up to 32.82 us/cm after desalted 300mL buffer A.
Changed all 4 pumps and try same, then the Con. went to 5.97 from 0.81 us/cm.</t>
  </si>
  <si>
    <t>Change Meberan to bigger size(5.38 SQ. FT)</t>
  </si>
  <si>
    <t>10-60</t>
  </si>
  <si>
    <t>(11/18/25) 2.42MPa with 150mL/min sample flow, 3.19MPa with 129mL/min system flow</t>
  </si>
  <si>
    <t>S21377-1S-B1</t>
  </si>
  <si>
    <t>S21410-1-B1</t>
  </si>
  <si>
    <t>20-80</t>
  </si>
  <si>
    <t>S21407-1-B1</t>
  </si>
  <si>
    <t>S21417-2Spre-B1</t>
  </si>
  <si>
    <t>S21342-1S-B1-RP1</t>
  </si>
  <si>
    <t>S21342-2S-B1-RP1</t>
  </si>
  <si>
    <t>5-40</t>
  </si>
  <si>
    <t>flushed out, collected 3732 OD for repurification</t>
  </si>
  <si>
    <t>S21407-1-B1-RE</t>
  </si>
  <si>
    <t>S21396-3/S21407-2-B1</t>
  </si>
  <si>
    <t>S21393-1-B1-AEX1-INJ1</t>
  </si>
  <si>
    <t>S21393-1-B1-AEX1-INJ2</t>
  </si>
  <si>
    <t>S21417-5Spre-B1</t>
  </si>
  <si>
    <t>S21417-6Spre-B1</t>
  </si>
  <si>
    <t>S21417-7Spre-B1</t>
  </si>
  <si>
    <t>&lt;0.004</t>
  </si>
  <si>
    <t>S21417-1A2A4A9A10A-B1</t>
  </si>
  <si>
    <t>S21342-2S-B2</t>
  </si>
  <si>
    <t>25-85</t>
  </si>
  <si>
    <t>S21342-1S-B2</t>
  </si>
  <si>
    <t>30-85</t>
  </si>
  <si>
    <t>S21431-2-B1-DMT</t>
  </si>
  <si>
    <t>PUR-8</t>
  </si>
  <si>
    <t>S21431-1-B1</t>
  </si>
  <si>
    <t>Thursday</t>
  </si>
  <si>
    <t>Friday</t>
  </si>
  <si>
    <t>S21431-3-B1-DMT</t>
  </si>
  <si>
    <t>S21293-1A/S21378-1A-B1</t>
  </si>
  <si>
    <t>S21418-1-B1</t>
  </si>
  <si>
    <t>S21417-4Spre-B1</t>
  </si>
  <si>
    <t>S21417-9Spre-B1</t>
  </si>
  <si>
    <t>S21417-10S-B1</t>
  </si>
  <si>
    <t>S21417-8Spre-B1</t>
  </si>
  <si>
    <t>S21398-3-B1</t>
  </si>
  <si>
    <t>S21398-4-B1</t>
  </si>
  <si>
    <t>S21446-1-B1</t>
  </si>
  <si>
    <t>S21418-2-B1</t>
  </si>
  <si>
    <t>S21472-3Spre</t>
  </si>
  <si>
    <t>S21472-2Spre</t>
  </si>
  <si>
    <t>S21472-1Spre</t>
  </si>
  <si>
    <t>S21462-1/S21463-B-B1</t>
  </si>
  <si>
    <t>small-scale</t>
  </si>
  <si>
    <t>G-10</t>
  </si>
  <si>
    <t>25-80</t>
  </si>
  <si>
    <t>S21459-1-B1</t>
  </si>
  <si>
    <t>S21472-6Spre-B1</t>
  </si>
  <si>
    <t>S21472-4Spre-B1</t>
  </si>
  <si>
    <t>S21472-5Spre-B1</t>
  </si>
  <si>
    <t>0-15</t>
  </si>
  <si>
    <t>S21462-1/S21463-B-B1-RE</t>
  </si>
  <si>
    <t>S21472-8Spre-B1</t>
  </si>
  <si>
    <t>S21463-6S-B1</t>
  </si>
  <si>
    <t>S21463-16S-B1</t>
  </si>
  <si>
    <t>S21463-26S-B1</t>
  </si>
  <si>
    <t>S21463-36S-B1</t>
  </si>
  <si>
    <t>S21417-2S</t>
  </si>
  <si>
    <t>S21417-5S</t>
  </si>
  <si>
    <t>S21417-7S</t>
  </si>
  <si>
    <t>S21417-9S</t>
  </si>
  <si>
    <t>S21417-6S</t>
  </si>
  <si>
    <t>first UFDF combined B1 and B1-re, and then re-UFDF waste which collected from first time), got 2782 OD</t>
  </si>
  <si>
    <t>S21441-1pre-B1-DMT</t>
  </si>
  <si>
    <t>S21445-1S-B1</t>
  </si>
  <si>
    <t>S21445-4S-B1</t>
  </si>
  <si>
    <t>S21445-6S-B1</t>
  </si>
  <si>
    <t>S21445-8A-B1</t>
  </si>
  <si>
    <t>S21461-1Spre-B1</t>
  </si>
  <si>
    <t>S21445-5S-B1</t>
  </si>
  <si>
    <t>S21445-2S3S-B1</t>
  </si>
  <si>
    <t>S21417-4S-B1</t>
  </si>
  <si>
    <t xml:space="preserve">15mM OAA </t>
  </si>
  <si>
    <t>50-85</t>
  </si>
  <si>
    <t>S21430-9-B1B2-DMT</t>
  </si>
  <si>
    <t>S21445-7S-B1</t>
  </si>
  <si>
    <t>S21445-8S-B1</t>
  </si>
  <si>
    <t>S21417-8S-B1</t>
  </si>
  <si>
    <t>S21057-1A-B1</t>
  </si>
  <si>
    <t>S21472-1A2A-B1</t>
  </si>
  <si>
    <t>S21462-7-B1</t>
  </si>
  <si>
    <t>S21441-1pre-B1-AEX3-NaP</t>
  </si>
  <si>
    <t>S21430-9-B1B2-AEX2-NaP</t>
  </si>
  <si>
    <t>cleaning after running Crude sample S21432</t>
  </si>
  <si>
    <t>S21432-1-Crude</t>
  </si>
  <si>
    <t>Desalt Only</t>
  </si>
  <si>
    <t>S21441-1pre-B1-OFF-RP2</t>
  </si>
  <si>
    <t>S21441-1pre-B1-OFF-RP2-RE</t>
  </si>
  <si>
    <t>S21472-7Spre-B1</t>
  </si>
  <si>
    <t>S21472-9Spre-B1</t>
  </si>
  <si>
    <t>S21472-10Spre-B1</t>
  </si>
  <si>
    <t>S21445-6A7A-B1</t>
  </si>
  <si>
    <t>S21472-9A10A-B1</t>
  </si>
  <si>
    <t>S21462-8-B1</t>
  </si>
  <si>
    <t>S21462-2/S21463-A-B1</t>
  </si>
  <si>
    <t>S21472-3A4A-B1</t>
  </si>
  <si>
    <t>kept in -80C bottom shelf</t>
  </si>
  <si>
    <t>20-70</t>
  </si>
  <si>
    <t>S21057-1S-B1</t>
  </si>
  <si>
    <t>S21469-5Spre</t>
  </si>
  <si>
    <t>S21469-6Spre</t>
  </si>
  <si>
    <t>S21469-7Spre</t>
  </si>
  <si>
    <t>Summary</t>
  </si>
  <si>
    <t>yes</t>
  </si>
  <si>
    <t>N/A</t>
  </si>
  <si>
    <t>S21454-1S2Spre-B1</t>
  </si>
  <si>
    <t>S21293-1S</t>
  </si>
  <si>
    <t>S21462-9-B1</t>
  </si>
  <si>
    <t>5-45%</t>
  </si>
  <si>
    <t>S21461-1S-B1</t>
  </si>
  <si>
    <t>10-35%</t>
  </si>
  <si>
    <t>acidic 50mM TEAA</t>
  </si>
  <si>
    <t>S21462-3-B1-AEX1</t>
  </si>
  <si>
    <t>S21462-5-B1</t>
  </si>
  <si>
    <t>S21462-10-B1</t>
  </si>
  <si>
    <t>S21430-7-B1</t>
  </si>
  <si>
    <t>S21430-8-B1B2-RP1</t>
  </si>
  <si>
    <t>S21462-6-B1</t>
  </si>
  <si>
    <t>S21462-11-B1</t>
  </si>
  <si>
    <t>S21462-12-B1</t>
  </si>
  <si>
    <t>S21462-4-B1</t>
  </si>
  <si>
    <t>S21472-1S-B1</t>
  </si>
  <si>
    <t>S21472-2S-B1</t>
  </si>
  <si>
    <t>S21472-3S-B1</t>
  </si>
  <si>
    <t>S21472-7A8A11A12A13A</t>
  </si>
  <si>
    <t>S21430-6-B1</t>
  </si>
  <si>
    <t>S21472-4S-B1</t>
  </si>
  <si>
    <t>S21472-5S-B1</t>
  </si>
  <si>
    <t>S21472-6S-B1</t>
  </si>
  <si>
    <t>S21472-8S-B1</t>
  </si>
  <si>
    <t>S21504-2A-B1</t>
  </si>
  <si>
    <t>S21519-9pre-B1</t>
  </si>
  <si>
    <t>S21519-10pre-B1</t>
  </si>
  <si>
    <t>S21519-12pre-B1</t>
  </si>
  <si>
    <t>S21430-5-B1</t>
  </si>
  <si>
    <t>S21506-1S-B1</t>
  </si>
  <si>
    <t>S21506-1A-B1</t>
  </si>
  <si>
    <t>1 M NaOH,1.5h</t>
  </si>
  <si>
    <t>S21430-1-B1</t>
  </si>
  <si>
    <t>S21513-1-B1</t>
  </si>
  <si>
    <t>S21454-1S2S-B1</t>
  </si>
  <si>
    <t>added EDTA to sample and buffer A, 3CV isocratic step</t>
  </si>
  <si>
    <t>S21430-8-B1B2-AEX2-NaP</t>
  </si>
  <si>
    <t>S21430-2-B1</t>
  </si>
  <si>
    <t>when running reg RNA sample with NaP, use 200 cm/h linear flow rate to prevent UV cell pressure issues</t>
  </si>
  <si>
    <t>S21469-5Spre-B1</t>
  </si>
  <si>
    <t>S21507-1S-B1</t>
  </si>
  <si>
    <t>S21507-1A-B1</t>
  </si>
  <si>
    <t>S21472-7S-B1</t>
  </si>
  <si>
    <t>S21472-9S-B1</t>
  </si>
  <si>
    <t>S21505-1pre1-B1</t>
  </si>
  <si>
    <t>Special</t>
  </si>
  <si>
    <t>GLP</t>
  </si>
  <si>
    <t>nma</t>
  </si>
  <si>
    <t>RNA</t>
  </si>
  <si>
    <t>S21482-3Spre1-B1</t>
  </si>
  <si>
    <t>S21482-4Spre1-B1</t>
  </si>
  <si>
    <t>S21482-5Spre1-B1</t>
  </si>
  <si>
    <t>S21463-61S-B1</t>
  </si>
  <si>
    <t>salt ex.</t>
  </si>
  <si>
    <t>S21463-62S-B1</t>
  </si>
  <si>
    <t>S21430-1-B1-AEX1-RE1</t>
  </si>
  <si>
    <t>S21430-1-B1-AEX1-RE2</t>
  </si>
  <si>
    <t>25-70</t>
  </si>
  <si>
    <t>S21463-62S-B1-RP2</t>
  </si>
  <si>
    <t>S21492-1-B1</t>
  </si>
  <si>
    <t>S21506/S21507-2A-B1</t>
  </si>
  <si>
    <t>repurify</t>
  </si>
  <si>
    <t>reg RNA</t>
  </si>
  <si>
    <t>20-75</t>
  </si>
  <si>
    <t>see summary</t>
  </si>
  <si>
    <t>S21430-3-B1</t>
  </si>
  <si>
    <t>&gt;95%</t>
  </si>
  <si>
    <t>S21463-61S-B1-RP2</t>
  </si>
  <si>
    <t>small scale</t>
  </si>
  <si>
    <t>S21505-2-B1-AEX1</t>
  </si>
  <si>
    <t>S21529-1-B1</t>
  </si>
  <si>
    <t>S21484-1A-B1-AEX1</t>
  </si>
  <si>
    <t>S21484-1Spre</t>
  </si>
  <si>
    <t>S21430-4-B1</t>
  </si>
  <si>
    <t>S21541-3-B1</t>
  </si>
  <si>
    <t>S21541-4-B1</t>
  </si>
  <si>
    <t>S21472-14pre-B1</t>
  </si>
  <si>
    <t>S21472-15pre-B1</t>
  </si>
  <si>
    <t>S21541-1-B1</t>
  </si>
  <si>
    <t>S21541-2-B1</t>
  </si>
  <si>
    <t>S21472-16pre-B1</t>
  </si>
  <si>
    <t>S21489-7A-B1</t>
  </si>
  <si>
    <t>15-85</t>
  </si>
  <si>
    <t>not enough, for BK, waiting B2</t>
  </si>
  <si>
    <t>BK: 145 OD</t>
  </si>
  <si>
    <t>S21530-1S-B1</t>
  </si>
  <si>
    <t>S21530-2S-B1</t>
  </si>
  <si>
    <t>S21541-5-B1</t>
  </si>
  <si>
    <t>S21541-6-B1</t>
  </si>
  <si>
    <t>S21541-7-B1</t>
  </si>
  <si>
    <t>S21541-8-B1</t>
  </si>
  <si>
    <t>S21472-17pre-B1</t>
  </si>
  <si>
    <t>S21472-18pre-B1</t>
  </si>
  <si>
    <t>S21546-2-B1</t>
  </si>
  <si>
    <t>S21546-1-B1</t>
  </si>
  <si>
    <t>S21530-1A-B1</t>
  </si>
  <si>
    <t>S21489-14-B2-AEX1</t>
  </si>
  <si>
    <t>S21530-2A-B1-AEX1</t>
  </si>
  <si>
    <t>S21472-14-B2</t>
  </si>
  <si>
    <t>S21577-3-B1</t>
  </si>
  <si>
    <t>S21577-2-B1</t>
  </si>
  <si>
    <t>S21541-1-B2</t>
  </si>
  <si>
    <t>S21489-9S</t>
  </si>
  <si>
    <t>S21489-8S</t>
  </si>
  <si>
    <t>20kPEG</t>
  </si>
  <si>
    <t>S21579-1</t>
  </si>
  <si>
    <t>S21472-15-B1</t>
  </si>
  <si>
    <t>S21472-16-B1</t>
  </si>
  <si>
    <t>S21472-17-B1-AEX1</t>
  </si>
  <si>
    <t>S21568/S21575/S21576-1A2A-B1</t>
  </si>
  <si>
    <t>15-65</t>
  </si>
  <si>
    <t>S21472-15-B2</t>
  </si>
  <si>
    <t>S21472-16-B2</t>
  </si>
  <si>
    <t>S21472-18-B1</t>
  </si>
  <si>
    <t>S21505-1-B1</t>
  </si>
  <si>
    <t>Cu2+</t>
  </si>
  <si>
    <t>20-65</t>
  </si>
  <si>
    <t>50mM TEAA+EDTA</t>
  </si>
  <si>
    <t>S21564-4A-B1</t>
  </si>
  <si>
    <t>S21564-5A-B1</t>
  </si>
  <si>
    <t>S21540-5-B1</t>
  </si>
  <si>
    <t>S21579-2-B1</t>
  </si>
  <si>
    <t>S21558-1S</t>
  </si>
  <si>
    <t>S21472-17-B2-AEX1</t>
  </si>
  <si>
    <t>S21558-1A-B1</t>
  </si>
  <si>
    <t>S21489-2Spre-B1</t>
  </si>
  <si>
    <t>S21489-23-B1</t>
  </si>
  <si>
    <t>S21569-1pre-B1-inj1</t>
  </si>
  <si>
    <t>S21569-1pre-B1-inj2</t>
  </si>
  <si>
    <t>S21553-13S14S15S-B1</t>
  </si>
  <si>
    <t>S21546-1-B2-DMT</t>
  </si>
  <si>
    <t>DMT</t>
  </si>
  <si>
    <t>S21595-1pre-B1</t>
  </si>
  <si>
    <t>S21546-2-B2</t>
  </si>
  <si>
    <t>PEG conjugation</t>
  </si>
  <si>
    <t>Low</t>
  </si>
  <si>
    <t>S21370-10-B1</t>
  </si>
  <si>
    <t>S21370-9-B1</t>
  </si>
  <si>
    <t>S21370-5-B1</t>
  </si>
  <si>
    <t>S21370-4-B1</t>
  </si>
  <si>
    <t>S21370-3-B1</t>
  </si>
  <si>
    <t>S21370-2-B1</t>
  </si>
  <si>
    <t>S21370-1-B1</t>
  </si>
  <si>
    <t>TBD</t>
  </si>
  <si>
    <t>GE11C conjugation</t>
  </si>
  <si>
    <t>Medium</t>
  </si>
  <si>
    <t>S21598-3-B1</t>
  </si>
  <si>
    <t>Thur 1/08 afternoon</t>
  </si>
  <si>
    <t>S21569-1pre-B1</t>
  </si>
  <si>
    <t>Mon 1/12 afternoon</t>
  </si>
  <si>
    <t>S21577-1-B1-DMT</t>
  </si>
  <si>
    <t>High</t>
  </si>
  <si>
    <t>Thur 1/08 morning</t>
  </si>
  <si>
    <t>S21540-4-B2-DMT</t>
  </si>
  <si>
    <t>Mon 1/12 morning</t>
  </si>
  <si>
    <t>S21489-24-B1</t>
  </si>
  <si>
    <t>S21489-23-B2</t>
  </si>
  <si>
    <t>S21489-22-B1</t>
  </si>
  <si>
    <t>S21489-21-B1</t>
  </si>
  <si>
    <t>S21489-20-B1</t>
  </si>
  <si>
    <t>S21489-19-B1</t>
  </si>
  <si>
    <t>S21489-17-B1</t>
  </si>
  <si>
    <t>S21489-14-B3</t>
  </si>
  <si>
    <t>C18 conjugation</t>
  </si>
  <si>
    <t>S21489-2S-B1</t>
  </si>
  <si>
    <t>Transferred?</t>
  </si>
  <si>
    <t>Expected transfer date</t>
  </si>
  <si>
    <t>Expected crude OD</t>
  </si>
  <si>
    <t>Mal-PEG3 conjugation, no purification</t>
  </si>
  <si>
    <t>Sequence (A-Z)</t>
  </si>
  <si>
    <t>S21546-1-B2-saltEX</t>
  </si>
  <si>
    <t>S21393-1-B1-combined recovery</t>
  </si>
  <si>
    <t>Minimize +70 to ~10% or less - try to avoid other adducts</t>
  </si>
  <si>
    <t>S21540-5-B2-DMT</t>
  </si>
  <si>
    <t>Tues 1/13 morning</t>
  </si>
  <si>
    <t>S21489-23-B3</t>
  </si>
  <si>
    <t>Backup - in case not enough OD</t>
  </si>
  <si>
    <t>S21569-1pre-B1-combined recovery</t>
  </si>
  <si>
    <t>WE COLLECTED THE WASTE AND DESALT IT AGAIN. WE RECOVER (71212) OD</t>
  </si>
  <si>
    <t>40kPEG</t>
  </si>
  <si>
    <t>20kARM</t>
  </si>
  <si>
    <t>5kARM</t>
  </si>
  <si>
    <t>GL4</t>
  </si>
  <si>
    <t>XY4</t>
  </si>
  <si>
    <t>S21489-20-B2</t>
  </si>
  <si>
    <t>Fri 1/16</t>
  </si>
  <si>
    <t>S21569-1-B1</t>
  </si>
  <si>
    <t>No purification - DS quickly to avoid hydrolyzed product</t>
  </si>
  <si>
    <t>Wed 1/14 morning</t>
  </si>
  <si>
    <t>5~45</t>
  </si>
  <si>
    <t>S21540-5-B2-NaEX</t>
  </si>
  <si>
    <t>S21477-2Spre1,10-14Spre1-B1</t>
  </si>
  <si>
    <t>R&amp;D - combine with other batches for one purification</t>
  </si>
  <si>
    <t>S21610-1-B1</t>
  </si>
  <si>
    <t>S21483-1S</t>
  </si>
  <si>
    <t>S21483-1A</t>
  </si>
  <si>
    <t>Low endo</t>
  </si>
  <si>
    <t>S21612-1-B1</t>
  </si>
  <si>
    <t>S21612-2-B1</t>
  </si>
  <si>
    <t>S21612-3Spre-B1</t>
  </si>
  <si>
    <t>S21612-3S-B1</t>
  </si>
  <si>
    <t>S21612-4Spre-B1</t>
  </si>
  <si>
    <t>S21612-4S-B1</t>
  </si>
  <si>
    <t>S21612-5Spre-B1</t>
  </si>
  <si>
    <t>S21612-5S-B1</t>
  </si>
  <si>
    <t>S21612-6Spre-B1</t>
  </si>
  <si>
    <t>S21612-6S-B1</t>
  </si>
  <si>
    <t>S21612-7Spre-B1</t>
  </si>
  <si>
    <t>S21612-7S-B1</t>
  </si>
  <si>
    <t>COOH-C18 conjugation</t>
  </si>
  <si>
    <t>25-75</t>
  </si>
  <si>
    <t>Expected crude OD calculation</t>
  </si>
  <si>
    <t>S21594-2S-B1</t>
  </si>
  <si>
    <t>15-25 = 120 OD/umol, 30-45 = 150 OD/umol</t>
  </si>
  <si>
    <t>50-60 = 200 OD/umol, 60-80 = 240 OD/umol</t>
  </si>
  <si>
    <t>Thur 1/15</t>
  </si>
  <si>
    <t>S21489-20-B3</t>
  </si>
  <si>
    <t>Transferred</t>
  </si>
  <si>
    <t>S21598-3-B3-DMT</t>
  </si>
  <si>
    <t>Thurs 1/22 morning</t>
  </si>
  <si>
    <t>Wed 1/21 morning</t>
  </si>
  <si>
    <t>Fri 1/23 morning</t>
  </si>
  <si>
    <t>Transfer to synthesis asap - don't wait for other sequences</t>
  </si>
  <si>
    <t>S21629-1C-B1</t>
  </si>
  <si>
    <t>S21629-1P-B1</t>
  </si>
  <si>
    <t>S21629-1P-pre1-B1</t>
  </si>
  <si>
    <t>S21629-1P-pre2-B1</t>
  </si>
  <si>
    <t>S21629-1S-B1</t>
  </si>
  <si>
    <t>S21629-2C-B1</t>
  </si>
  <si>
    <t>S21629-2P-B1</t>
  </si>
  <si>
    <t>S21629-2P-pre1-B1</t>
  </si>
  <si>
    <t>S21629-2P-pre2-B1</t>
  </si>
  <si>
    <t>S21629-2S-B1</t>
  </si>
  <si>
    <t>LNA</t>
  </si>
  <si>
    <t>S21569-1</t>
  </si>
  <si>
    <t>Note: We desalt the waste and got 5189.03 OD</t>
  </si>
  <si>
    <t>S21598-3-B3-NaEx-RE</t>
  </si>
  <si>
    <t>S21540-4-B2-NaEx</t>
  </si>
  <si>
    <t>S21577-1-B1-NaEx</t>
  </si>
  <si>
    <t>S21598-3-B3-NaEx</t>
  </si>
  <si>
    <t>S21598-3-B4</t>
  </si>
  <si>
    <t>5g</t>
  </si>
  <si>
    <t>10~40</t>
  </si>
  <si>
    <t>Tues 1/27 morning</t>
  </si>
  <si>
    <t>S21598-3-B2</t>
  </si>
  <si>
    <t>PN1</t>
  </si>
  <si>
    <t>S21635-1S-B1</t>
  </si>
  <si>
    <t>Tues 1/27 afternoon</t>
  </si>
  <si>
    <t>S21635-1-B1</t>
  </si>
  <si>
    <t>Wed 1/28 afternoon</t>
  </si>
  <si>
    <t>S21612-2-B1 redo</t>
  </si>
  <si>
    <t>S21640-A-B1</t>
  </si>
  <si>
    <t>Wed 1/28 morning</t>
  </si>
  <si>
    <t>TS</t>
  </si>
  <si>
    <t>S21647-1-B1</t>
  </si>
  <si>
    <t>S21370-6-B1</t>
  </si>
  <si>
    <t>S21370-8-B1</t>
  </si>
  <si>
    <t>S21371-1-B1</t>
  </si>
  <si>
    <t>S21371-2-B1</t>
  </si>
  <si>
    <t>Thur 1/29 morning</t>
  </si>
  <si>
    <t>S21612-6Spre-B1-AEX1</t>
  </si>
  <si>
    <t>S21629-1Ppre1-B1</t>
  </si>
  <si>
    <t>S21612-2-B2</t>
  </si>
  <si>
    <t>S21629-2Ppre1-B1</t>
  </si>
  <si>
    <t>S21640-1A-12A-B1</t>
  </si>
  <si>
    <t>transferred</t>
  </si>
  <si>
    <t>In Process</t>
  </si>
  <si>
    <t>medium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</si>
</sst>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##&quot; cm&quot;"/>
    <numFmt numFmtId="166" formatCode="0.00\ &quot; mg/OD&quot;"/>
    <numFmt numFmtId="167" formatCode="_(* #,##0_);_(* \(#,##0\);_(* &quot;-&quot;??_);_(@_)"/>
    <numFmt numFmtId="168" formatCode="_(* #,##0.0_);_(* \(#,##0.0\);_(* &quot;-&quot;??_);_(@_)"/>
    <numFmt numFmtId="169" formatCode="0.000"/>
    <numFmt numFmtId="170" formatCode="0.0%"/>
    <numFmt numFmtId="171" formatCode="m/d;@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3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b/>
      <sz val="10"/>
      <color rgb="FFC00000"/>
      <name val="Arial"/>
      <family val="2"/>
    </font>
    <font>
      <b/>
      <sz val="10"/>
      <color rgb="FF003366"/>
      <name val="Courier New"/>
      <family val="3"/>
    </font>
    <font>
      <sz val="11"/>
      <color rgb="FF0061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9EB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8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7" fillId="15" borderId="0" applyNumberFormat="0" applyBorder="0" applyAlignment="0" applyProtection="0"/>
  </cellStyleXfs>
  <cellXfs count="416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center"/>
      <protection hidden="1"/>
    </xf>
    <xf numFmtId="0" fontId="5" fillId="5" borderId="1" xfId="1" applyFont="1" applyFill="1" applyAlignment="1">
      <alignment horizontal="center" vertical="center"/>
    </xf>
    <xf numFmtId="164" fontId="6" fillId="3" borderId="2" xfId="2" applyNumberFormat="1" applyFont="1" applyAlignment="1" applyProtection="1">
      <alignment horizontal="center" vertical="center"/>
      <protection hidden="1"/>
    </xf>
    <xf numFmtId="164" fontId="2" fillId="2" borderId="1" xfId="1" applyNumberFormat="1" applyAlignment="1">
      <alignment horizontal="center" vertical="center"/>
    </xf>
    <xf numFmtId="1" fontId="2" fillId="2" borderId="3" xfId="1" applyNumberFormat="1" applyBorder="1" applyAlignment="1">
      <alignment horizontal="center" vertical="center"/>
    </xf>
    <xf numFmtId="1" fontId="6" fillId="3" borderId="2" xfId="2" applyNumberFormat="1" applyFont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1" fillId="6" borderId="0" xfId="0" applyFont="1" applyFill="1" applyAlignment="1" applyProtection="1">
      <alignment horizontal="center" vertical="center"/>
      <protection hidden="1"/>
    </xf>
    <xf numFmtId="0" fontId="5" fillId="5" borderId="4" xfId="1" applyFont="1" applyFill="1" applyBorder="1" applyAlignment="1">
      <alignment horizontal="center" vertical="center"/>
    </xf>
    <xf numFmtId="164" fontId="6" fillId="3" borderId="5" xfId="2" applyNumberFormat="1" applyFont="1" applyBorder="1" applyAlignment="1" applyProtection="1">
      <alignment horizontal="center" vertical="center"/>
      <protection hidden="1"/>
    </xf>
    <xf numFmtId="164" fontId="2" fillId="2" borderId="4" xfId="1" applyNumberFormat="1" applyBorder="1" applyAlignment="1">
      <alignment horizontal="center" vertical="center"/>
    </xf>
    <xf numFmtId="1" fontId="6" fillId="3" borderId="5" xfId="2" applyNumberFormat="1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left" vertical="center"/>
      <protection hidden="1"/>
    </xf>
    <xf numFmtId="0" fontId="5" fillId="5" borderId="11" xfId="1" applyFont="1" applyFill="1" applyBorder="1" applyAlignment="1">
      <alignment horizontal="center" vertical="center"/>
    </xf>
    <xf numFmtId="164" fontId="6" fillId="3" borderId="12" xfId="2" applyNumberFormat="1" applyFont="1" applyBorder="1" applyAlignment="1" applyProtection="1">
      <alignment horizontal="center" vertical="center"/>
      <protection hidden="1"/>
    </xf>
    <xf numFmtId="164" fontId="2" fillId="2" borderId="11" xfId="1" applyNumberFormat="1" applyBorder="1" applyAlignment="1">
      <alignment horizontal="center" vertical="center"/>
    </xf>
    <xf numFmtId="1" fontId="6" fillId="3" borderId="12" xfId="2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" fillId="5" borderId="3" xfId="1" applyFont="1" applyFill="1" applyBorder="1" applyAlignment="1">
      <alignment horizontal="center" vertical="center"/>
    </xf>
    <xf numFmtId="164" fontId="6" fillId="3" borderId="13" xfId="2" applyNumberFormat="1" applyFont="1" applyBorder="1" applyAlignment="1" applyProtection="1">
      <alignment horizontal="center" vertical="center"/>
      <protection hidden="1"/>
    </xf>
    <xf numFmtId="164" fontId="2" fillId="2" borderId="3" xfId="1" applyNumberFormat="1" applyBorder="1" applyAlignment="1">
      <alignment horizontal="center" vertical="center"/>
    </xf>
    <xf numFmtId="1" fontId="6" fillId="3" borderId="13" xfId="2" applyNumberFormat="1" applyFont="1" applyBorder="1" applyAlignment="1" applyProtection="1">
      <alignment horizontal="center" vertical="center"/>
      <protection hidden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 applyProtection="1">
      <alignment horizontal="center" vertical="center"/>
      <protection hidden="1"/>
    </xf>
    <xf numFmtId="1" fontId="2" fillId="2" borderId="1" xfId="1" applyNumberFormat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horizontal="left" vertical="center"/>
    </xf>
    <xf numFmtId="14" fontId="0" fillId="7" borderId="18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18" xfId="0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5" borderId="21" xfId="0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14" fontId="0" fillId="7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 applyProtection="1">
      <alignment horizontal="left" vertical="center"/>
      <protection hidden="1"/>
    </xf>
    <xf numFmtId="0" fontId="0" fillId="7" borderId="18" xfId="0" applyFill="1" applyBorder="1" applyAlignment="1" applyProtection="1">
      <alignment horizontal="left" vertical="center"/>
      <protection hidden="1"/>
    </xf>
    <xf numFmtId="0" fontId="0" fillId="0" borderId="22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22" xfId="0" applyBorder="1" applyAlignment="1" applyProtection="1">
      <alignment horizontal="left" vertical="center"/>
      <protection hidden="1"/>
    </xf>
    <xf numFmtId="0" fontId="0" fillId="0" borderId="0" xfId="0" applyAlignment="1">
      <alignment horizontal="center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28" xfId="0" applyBorder="1"/>
    <xf numFmtId="0" fontId="12" fillId="9" borderId="29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164" fontId="12" fillId="0" borderId="35" xfId="0" applyNumberFormat="1" applyFont="1" applyBorder="1" applyAlignment="1" applyProtection="1">
      <alignment horizontal="center" vertical="center" wrapText="1"/>
      <protection locked="0"/>
    </xf>
    <xf numFmtId="2" fontId="12" fillId="0" borderId="35" xfId="0" applyNumberFormat="1" applyFont="1" applyBorder="1" applyAlignment="1" applyProtection="1">
      <alignment horizontal="center" vertical="center" wrapText="1"/>
      <protection locked="0"/>
    </xf>
    <xf numFmtId="0" fontId="13" fillId="0" borderId="38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2" fontId="12" fillId="0" borderId="35" xfId="0" applyNumberFormat="1" applyFont="1" applyBorder="1" applyAlignment="1">
      <alignment horizontal="center" vertical="center" wrapText="1"/>
    </xf>
    <xf numFmtId="10" fontId="12" fillId="0" borderId="35" xfId="0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 wrapText="1"/>
    </xf>
    <xf numFmtId="1" fontId="12" fillId="0" borderId="36" xfId="0" applyNumberFormat="1" applyFont="1" applyBorder="1" applyAlignment="1">
      <alignment horizontal="center" vertical="center" wrapText="1"/>
    </xf>
    <xf numFmtId="2" fontId="12" fillId="0" borderId="36" xfId="0" applyNumberFormat="1" applyFont="1" applyBorder="1" applyAlignment="1" applyProtection="1">
      <alignment horizontal="center" vertical="center" wrapText="1"/>
      <protection locked="0"/>
    </xf>
    <xf numFmtId="166" fontId="12" fillId="0" borderId="39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0" fillId="0" borderId="26" xfId="0" applyBorder="1"/>
    <xf numFmtId="0" fontId="13" fillId="0" borderId="26" xfId="0" applyFont="1" applyBorder="1" applyAlignment="1">
      <alignment horizontal="center" vertical="center" wrapText="1"/>
    </xf>
    <xf numFmtId="166" fontId="12" fillId="0" borderId="44" xfId="0" applyNumberFormat="1" applyFont="1" applyBorder="1" applyAlignment="1">
      <alignment horizontal="center" vertical="center" wrapText="1"/>
    </xf>
    <xf numFmtId="0" fontId="1" fillId="0" borderId="0" xfId="0" applyFont="1"/>
    <xf numFmtId="0" fontId="12" fillId="9" borderId="4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 vertical="center"/>
    </xf>
    <xf numFmtId="0" fontId="12" fillId="9" borderId="46" xfId="0" applyFont="1" applyFill="1" applyBorder="1" applyAlignment="1">
      <alignment horizontal="center" vertical="center" wrapText="1"/>
    </xf>
    <xf numFmtId="0" fontId="12" fillId="9" borderId="47" xfId="0" applyFont="1" applyFill="1" applyBorder="1" applyAlignment="1">
      <alignment horizontal="center" vertical="center" wrapText="1"/>
    </xf>
    <xf numFmtId="0" fontId="1" fillId="9" borderId="47" xfId="0" applyFont="1" applyFill="1" applyBorder="1" applyAlignment="1">
      <alignment horizontal="center" vertical="center" wrapText="1"/>
    </xf>
    <xf numFmtId="0" fontId="12" fillId="9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2" fontId="13" fillId="0" borderId="37" xfId="0" applyNumberFormat="1" applyFont="1" applyBorder="1" applyAlignment="1" applyProtection="1">
      <alignment horizontal="center" vertical="center"/>
      <protection locked="0"/>
    </xf>
    <xf numFmtId="1" fontId="0" fillId="0" borderId="35" xfId="0" applyNumberFormat="1" applyBorder="1" applyAlignment="1" applyProtection="1">
      <alignment horizontal="center" vertical="center"/>
      <protection locked="0"/>
    </xf>
    <xf numFmtId="167" fontId="0" fillId="0" borderId="35" xfId="3" applyNumberFormat="1" applyFont="1" applyBorder="1" applyAlignment="1">
      <alignment horizontal="center" vertical="center"/>
    </xf>
    <xf numFmtId="2" fontId="0" fillId="0" borderId="35" xfId="0" applyNumberFormat="1" applyBorder="1" applyAlignment="1" applyProtection="1">
      <alignment horizontal="center" vertical="center"/>
      <protection locked="0"/>
    </xf>
    <xf numFmtId="43" fontId="0" fillId="0" borderId="36" xfId="3" applyFont="1" applyBorder="1" applyAlignment="1">
      <alignment horizontal="center" vertical="center"/>
    </xf>
    <xf numFmtId="164" fontId="13" fillId="0" borderId="0" xfId="0" applyNumberFormat="1" applyFont="1" applyAlignment="1" applyProtection="1">
      <alignment horizontal="center" vertical="center"/>
      <protection locked="0"/>
    </xf>
    <xf numFmtId="168" fontId="13" fillId="0" borderId="0" xfId="3" applyNumberFormat="1" applyFont="1" applyAlignment="1">
      <alignment horizontal="center" vertical="center"/>
    </xf>
    <xf numFmtId="43" fontId="0" fillId="0" borderId="52" xfId="3" applyFont="1" applyBorder="1" applyAlignment="1">
      <alignment horizontal="center" vertical="center"/>
    </xf>
    <xf numFmtId="167" fontId="13" fillId="0" borderId="53" xfId="3" applyNumberFormat="1" applyFont="1" applyBorder="1" applyAlignment="1">
      <alignment horizontal="center" vertical="center"/>
    </xf>
    <xf numFmtId="167" fontId="0" fillId="0" borderId="54" xfId="0" applyNumberFormat="1" applyBorder="1"/>
    <xf numFmtId="0" fontId="13" fillId="0" borderId="51" xfId="0" applyFont="1" applyBorder="1" applyAlignment="1" applyProtection="1">
      <alignment horizontal="center" vertical="center"/>
      <protection locked="0"/>
    </xf>
    <xf numFmtId="0" fontId="13" fillId="0" borderId="55" xfId="0" applyFont="1" applyBorder="1" applyAlignment="1" applyProtection="1">
      <alignment horizontal="center" vertical="center"/>
      <protection locked="0"/>
    </xf>
    <xf numFmtId="2" fontId="13" fillId="0" borderId="37" xfId="0" applyNumberFormat="1" applyFont="1" applyBorder="1" applyAlignment="1" applyProtection="1">
      <alignment horizontal="center" vertical="center" wrapText="1"/>
      <protection locked="0"/>
    </xf>
    <xf numFmtId="164" fontId="13" fillId="0" borderId="35" xfId="0" applyNumberFormat="1" applyFont="1" applyBorder="1" applyAlignment="1" applyProtection="1">
      <alignment horizontal="center" vertical="center"/>
      <protection locked="0"/>
    </xf>
    <xf numFmtId="0" fontId="0" fillId="0" borderId="54" xfId="0" applyBorder="1"/>
    <xf numFmtId="0" fontId="13" fillId="0" borderId="55" xfId="0" applyFont="1" applyBorder="1" applyAlignment="1">
      <alignment horizontal="center" vertical="center"/>
    </xf>
    <xf numFmtId="1" fontId="0" fillId="0" borderId="0" xfId="0" applyNumberFormat="1"/>
    <xf numFmtId="1" fontId="0" fillId="0" borderId="54" xfId="0" applyNumberFormat="1" applyBorder="1"/>
    <xf numFmtId="167" fontId="13" fillId="0" borderId="35" xfId="3" applyNumberFormat="1" applyFont="1" applyBorder="1" applyAlignment="1">
      <alignment horizontal="center" vertical="center"/>
    </xf>
    <xf numFmtId="43" fontId="0" fillId="0" borderId="35" xfId="3" applyFont="1" applyBorder="1" applyAlignment="1">
      <alignment horizontal="center" vertical="center"/>
    </xf>
    <xf numFmtId="43" fontId="13" fillId="0" borderId="39" xfId="3" applyFont="1" applyBorder="1" applyAlignment="1">
      <alignment horizontal="center" vertical="center"/>
    </xf>
    <xf numFmtId="43" fontId="13" fillId="0" borderId="52" xfId="3" applyFont="1" applyBorder="1" applyAlignment="1">
      <alignment horizontal="center" vertical="center"/>
    </xf>
    <xf numFmtId="1" fontId="0" fillId="0" borderId="37" xfId="0" applyNumberFormat="1" applyBorder="1" applyAlignment="1" applyProtection="1">
      <alignment horizontal="center" vertical="center"/>
      <protection locked="0"/>
    </xf>
    <xf numFmtId="164" fontId="13" fillId="0" borderId="46" xfId="0" applyNumberFormat="1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 applyProtection="1">
      <alignment horizontal="center" vertical="center"/>
      <protection locked="0"/>
    </xf>
    <xf numFmtId="2" fontId="13" fillId="0" borderId="35" xfId="0" applyNumberFormat="1" applyFont="1" applyBorder="1" applyAlignment="1" applyProtection="1">
      <alignment horizontal="center" vertical="center"/>
      <protection locked="0"/>
    </xf>
    <xf numFmtId="0" fontId="13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9" fontId="13" fillId="0" borderId="57" xfId="0" applyNumberFormat="1" applyFont="1" applyBorder="1" applyAlignment="1">
      <alignment horizontal="center" vertical="center" wrapText="1"/>
    </xf>
    <xf numFmtId="1" fontId="0" fillId="0" borderId="57" xfId="0" applyNumberForma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2" fontId="13" fillId="0" borderId="57" xfId="0" applyNumberFormat="1" applyFont="1" applyBorder="1" applyAlignment="1">
      <alignment horizontal="center" vertical="center"/>
    </xf>
    <xf numFmtId="164" fontId="13" fillId="0" borderId="57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1" fontId="12" fillId="9" borderId="61" xfId="0" applyNumberFormat="1" applyFont="1" applyFill="1" applyBorder="1" applyAlignment="1">
      <alignment horizontal="center" vertical="center"/>
    </xf>
    <xf numFmtId="0" fontId="12" fillId="9" borderId="62" xfId="0" applyFont="1" applyFill="1" applyBorder="1" applyAlignment="1">
      <alignment horizontal="center" vertical="center"/>
    </xf>
    <xf numFmtId="0" fontId="12" fillId="9" borderId="62" xfId="0" applyFont="1" applyFill="1" applyBorder="1" applyAlignment="1">
      <alignment horizontal="center" vertical="center" wrapText="1"/>
    </xf>
    <xf numFmtId="0" fontId="1" fillId="9" borderId="62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3" fontId="0" fillId="0" borderId="35" xfId="3" applyNumberFormat="1" applyFont="1" applyBorder="1" applyAlignment="1">
      <alignment horizontal="center" vertical="center"/>
    </xf>
    <xf numFmtId="4" fontId="13" fillId="0" borderId="35" xfId="3" applyNumberFormat="1" applyFont="1" applyBorder="1" applyAlignment="1">
      <alignment horizontal="center" vertical="center"/>
    </xf>
    <xf numFmtId="10" fontId="13" fillId="0" borderId="35" xfId="4" applyNumberFormat="1" applyFont="1" applyBorder="1" applyAlignment="1">
      <alignment horizontal="center" vertical="center"/>
    </xf>
    <xf numFmtId="3" fontId="13" fillId="0" borderId="35" xfId="3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3" fontId="13" fillId="10" borderId="35" xfId="3" applyNumberFormat="1" applyFont="1" applyFill="1" applyBorder="1" applyAlignment="1">
      <alignment horizontal="center" vertical="center"/>
    </xf>
    <xf numFmtId="4" fontId="13" fillId="10" borderId="35" xfId="3" applyNumberFormat="1" applyFont="1" applyFill="1" applyBorder="1" applyAlignment="1">
      <alignment horizontal="center" vertical="center"/>
    </xf>
    <xf numFmtId="10" fontId="13" fillId="10" borderId="35" xfId="4" applyNumberFormat="1" applyFont="1" applyFill="1" applyBorder="1" applyAlignment="1">
      <alignment horizontal="center" vertical="center"/>
    </xf>
    <xf numFmtId="2" fontId="13" fillId="10" borderId="35" xfId="0" applyNumberFormat="1" applyFont="1" applyFill="1" applyBorder="1" applyAlignment="1">
      <alignment horizontal="center" vertical="center"/>
    </xf>
    <xf numFmtId="170" fontId="0" fillId="10" borderId="38" xfId="4" applyNumberFormat="1" applyFont="1" applyFill="1" applyBorder="1" applyAlignment="1">
      <alignment horizontal="center" vertical="center"/>
    </xf>
    <xf numFmtId="170" fontId="13" fillId="10" borderId="35" xfId="4" applyNumberFormat="1" applyFont="1" applyFill="1" applyBorder="1" applyAlignment="1">
      <alignment horizontal="center" vertical="center"/>
    </xf>
    <xf numFmtId="169" fontId="13" fillId="10" borderId="39" xfId="0" applyNumberFormat="1" applyFont="1" applyFill="1" applyBorder="1" applyAlignment="1">
      <alignment horizontal="center" vertical="center"/>
    </xf>
    <xf numFmtId="1" fontId="13" fillId="10" borderId="35" xfId="0" applyNumberFormat="1" applyFont="1" applyFill="1" applyBorder="1" applyAlignment="1">
      <alignment horizontal="center" vertical="center"/>
    </xf>
    <xf numFmtId="3" fontId="13" fillId="10" borderId="35" xfId="3" applyNumberFormat="1" applyFont="1" applyFill="1" applyBorder="1" applyAlignment="1" applyProtection="1">
      <alignment horizontal="center" vertical="center"/>
      <protection locked="0"/>
    </xf>
    <xf numFmtId="10" fontId="13" fillId="10" borderId="35" xfId="4" applyNumberFormat="1" applyFont="1" applyFill="1" applyBorder="1" applyAlignment="1" applyProtection="1">
      <alignment horizontal="center" vertical="center"/>
      <protection locked="0"/>
    </xf>
    <xf numFmtId="0" fontId="13" fillId="9" borderId="34" xfId="0" applyFont="1" applyFill="1" applyBorder="1" applyAlignment="1">
      <alignment horizontal="center" vertical="center"/>
    </xf>
    <xf numFmtId="0" fontId="13" fillId="9" borderId="35" xfId="0" applyFont="1" applyFill="1" applyBorder="1" applyAlignment="1">
      <alignment horizontal="center" vertical="center"/>
    </xf>
    <xf numFmtId="3" fontId="13" fillId="9" borderId="35" xfId="3" applyNumberFormat="1" applyFont="1" applyFill="1" applyBorder="1" applyAlignment="1">
      <alignment horizontal="center" vertical="center"/>
    </xf>
    <xf numFmtId="4" fontId="13" fillId="9" borderId="35" xfId="3" applyNumberFormat="1" applyFont="1" applyFill="1" applyBorder="1" applyAlignment="1">
      <alignment horizontal="center" vertical="center"/>
    </xf>
    <xf numFmtId="10" fontId="13" fillId="9" borderId="35" xfId="4" applyNumberFormat="1" applyFont="1" applyFill="1" applyBorder="1" applyAlignment="1">
      <alignment horizontal="center" vertical="center"/>
    </xf>
    <xf numFmtId="2" fontId="13" fillId="9" borderId="35" xfId="0" applyNumberFormat="1" applyFont="1" applyFill="1" applyBorder="1" applyAlignment="1">
      <alignment horizontal="center" vertical="center"/>
    </xf>
    <xf numFmtId="170" fontId="0" fillId="9" borderId="38" xfId="4" applyNumberFormat="1" applyFont="1" applyFill="1" applyBorder="1" applyAlignment="1">
      <alignment horizontal="center" vertical="center"/>
    </xf>
    <xf numFmtId="170" fontId="13" fillId="9" borderId="35" xfId="4" applyNumberFormat="1" applyFont="1" applyFill="1" applyBorder="1" applyAlignment="1">
      <alignment horizontal="center" vertical="center"/>
    </xf>
    <xf numFmtId="169" fontId="13" fillId="9" borderId="39" xfId="0" applyNumberFormat="1" applyFont="1" applyFill="1" applyBorder="1" applyAlignment="1">
      <alignment horizontal="center" vertical="center"/>
    </xf>
    <xf numFmtId="3" fontId="13" fillId="9" borderId="35" xfId="3" applyNumberFormat="1" applyFont="1" applyFill="1" applyBorder="1" applyAlignment="1" applyProtection="1">
      <alignment horizontal="center" vertical="center"/>
      <protection locked="0"/>
    </xf>
    <xf numFmtId="10" fontId="13" fillId="9" borderId="35" xfId="4" applyNumberFormat="1" applyFont="1" applyFill="1" applyBorder="1" applyAlignment="1" applyProtection="1">
      <alignment horizontal="center" vertical="center"/>
      <protection locked="0"/>
    </xf>
    <xf numFmtId="0" fontId="13" fillId="11" borderId="34" xfId="0" applyFont="1" applyFill="1" applyBorder="1" applyAlignment="1">
      <alignment horizontal="center" vertical="center"/>
    </xf>
    <xf numFmtId="0" fontId="13" fillId="11" borderId="35" xfId="0" applyFont="1" applyFill="1" applyBorder="1" applyAlignment="1">
      <alignment horizontal="center" vertical="center"/>
    </xf>
    <xf numFmtId="3" fontId="13" fillId="11" borderId="35" xfId="3" applyNumberFormat="1" applyFont="1" applyFill="1" applyBorder="1" applyAlignment="1">
      <alignment horizontal="center" vertical="center"/>
    </xf>
    <xf numFmtId="4" fontId="13" fillId="11" borderId="35" xfId="3" applyNumberFormat="1" applyFont="1" applyFill="1" applyBorder="1" applyAlignment="1">
      <alignment horizontal="center" vertical="center"/>
    </xf>
    <xf numFmtId="10" fontId="13" fillId="11" borderId="35" xfId="4" applyNumberFormat="1" applyFont="1" applyFill="1" applyBorder="1" applyAlignment="1">
      <alignment horizontal="center" vertical="center"/>
    </xf>
    <xf numFmtId="2" fontId="13" fillId="11" borderId="35" xfId="0" applyNumberFormat="1" applyFont="1" applyFill="1" applyBorder="1" applyAlignment="1">
      <alignment horizontal="center" vertical="center"/>
    </xf>
    <xf numFmtId="170" fontId="0" fillId="11" borderId="38" xfId="4" applyNumberFormat="1" applyFont="1" applyFill="1" applyBorder="1" applyAlignment="1">
      <alignment horizontal="center" vertical="center"/>
    </xf>
    <xf numFmtId="170" fontId="13" fillId="11" borderId="35" xfId="4" applyNumberFormat="1" applyFont="1" applyFill="1" applyBorder="1" applyAlignment="1">
      <alignment horizontal="center" vertical="center"/>
    </xf>
    <xf numFmtId="169" fontId="13" fillId="11" borderId="39" xfId="0" applyNumberFormat="1" applyFont="1" applyFill="1" applyBorder="1" applyAlignment="1">
      <alignment horizontal="center" vertical="center"/>
    </xf>
    <xf numFmtId="3" fontId="13" fillId="11" borderId="35" xfId="3" applyNumberFormat="1" applyFont="1" applyFill="1" applyBorder="1" applyAlignment="1" applyProtection="1">
      <alignment horizontal="center" vertical="center"/>
      <protection locked="0"/>
    </xf>
    <xf numFmtId="10" fontId="13" fillId="11" borderId="35" xfId="4" applyNumberFormat="1" applyFont="1" applyFill="1" applyBorder="1" applyAlignment="1" applyProtection="1">
      <alignment horizontal="center" vertical="center"/>
      <protection locked="0"/>
    </xf>
    <xf numFmtId="0" fontId="13" fillId="12" borderId="64" xfId="0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center" vertical="center"/>
    </xf>
    <xf numFmtId="3" fontId="13" fillId="12" borderId="38" xfId="3" applyNumberFormat="1" applyFont="1" applyFill="1" applyBorder="1" applyAlignment="1">
      <alignment horizontal="center" vertical="center"/>
    </xf>
    <xf numFmtId="4" fontId="13" fillId="12" borderId="38" xfId="3" applyNumberFormat="1" applyFont="1" applyFill="1" applyBorder="1" applyAlignment="1">
      <alignment horizontal="center" vertical="center"/>
    </xf>
    <xf numFmtId="10" fontId="13" fillId="12" borderId="38" xfId="4" applyNumberFormat="1" applyFont="1" applyFill="1" applyBorder="1" applyAlignment="1">
      <alignment horizontal="center" vertical="center"/>
    </xf>
    <xf numFmtId="2" fontId="13" fillId="12" borderId="35" xfId="0" applyNumberFormat="1" applyFont="1" applyFill="1" applyBorder="1" applyAlignment="1">
      <alignment horizontal="center" vertical="center"/>
    </xf>
    <xf numFmtId="170" fontId="0" fillId="12" borderId="38" xfId="4" applyNumberFormat="1" applyFont="1" applyFill="1" applyBorder="1" applyAlignment="1">
      <alignment horizontal="center" vertical="center"/>
    </xf>
    <xf numFmtId="170" fontId="13" fillId="12" borderId="35" xfId="4" applyNumberFormat="1" applyFont="1" applyFill="1" applyBorder="1" applyAlignment="1">
      <alignment horizontal="center" vertical="center"/>
    </xf>
    <xf numFmtId="169" fontId="13" fillId="12" borderId="65" xfId="0" applyNumberFormat="1" applyFont="1" applyFill="1" applyBorder="1" applyAlignment="1">
      <alignment horizontal="center" vertical="center"/>
    </xf>
    <xf numFmtId="3" fontId="13" fillId="12" borderId="38" xfId="3" applyNumberFormat="1" applyFont="1" applyFill="1" applyBorder="1" applyAlignment="1" applyProtection="1">
      <alignment horizontal="center" vertical="center"/>
      <protection locked="0"/>
    </xf>
    <xf numFmtId="10" fontId="13" fillId="12" borderId="38" xfId="4" applyNumberFormat="1" applyFont="1" applyFill="1" applyBorder="1" applyAlignment="1" applyProtection="1">
      <alignment horizontal="center" vertical="center"/>
      <protection locked="0"/>
    </xf>
    <xf numFmtId="169" fontId="13" fillId="12" borderId="63" xfId="0" applyNumberFormat="1" applyFont="1" applyFill="1" applyBorder="1" applyAlignment="1">
      <alignment horizontal="center" vertical="center"/>
    </xf>
    <xf numFmtId="0" fontId="13" fillId="13" borderId="64" xfId="0" applyFont="1" applyFill="1" applyBorder="1" applyAlignment="1">
      <alignment horizontal="center" vertical="center"/>
    </xf>
    <xf numFmtId="0" fontId="13" fillId="13" borderId="38" xfId="0" applyFont="1" applyFill="1" applyBorder="1" applyAlignment="1">
      <alignment horizontal="center" vertical="center"/>
    </xf>
    <xf numFmtId="3" fontId="13" fillId="13" borderId="38" xfId="3" applyNumberFormat="1" applyFont="1" applyFill="1" applyBorder="1" applyAlignment="1">
      <alignment horizontal="center" vertical="center"/>
    </xf>
    <xf numFmtId="4" fontId="13" fillId="13" borderId="38" xfId="3" applyNumberFormat="1" applyFont="1" applyFill="1" applyBorder="1" applyAlignment="1">
      <alignment horizontal="center" vertical="center"/>
    </xf>
    <xf numFmtId="10" fontId="13" fillId="13" borderId="38" xfId="4" applyNumberFormat="1" applyFont="1" applyFill="1" applyBorder="1" applyAlignment="1">
      <alignment horizontal="center" vertical="center"/>
    </xf>
    <xf numFmtId="3" fontId="13" fillId="13" borderId="35" xfId="3" applyNumberFormat="1" applyFont="1" applyFill="1" applyBorder="1" applyAlignment="1">
      <alignment horizontal="center" vertical="center"/>
    </xf>
    <xf numFmtId="2" fontId="13" fillId="13" borderId="35" xfId="0" applyNumberFormat="1" applyFont="1" applyFill="1" applyBorder="1" applyAlignment="1">
      <alignment horizontal="center" vertical="center"/>
    </xf>
    <xf numFmtId="170" fontId="0" fillId="13" borderId="38" xfId="4" applyNumberFormat="1" applyFont="1" applyFill="1" applyBorder="1" applyAlignment="1">
      <alignment horizontal="center" vertical="center"/>
    </xf>
    <xf numFmtId="170" fontId="13" fillId="13" borderId="35" xfId="4" applyNumberFormat="1" applyFont="1" applyFill="1" applyBorder="1" applyAlignment="1">
      <alignment horizontal="center" vertical="center"/>
    </xf>
    <xf numFmtId="169" fontId="13" fillId="13" borderId="65" xfId="0" applyNumberFormat="1" applyFont="1" applyFill="1" applyBorder="1" applyAlignment="1">
      <alignment horizontal="center" vertical="center"/>
    </xf>
    <xf numFmtId="3" fontId="13" fillId="13" borderId="38" xfId="3" applyNumberFormat="1" applyFont="1" applyFill="1" applyBorder="1" applyAlignment="1" applyProtection="1">
      <alignment horizontal="center" vertical="center"/>
      <protection locked="0"/>
    </xf>
    <xf numFmtId="10" fontId="13" fillId="13" borderId="38" xfId="4" applyNumberFormat="1" applyFont="1" applyFill="1" applyBorder="1" applyAlignment="1" applyProtection="1">
      <alignment horizontal="center" vertical="center"/>
      <protection locked="0"/>
    </xf>
    <xf numFmtId="169" fontId="13" fillId="13" borderId="63" xfId="0" applyNumberFormat="1" applyFont="1" applyFill="1" applyBorder="1" applyAlignment="1">
      <alignment horizontal="center" vertical="center"/>
    </xf>
    <xf numFmtId="0" fontId="13" fillId="14" borderId="64" xfId="0" applyFont="1" applyFill="1" applyBorder="1" applyAlignment="1">
      <alignment horizontal="center" vertical="center"/>
    </xf>
    <xf numFmtId="0" fontId="13" fillId="14" borderId="38" xfId="0" applyFont="1" applyFill="1" applyBorder="1" applyAlignment="1">
      <alignment horizontal="center" vertical="center"/>
    </xf>
    <xf numFmtId="3" fontId="13" fillId="14" borderId="38" xfId="3" applyNumberFormat="1" applyFont="1" applyFill="1" applyBorder="1" applyAlignment="1">
      <alignment horizontal="center" vertical="center"/>
    </xf>
    <xf numFmtId="4" fontId="13" fillId="14" borderId="38" xfId="3" applyNumberFormat="1" applyFont="1" applyFill="1" applyBorder="1" applyAlignment="1">
      <alignment horizontal="center" vertical="center"/>
    </xf>
    <xf numFmtId="10" fontId="13" fillId="14" borderId="38" xfId="4" applyNumberFormat="1" applyFont="1" applyFill="1" applyBorder="1" applyAlignment="1">
      <alignment horizontal="center" vertical="center"/>
    </xf>
    <xf numFmtId="3" fontId="13" fillId="14" borderId="35" xfId="3" applyNumberFormat="1" applyFont="1" applyFill="1" applyBorder="1" applyAlignment="1">
      <alignment horizontal="center" vertical="center"/>
    </xf>
    <xf numFmtId="2" fontId="13" fillId="14" borderId="35" xfId="0" applyNumberFormat="1" applyFont="1" applyFill="1" applyBorder="1" applyAlignment="1">
      <alignment horizontal="center" vertical="center"/>
    </xf>
    <xf numFmtId="170" fontId="0" fillId="14" borderId="38" xfId="4" applyNumberFormat="1" applyFont="1" applyFill="1" applyBorder="1" applyAlignment="1">
      <alignment horizontal="center" vertical="center"/>
    </xf>
    <xf numFmtId="170" fontId="13" fillId="14" borderId="35" xfId="4" applyNumberFormat="1" applyFont="1" applyFill="1" applyBorder="1" applyAlignment="1">
      <alignment horizontal="center" vertical="center"/>
    </xf>
    <xf numFmtId="169" fontId="13" fillId="14" borderId="65" xfId="0" applyNumberFormat="1" applyFont="1" applyFill="1" applyBorder="1" applyAlignment="1">
      <alignment horizontal="center" vertical="center"/>
    </xf>
    <xf numFmtId="3" fontId="13" fillId="14" borderId="38" xfId="3" applyNumberFormat="1" applyFont="1" applyFill="1" applyBorder="1" applyAlignment="1" applyProtection="1">
      <alignment horizontal="center" vertical="center"/>
      <protection locked="0"/>
    </xf>
    <xf numFmtId="10" fontId="13" fillId="14" borderId="38" xfId="4" applyNumberFormat="1" applyFont="1" applyFill="1" applyBorder="1" applyAlignment="1" applyProtection="1">
      <alignment horizontal="center" vertical="center"/>
      <protection locked="0"/>
    </xf>
    <xf numFmtId="4" fontId="13" fillId="14" borderId="35" xfId="3" applyNumberFormat="1" applyFont="1" applyFill="1" applyBorder="1" applyAlignment="1">
      <alignment horizontal="center" vertical="center"/>
    </xf>
    <xf numFmtId="169" fontId="13" fillId="14" borderId="63" xfId="0" applyNumberFormat="1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1" fontId="13" fillId="0" borderId="66" xfId="0" applyNumberFormat="1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16" borderId="70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0" fillId="16" borderId="70" xfId="0" applyFill="1" applyBorder="1" applyAlignment="1">
      <alignment horizontal="center" vertical="center"/>
    </xf>
    <xf numFmtId="14" fontId="0" fillId="16" borderId="14" xfId="0" applyNumberFormat="1" applyFill="1" applyBorder="1" applyAlignment="1">
      <alignment horizontal="center" vertical="center"/>
    </xf>
    <xf numFmtId="0" fontId="0" fillId="16" borderId="14" xfId="0" applyFill="1" applyBorder="1" applyAlignment="1" applyProtection="1">
      <alignment horizontal="center" vertical="center"/>
      <protection hidden="1"/>
    </xf>
    <xf numFmtId="0" fontId="0" fillId="16" borderId="70" xfId="0" applyFill="1" applyBorder="1"/>
    <xf numFmtId="0" fontId="0" fillId="16" borderId="14" xfId="0" applyFill="1" applyBorder="1" applyAlignment="1">
      <alignment horizontal="center" vertical="center"/>
    </xf>
    <xf numFmtId="0" fontId="0" fillId="16" borderId="14" xfId="0" applyFill="1" applyBorder="1"/>
    <xf numFmtId="14" fontId="0" fillId="0" borderId="24" xfId="0" applyNumberFormat="1" applyBorder="1" applyAlignment="1">
      <alignment horizontal="center" vertical="center"/>
    </xf>
    <xf numFmtId="164" fontId="6" fillId="18" borderId="2" xfId="2" applyNumberFormat="1" applyFont="1" applyFill="1" applyAlignment="1" applyProtection="1">
      <alignment horizontal="center" vertical="center"/>
      <protection hidden="1"/>
    </xf>
    <xf numFmtId="164" fontId="6" fillId="18" borderId="5" xfId="2" applyNumberFormat="1" applyFont="1" applyFill="1" applyBorder="1" applyAlignment="1" applyProtection="1">
      <alignment horizontal="center" vertical="center"/>
      <protection hidden="1"/>
    </xf>
    <xf numFmtId="164" fontId="6" fillId="18" borderId="12" xfId="2" applyNumberFormat="1" applyFont="1" applyFill="1" applyBorder="1" applyAlignment="1" applyProtection="1">
      <alignment horizontal="center" vertical="center"/>
      <protection hidden="1"/>
    </xf>
    <xf numFmtId="164" fontId="6" fillId="18" borderId="13" xfId="2" applyNumberFormat="1" applyFont="1" applyFill="1" applyBorder="1" applyAlignment="1" applyProtection="1">
      <alignment horizontal="center" vertical="center"/>
      <protection hidden="1"/>
    </xf>
    <xf numFmtId="0" fontId="1" fillId="0" borderId="71" xfId="0" applyFont="1" applyBorder="1" applyAlignment="1">
      <alignment horizontal="center" vertical="center"/>
    </xf>
    <xf numFmtId="1" fontId="2" fillId="2" borderId="9" xfId="1" applyNumberFormat="1" applyBorder="1" applyAlignment="1">
      <alignment horizontal="center" vertical="center"/>
    </xf>
    <xf numFmtId="0" fontId="4" fillId="19" borderId="0" xfId="0" applyFont="1" applyFill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left" vertical="center"/>
      <protection hidden="1"/>
    </xf>
    <xf numFmtId="0" fontId="0" fillId="7" borderId="20" xfId="0" applyFill="1" applyBorder="1" applyAlignment="1">
      <alignment horizontal="left" vertical="center"/>
    </xf>
    <xf numFmtId="14" fontId="0" fillId="7" borderId="20" xfId="0" applyNumberForma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14" fontId="0" fillId="0" borderId="0" xfId="0" quotePrefix="1" applyNumberFormat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Border="1" applyAlignment="1">
      <alignment horizontal="left" vertical="center"/>
    </xf>
    <xf numFmtId="169" fontId="1" fillId="16" borderId="6" xfId="0" applyNumberFormat="1" applyFont="1" applyFill="1" applyBorder="1" applyAlignment="1">
      <alignment horizontal="center" vertical="center"/>
    </xf>
    <xf numFmtId="169" fontId="0" fillId="16" borderId="6" xfId="0" applyNumberFormat="1" applyFill="1" applyBorder="1"/>
    <xf numFmtId="169" fontId="0" fillId="16" borderId="6" xfId="0" applyNumberFormat="1" applyFill="1" applyBorder="1" applyAlignment="1">
      <alignment horizontal="center" vertical="center"/>
    </xf>
    <xf numFmtId="169" fontId="0" fillId="16" borderId="6" xfId="0" applyNumberFormat="1" applyFill="1" applyBorder="1" applyAlignment="1" applyProtection="1">
      <alignment horizontal="center" vertical="center"/>
      <protection hidden="1"/>
    </xf>
    <xf numFmtId="0" fontId="5" fillId="17" borderId="0" xfId="7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4" fillId="0" borderId="0" xfId="0" applyFont="1" applyAlignment="1" applyProtection="1">
      <alignment horizontal="center" vertical="center"/>
      <protection hidden="1"/>
    </xf>
    <xf numFmtId="0" fontId="0" fillId="16" borderId="75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9" fontId="0" fillId="0" borderId="6" xfId="0" applyNumberFormat="1" applyBorder="1"/>
    <xf numFmtId="169" fontId="0" fillId="0" borderId="6" xfId="0" applyNumberFormat="1" applyBorder="1" applyAlignment="1">
      <alignment horizontal="center" vertical="center"/>
    </xf>
    <xf numFmtId="169" fontId="0" fillId="0" borderId="6" xfId="0" applyNumberFormat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70" xfId="0" applyBorder="1"/>
    <xf numFmtId="0" fontId="0" fillId="5" borderId="24" xfId="0" applyFill="1" applyBorder="1" applyAlignment="1">
      <alignment horizontal="center" vertical="center"/>
    </xf>
    <xf numFmtId="14" fontId="5" fillId="5" borderId="1" xfId="1" applyNumberFormat="1" applyFont="1" applyFill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164" fontId="0" fillId="0" borderId="24" xfId="0" applyNumberForma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 wrapText="1"/>
      <protection hidden="1"/>
    </xf>
    <xf numFmtId="49" fontId="0" fillId="21" borderId="0" xfId="0" applyNumberFormat="1" applyFill="1" applyAlignment="1" applyProtection="1">
      <alignment horizontal="left" vertical="center"/>
      <protection hidden="1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9" xfId="0" applyFill="1" applyBorder="1" applyAlignment="1">
      <alignment vertical="center"/>
    </xf>
    <xf numFmtId="0" fontId="0" fillId="7" borderId="9" xfId="0" applyFill="1" applyBorder="1" applyAlignment="1" applyProtection="1">
      <alignment horizontal="left" vertical="center"/>
      <protection hidden="1"/>
    </xf>
    <xf numFmtId="0" fontId="0" fillId="7" borderId="16" xfId="0" applyFill="1" applyBorder="1" applyAlignment="1">
      <alignment horizontal="left" vertical="center"/>
    </xf>
    <xf numFmtId="14" fontId="0" fillId="7" borderId="16" xfId="0" applyNumberFormat="1" applyFill="1" applyBorder="1" applyAlignment="1">
      <alignment horizontal="center" vertical="center"/>
    </xf>
    <xf numFmtId="14" fontId="0" fillId="7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0" fillId="0" borderId="75" xfId="0" applyBorder="1"/>
    <xf numFmtId="0" fontId="1" fillId="0" borderId="75" xfId="0" applyFon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0" fillId="22" borderId="0" xfId="0" applyFill="1" applyAlignment="1" applyProtection="1">
      <alignment horizontal="left" vertical="center"/>
      <protection hidden="1"/>
    </xf>
    <xf numFmtId="0" fontId="0" fillId="6" borderId="0" xfId="0" applyFill="1" applyAlignment="1">
      <alignment horizontal="center"/>
    </xf>
    <xf numFmtId="169" fontId="0" fillId="16" borderId="6" xfId="0" applyNumberFormat="1" applyFill="1" applyBorder="1" applyAlignment="1">
      <alignment horizontal="center"/>
    </xf>
    <xf numFmtId="0" fontId="0" fillId="0" borderId="76" xfId="0" applyBorder="1" applyAlignment="1">
      <alignment horizontal="center" vertical="center"/>
    </xf>
    <xf numFmtId="3" fontId="0" fillId="0" borderId="0" xfId="0" applyNumberFormat="1" applyAlignment="1" applyProtection="1">
      <alignment horizontal="center"/>
      <protection hidden="1"/>
    </xf>
    <xf numFmtId="0" fontId="2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/>
    <xf numFmtId="169" fontId="0" fillId="10" borderId="6" xfId="0" applyNumberFormat="1" applyFill="1" applyBorder="1" applyAlignment="1">
      <alignment wrapText="1"/>
    </xf>
    <xf numFmtId="0" fontId="0" fillId="23" borderId="0" xfId="0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14" fontId="0" fillId="0" borderId="14" xfId="0" applyNumberFormat="1" applyBorder="1"/>
    <xf numFmtId="14" fontId="0" fillId="0" borderId="0" xfId="0" applyNumberFormat="1" applyAlignment="1">
      <alignment horizontal="center"/>
    </xf>
    <xf numFmtId="0" fontId="0" fillId="0" borderId="20" xfId="0" applyBorder="1" applyAlignment="1" applyProtection="1">
      <alignment horizontal="left" vertical="center"/>
      <protection hidden="1"/>
    </xf>
    <xf numFmtId="0" fontId="0" fillId="0" borderId="20" xfId="0" applyBorder="1" applyAlignment="1">
      <alignment horizontal="left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73" xfId="0" applyFill="1" applyBorder="1" applyAlignment="1" applyProtection="1">
      <alignment horizontal="left" vertical="center"/>
      <protection hidden="1"/>
    </xf>
    <xf numFmtId="0" fontId="0" fillId="7" borderId="73" xfId="0" applyFill="1" applyBorder="1" applyAlignment="1">
      <alignment horizontal="left" vertical="center"/>
    </xf>
    <xf numFmtId="14" fontId="0" fillId="7" borderId="73" xfId="0" applyNumberFormat="1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17" borderId="26" xfId="0" applyFont="1" applyFill="1" applyBorder="1" applyAlignment="1">
      <alignment horizontal="center" vertical="center"/>
    </xf>
    <xf numFmtId="0" fontId="0" fillId="16" borderId="78" xfId="0" applyFill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25" borderId="0" xfId="0" applyFill="1" applyAlignment="1">
      <alignment horizontal="center"/>
    </xf>
    <xf numFmtId="171" fontId="19" fillId="7" borderId="0" xfId="0" applyNumberFormat="1" applyFont="1" applyFill="1"/>
    <xf numFmtId="0" fontId="19" fillId="7" borderId="0" xfId="0" applyFont="1" applyFill="1"/>
    <xf numFmtId="14" fontId="20" fillId="0" borderId="0" xfId="0" applyNumberFormat="1" applyFont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14" fontId="20" fillId="0" borderId="0" xfId="0" quotePrefix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" fillId="27" borderId="14" xfId="0" applyFont="1" applyFill="1" applyBorder="1" applyAlignment="1">
      <alignment horizontal="center" wrapText="1"/>
    </xf>
    <xf numFmtId="0" fontId="1" fillId="27" borderId="14" xfId="0" applyFont="1" applyFill="1" applyBorder="1" applyAlignment="1">
      <alignment horizontal="center"/>
    </xf>
    <xf numFmtId="171" fontId="19" fillId="28" borderId="0" xfId="0" applyNumberFormat="1" applyFont="1" applyFill="1"/>
    <xf numFmtId="0" fontId="19" fillId="28" borderId="0" xfId="0" applyFont="1" applyFill="1"/>
    <xf numFmtId="0" fontId="0" fillId="9" borderId="0" xfId="0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1" fillId="27" borderId="0" xfId="0" applyFont="1" applyFill="1" applyAlignment="1">
      <alignment horizontal="left" wrapText="1"/>
    </xf>
    <xf numFmtId="0" fontId="0" fillId="27" borderId="0" xfId="0" applyFill="1" applyAlignment="1">
      <alignment wrapText="1"/>
    </xf>
    <xf numFmtId="0" fontId="0" fillId="29" borderId="0" xfId="0" applyFill="1" applyAlignment="1">
      <alignment horizontal="right" vertical="center"/>
    </xf>
    <xf numFmtId="0" fontId="0" fillId="29" borderId="0" xfId="0" applyFill="1" applyAlignment="1">
      <alignment horizontal="center" vertical="center"/>
    </xf>
    <xf numFmtId="0" fontId="0" fillId="29" borderId="18" xfId="0" applyFill="1" applyBorder="1" applyAlignment="1" applyProtection="1">
      <alignment horizontal="left" vertical="center"/>
      <protection hidden="1"/>
    </xf>
    <xf numFmtId="0" fontId="0" fillId="29" borderId="18" xfId="0" applyFill="1" applyBorder="1" applyAlignment="1">
      <alignment horizontal="left" vertical="center"/>
    </xf>
    <xf numFmtId="14" fontId="0" fillId="29" borderId="18" xfId="0" applyNumberFormat="1" applyFill="1" applyBorder="1" applyAlignment="1">
      <alignment horizontal="center" vertical="center"/>
    </xf>
    <xf numFmtId="0" fontId="0" fillId="29" borderId="20" xfId="0" applyFill="1" applyBorder="1" applyAlignment="1">
      <alignment horizontal="center" vertical="center"/>
    </xf>
    <xf numFmtId="14" fontId="0" fillId="29" borderId="20" xfId="0" applyNumberFormat="1" applyFill="1" applyBorder="1" applyAlignment="1">
      <alignment horizontal="center" vertical="center"/>
    </xf>
    <xf numFmtId="0" fontId="0" fillId="29" borderId="18" xfId="0" applyFill="1" applyBorder="1" applyAlignment="1">
      <alignment horizontal="center" vertical="center"/>
    </xf>
    <xf numFmtId="0" fontId="0" fillId="29" borderId="0" xfId="0" applyFill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17" fontId="0" fillId="0" borderId="0" xfId="0" quotePrefix="1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14" fontId="0" fillId="16" borderId="0" xfId="0" applyNumberFormat="1" applyFill="1" applyAlignment="1">
      <alignment horizontal="left" vertical="center"/>
    </xf>
    <xf numFmtId="0" fontId="0" fillId="16" borderId="0" xfId="0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1" fillId="0" borderId="7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0" fillId="10" borderId="79" xfId="0" applyFill="1" applyBorder="1" applyAlignment="1" applyProtection="1">
      <alignment horizontal="left" vertical="center"/>
      <protection hidden="1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12" fillId="0" borderId="30" xfId="0" applyFont="1" applyBorder="1" applyAlignment="1" applyProtection="1">
      <alignment horizontal="center" vertical="center" wrapText="1"/>
      <protection locked="0"/>
    </xf>
    <xf numFmtId="165" fontId="12" fillId="0" borderId="36" xfId="0" applyNumberFormat="1" applyFont="1" applyBorder="1" applyAlignment="1" applyProtection="1">
      <alignment horizontal="center" vertical="center" wrapText="1"/>
      <protection locked="0"/>
    </xf>
    <xf numFmtId="165" fontId="12" fillId="0" borderId="37" xfId="0" applyNumberFormat="1" applyFont="1" applyBorder="1" applyAlignment="1" applyProtection="1">
      <alignment horizontal="center" vertical="center" wrapText="1"/>
      <protection locked="0"/>
    </xf>
    <xf numFmtId="0" fontId="12" fillId="0" borderId="35" xfId="0" applyFont="1" applyBorder="1" applyAlignment="1" applyProtection="1">
      <alignment horizontal="center" vertical="center" wrapText="1"/>
      <protection locked="0"/>
    </xf>
    <xf numFmtId="3" fontId="12" fillId="0" borderId="36" xfId="3" applyNumberFormat="1" applyFont="1" applyBorder="1" applyAlignment="1" applyProtection="1">
      <alignment horizontal="center" vertical="center" wrapText="1"/>
      <protection locked="0"/>
    </xf>
    <xf numFmtId="3" fontId="12" fillId="0" borderId="37" xfId="3" applyNumberFormat="1" applyFont="1" applyBorder="1" applyAlignment="1" applyProtection="1">
      <alignment horizontal="center" vertical="center" wrapText="1"/>
      <protection locked="0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</cellXfs>
  <cellStyles count="8">
    <cellStyle name="Comma" xfId="3" builtinId="3"/>
    <cellStyle name="Comma 2" xfId="6" xr:uid="{D4E195C2-158E-4B80-9CE6-963E2934294F}"/>
    <cellStyle name="Good" xfId="7" builtinId="26"/>
    <cellStyle name="Input" xfId="1" builtinId="20"/>
    <cellStyle name="Normal" xfId="0" builtinId="0"/>
    <cellStyle name="Normal 2" xfId="5" xr:uid="{5000F39F-0FC7-4CE7-90FA-1F8239A898E4}"/>
    <cellStyle name="Output" xfId="2" builtinId="21"/>
    <cellStyle name="Percent" xfId="4" builtinId="5"/>
  </cellStyles>
  <dxfs count="47">
    <dxf>
      <fill>
        <patternFill>
          <bgColor rgb="FFBFBFBF"/>
        </patternFill>
      </fill>
    </dxf>
    <dxf>
      <fill>
        <patternFill>
          <bgColor rgb="FF8DB4E2"/>
        </patternFill>
      </fill>
    </dxf>
    <dxf>
      <fill>
        <patternFill>
          <bgColor rgb="FFF79646"/>
        </patternFill>
      </fill>
    </dxf>
    <dxf>
      <fill>
        <patternFill>
          <bgColor rgb="FFDA969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F6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66"/>
        </patternFill>
      </fill>
    </dxf>
    <dxf>
      <fill>
        <patternFill>
          <bgColor rgb="FF99CCFF"/>
        </patternFill>
      </fill>
    </dxf>
    <dxf>
      <fill>
        <patternFill>
          <bgColor rgb="FFCCCCFF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</font>
      <fill>
        <patternFill>
          <bgColor rgb="FFFFC000"/>
        </patternFill>
      </fill>
    </dxf>
    <dxf>
      <fill>
        <patternFill>
          <bgColor rgb="FFFFFF66"/>
        </patternFill>
      </fill>
    </dxf>
    <dxf>
      <fill>
        <patternFill>
          <bgColor rgb="FFB2D59B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CD8FE1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CC66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colors>
    <mruColors>
      <color rgb="FFE9EBF3"/>
      <color rgb="FFCD8FE1"/>
      <color rgb="FFC67DDD"/>
      <color rgb="FFD3B5E9"/>
      <color rgb="FF00F6F0"/>
      <color rgb="FFCC99FF"/>
      <color rgb="FFE2E0F4"/>
      <color rgb="FFE8E6F6"/>
      <color rgb="FFF4F3E8"/>
      <color rgb="FFDC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Yield</a:t>
            </a:r>
            <a:r>
              <a:rPr lang="en-US" sz="2000" baseline="0"/>
              <a:t> vs Purity</a:t>
            </a:r>
            <a:endParaRPr lang="en-US" sz="2000"/>
          </a:p>
        </c:rich>
      </c:tx>
      <c:layout>
        <c:manualLayout>
          <c:xMode val="edge"/>
          <c:yMode val="edge"/>
          <c:x val="0.42510737948616878"/>
          <c:y val="2.77242278792612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574341598792012E-2"/>
          <c:y val="0.18404929624542216"/>
          <c:w val="0.83960853742892272"/>
          <c:h val="0.70943263078559782"/>
        </c:manualLayout>
      </c:layout>
      <c:barChart>
        <c:barDir val="col"/>
        <c:grouping val="clustered"/>
        <c:varyColors val="0"/>
        <c:ser>
          <c:idx val="0"/>
          <c:order val="1"/>
          <c:tx>
            <c:v>Fraction OD</c:v>
          </c:tx>
          <c:spPr>
            <a:solidFill>
              <a:srgbClr val="7CF4EE"/>
            </a:solidFill>
            <a:ln>
              <a:solidFill>
                <a:schemeClr val="tx1"/>
              </a:solidFill>
            </a:ln>
          </c:spPr>
          <c:invertIfNegative val="0"/>
          <c:cat>
            <c:numLit>
              <c:formatCode>General</c:formatCode>
              <c:ptCount val="60"/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</c:numLit>
          </c:cat>
          <c:val>
            <c:numRef>
              <c:f>'Frac Worksheet'!$G$9:$G$68</c:f>
              <c:numCache>
                <c:formatCode>_(* #,##0_);_(* \(#,##0\);_(*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1-41FA-A686-BB421C0DB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100"/>
        <c:axId val="538771968"/>
        <c:axId val="537616960"/>
      </c:barChart>
      <c:barChart>
        <c:barDir val="col"/>
        <c:grouping val="clustered"/>
        <c:varyColors val="0"/>
        <c:ser>
          <c:idx val="1"/>
          <c:order val="0"/>
          <c:tx>
            <c:v>FLP%</c:v>
          </c:tx>
          <c:spPr>
            <a:solidFill>
              <a:srgbClr val="4A4EF8">
                <a:alpha val="70000"/>
              </a:srgbClr>
            </a:solidFill>
            <a:ln>
              <a:solidFill>
                <a:srgbClr val="4A4EF8"/>
              </a:solidFill>
            </a:ln>
          </c:spPr>
          <c:invertIfNegative val="0"/>
          <c:cat>
            <c:numLit>
              <c:formatCode>General</c:formatCode>
              <c:ptCount val="60"/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  <c:pt idx="25">
                <c:v>25</c:v>
              </c:pt>
              <c:pt idx="26">
                <c:v>26</c:v>
              </c:pt>
              <c:pt idx="27">
                <c:v>27</c:v>
              </c:pt>
              <c:pt idx="28">
                <c:v>28</c:v>
              </c:pt>
              <c:pt idx="29">
                <c:v>29</c:v>
              </c:pt>
              <c:pt idx="30">
                <c:v>30</c:v>
              </c:pt>
              <c:pt idx="31">
                <c:v>31</c:v>
              </c:pt>
              <c:pt idx="32">
                <c:v>32</c:v>
              </c:pt>
              <c:pt idx="33">
                <c:v>33</c:v>
              </c:pt>
              <c:pt idx="34">
                <c:v>34</c:v>
              </c:pt>
              <c:pt idx="35">
                <c:v>35</c:v>
              </c:pt>
              <c:pt idx="36">
                <c:v>36</c:v>
              </c:pt>
              <c:pt idx="37">
                <c:v>37</c:v>
              </c:pt>
              <c:pt idx="38">
                <c:v>38</c:v>
              </c:pt>
              <c:pt idx="39">
                <c:v>39</c:v>
              </c:pt>
              <c:pt idx="40">
                <c:v>40</c:v>
              </c:pt>
              <c:pt idx="41">
                <c:v>41</c:v>
              </c:pt>
              <c:pt idx="42">
                <c:v>42</c:v>
              </c:pt>
              <c:pt idx="43">
                <c:v>43</c:v>
              </c:pt>
              <c:pt idx="44">
                <c:v>44</c:v>
              </c:pt>
              <c:pt idx="45">
                <c:v>45</c:v>
              </c:pt>
              <c:pt idx="46">
                <c:v>46</c:v>
              </c:pt>
              <c:pt idx="47">
                <c:v>47</c:v>
              </c:pt>
              <c:pt idx="48">
                <c:v>48</c:v>
              </c:pt>
              <c:pt idx="49">
                <c:v>49</c:v>
              </c:pt>
              <c:pt idx="50">
                <c:v>50</c:v>
              </c:pt>
              <c:pt idx="51">
                <c:v>51</c:v>
              </c:pt>
              <c:pt idx="52">
                <c:v>52</c:v>
              </c:pt>
              <c:pt idx="53">
                <c:v>53</c:v>
              </c:pt>
              <c:pt idx="54">
                <c:v>54</c:v>
              </c:pt>
              <c:pt idx="55">
                <c:v>55</c:v>
              </c:pt>
              <c:pt idx="56">
                <c:v>56</c:v>
              </c:pt>
              <c:pt idx="57">
                <c:v>57</c:v>
              </c:pt>
              <c:pt idx="58">
                <c:v>58</c:v>
              </c:pt>
              <c:pt idx="59">
                <c:v>59</c:v>
              </c:pt>
            </c:numLit>
          </c:cat>
          <c:val>
            <c:numRef>
              <c:f>'Frac Worksheet'!$I$9:$I$68</c:f>
              <c:numCache>
                <c:formatCode>0.0</c:formatCode>
                <c:ptCount val="60"/>
              </c:numCache>
            </c:numRef>
          </c:val>
          <c:extLst>
            <c:ext xmlns:c16="http://schemas.microsoft.com/office/drawing/2014/chart" uri="{C3380CC4-5D6E-409C-BE32-E72D297353CC}">
              <c16:uniqueId val="{00000001-A171-41FA-A686-BB421C0DB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overlap val="-64"/>
        <c:axId val="538772480"/>
        <c:axId val="537617536"/>
      </c:barChart>
      <c:scatterChart>
        <c:scatterStyle val="smoothMarker"/>
        <c:varyColors val="0"/>
        <c:ser>
          <c:idx val="2"/>
          <c:order val="2"/>
          <c:tx>
            <c:v>Pre-FLP%</c:v>
          </c:tx>
          <c:spPr>
            <a:ln w="34925">
              <a:solidFill>
                <a:srgbClr val="7030A0"/>
              </a:solidFill>
            </a:ln>
          </c:spPr>
          <c:marker>
            <c:symbol val="none"/>
          </c:marker>
          <c:yVal>
            <c:numRef>
              <c:f>'Frac Worksheet'!$J$9:$J$68</c:f>
              <c:numCache>
                <c:formatCode>0.0</c:formatCode>
                <c:ptCount val="6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1-41FA-A686-BB421C0DB8BF}"/>
            </c:ext>
          </c:extLst>
        </c:ser>
        <c:ser>
          <c:idx val="3"/>
          <c:order val="3"/>
          <c:tx>
            <c:v>Post-FLP%</c:v>
          </c:tx>
          <c:spPr>
            <a:ln w="31750"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'Frac Worksheet'!$K$9:$K$68</c:f>
              <c:numCache>
                <c:formatCode>_(* #,##0.0_);_(* \(#,##0.0\);_(*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71-41FA-A686-BB421C0DB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72480"/>
        <c:axId val="537617536"/>
      </c:scatterChart>
      <c:catAx>
        <c:axId val="53877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Fractions</a:t>
                </a:r>
              </a:p>
            </c:rich>
          </c:tx>
          <c:layout>
            <c:manualLayout>
              <c:xMode val="edge"/>
              <c:yMode val="edge"/>
              <c:x val="0.46190297593579532"/>
              <c:y val="0.9488423497602854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537616960"/>
        <c:crosses val="autoZero"/>
        <c:auto val="1"/>
        <c:lblAlgn val="ctr"/>
        <c:lblOffset val="100"/>
        <c:noMultiLvlLbl val="0"/>
      </c:catAx>
      <c:valAx>
        <c:axId val="537616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Yield</a:t>
                </a:r>
                <a:r>
                  <a:rPr lang="en-US" sz="1800" baseline="0"/>
                  <a:t> in OD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3374682215908443E-2"/>
              <c:y val="0.4109988779328243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38771968"/>
        <c:crosses val="autoZero"/>
        <c:crossBetween val="between"/>
      </c:valAx>
      <c:catAx>
        <c:axId val="53877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37617536"/>
        <c:crosses val="autoZero"/>
        <c:auto val="1"/>
        <c:lblAlgn val="ctr"/>
        <c:lblOffset val="100"/>
        <c:noMultiLvlLbl val="0"/>
      </c:catAx>
      <c:valAx>
        <c:axId val="537617536"/>
        <c:scaling>
          <c:orientation val="minMax"/>
          <c:max val="105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Purity</a:t>
                </a:r>
                <a:r>
                  <a:rPr lang="en-US" sz="1800" baseline="0"/>
                  <a:t> (</a:t>
                </a:r>
                <a:r>
                  <a:rPr lang="en-US" sz="1800"/>
                  <a:t>FLP%)</a:t>
                </a:r>
              </a:p>
            </c:rich>
          </c:tx>
          <c:layout>
            <c:manualLayout>
              <c:xMode val="edge"/>
              <c:yMode val="edge"/>
              <c:x val="0.95374655910350681"/>
              <c:y val="0.4028729206332952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38772480"/>
        <c:crosses val="max"/>
        <c:crossBetween val="between"/>
      </c:valAx>
      <c:spPr>
        <a:solidFill>
          <a:schemeClr val="bg1">
            <a:lumMod val="95000"/>
          </a:schemeClr>
        </a:solidFill>
        <a:ln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0.78618543704392485"/>
          <c:y val="1.7982247762116998E-2"/>
          <c:w val="0.20087285076240233"/>
          <c:h val="0.1526162452724209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102245</xdr:colOff>
      <xdr:row>84</xdr:row>
      <xdr:rowOff>30298</xdr:rowOff>
    </xdr:from>
    <xdr:to>
      <xdr:col>12</xdr:col>
      <xdr:colOff>646765</xdr:colOff>
      <xdr:row>112</xdr:row>
      <xdr:rowOff>48977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37AF5-90A9-477A-A08D-FF2948A14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aohuiWeng\Downloads\Any%20year%20custom%20calendar.xlsx" TargetMode="External"/><Relationship Id="rId1" Type="http://schemas.openxmlformats.org/officeDocument/2006/relationships/externalLinkPath" Target="file:///C:\Users\XiaohuiWeng\Downloads\Any%20year%20custom%20calend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oligo.sharepoint.com/sites/SynoligoFolder/Shared%20Documents/General/7,%20Production/Downstream/AKTA_Columns.xlsx" TargetMode="External"/><Relationship Id="rId1" Type="http://schemas.openxmlformats.org/officeDocument/2006/relationships/externalLinkPath" Target="Downstream/AKTA_Colum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8">
          <cell r="P8">
            <v>2025</v>
          </cell>
        </row>
        <row r="10">
          <cell r="P1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lumn Data"/>
      <sheetName val="PUR Column"/>
      <sheetName val="Frac Worksheet"/>
      <sheetName val="Data"/>
    </sheetNames>
    <sheetDataSet>
      <sheetData sheetId="0">
        <row r="2">
          <cell r="A2" t="str">
            <v>Tricorn 10/300</v>
          </cell>
          <cell r="B2" t="str">
            <v>-----AEX-----</v>
          </cell>
          <cell r="C2">
            <v>10</v>
          </cell>
          <cell r="E2">
            <v>5</v>
          </cell>
        </row>
        <row r="3">
          <cell r="A3" t="str">
            <v>AP-2</v>
          </cell>
          <cell r="B3" t="str">
            <v>TSKgel SuperQ 5PW20</v>
          </cell>
          <cell r="C3">
            <v>20</v>
          </cell>
          <cell r="D3">
            <v>2</v>
          </cell>
          <cell r="E3">
            <v>6.9</v>
          </cell>
        </row>
        <row r="4">
          <cell r="A4" t="str">
            <v>Stainless steel 20</v>
          </cell>
          <cell r="B4" t="str">
            <v>Source 15Q</v>
          </cell>
          <cell r="C4">
            <v>20</v>
          </cell>
          <cell r="D4">
            <v>2</v>
          </cell>
          <cell r="E4">
            <v>10</v>
          </cell>
        </row>
        <row r="5">
          <cell r="A5" t="str">
            <v>1 inch L&amp;L</v>
          </cell>
          <cell r="B5" t="str">
            <v>Source 30Q</v>
          </cell>
          <cell r="C5">
            <v>25.4</v>
          </cell>
          <cell r="D5">
            <v>2</v>
          </cell>
          <cell r="E5">
            <v>6.9</v>
          </cell>
        </row>
        <row r="6">
          <cell r="A6" t="str">
            <v>2 inch L&amp;L</v>
          </cell>
          <cell r="B6" t="str">
            <v>NanoQ-15L</v>
          </cell>
          <cell r="C6">
            <v>50.8</v>
          </cell>
          <cell r="D6">
            <v>3</v>
          </cell>
          <cell r="E6">
            <v>6.9</v>
          </cell>
        </row>
        <row r="7">
          <cell r="A7" t="str">
            <v>3 inch L&amp;L</v>
          </cell>
          <cell r="B7" t="str">
            <v>UniQ-30S</v>
          </cell>
          <cell r="C7">
            <v>76.2</v>
          </cell>
          <cell r="D7">
            <v>3</v>
          </cell>
          <cell r="E7">
            <v>6.9</v>
          </cell>
        </row>
        <row r="8">
          <cell r="A8" t="str">
            <v>FLPilot35</v>
          </cell>
          <cell r="B8" t="str">
            <v>-----RP-----</v>
          </cell>
          <cell r="C8">
            <v>35</v>
          </cell>
          <cell r="E8">
            <v>2</v>
          </cell>
        </row>
        <row r="9">
          <cell r="A9" t="str">
            <v>AP-5</v>
          </cell>
          <cell r="B9" t="str">
            <v>Source15RPC</v>
          </cell>
          <cell r="C9">
            <v>50</v>
          </cell>
          <cell r="D9">
            <v>2</v>
          </cell>
          <cell r="E9">
            <v>6.9</v>
          </cell>
        </row>
        <row r="10">
          <cell r="B10" t="str">
            <v>Source 30RPC</v>
          </cell>
          <cell r="D10">
            <v>2</v>
          </cell>
        </row>
        <row r="11">
          <cell r="B11" t="str">
            <v>UniPS 30-300</v>
          </cell>
          <cell r="D11">
            <v>3</v>
          </cell>
        </row>
        <row r="12">
          <cell r="B12" t="str">
            <v>-----SEC-----</v>
          </cell>
        </row>
        <row r="13">
          <cell r="B13" t="str">
            <v>Sephadex G25 Fine</v>
          </cell>
          <cell r="D13">
            <v>0.5</v>
          </cell>
        </row>
      </sheetData>
      <sheetData sheetId="1">
        <row r="2">
          <cell r="B2" t="str">
            <v>AEX_10mm_23.5mL (1)</v>
          </cell>
          <cell r="D2" t="str">
            <v>TSKgel SuperQ 5PW20</v>
          </cell>
          <cell r="F2">
            <v>30</v>
          </cell>
          <cell r="G2">
            <v>23.561944901923447</v>
          </cell>
        </row>
        <row r="3">
          <cell r="B3" t="str">
            <v>AEX_10mm_23.5mL (2)</v>
          </cell>
          <cell r="D3" t="str">
            <v>TSKgel SuperQ 5PW20</v>
          </cell>
          <cell r="F3">
            <v>30</v>
          </cell>
          <cell r="G3">
            <v>23.561944901923447</v>
          </cell>
        </row>
        <row r="4">
          <cell r="B4" t="str">
            <v>AEX_10mm_23.5mL (3)</v>
          </cell>
          <cell r="D4" t="str">
            <v>TSKgel SuperQ 5PW20</v>
          </cell>
          <cell r="F4">
            <v>30</v>
          </cell>
          <cell r="G4">
            <v>23.561944901923447</v>
          </cell>
        </row>
        <row r="5">
          <cell r="B5" t="str">
            <v>AEX_10mm_23.5mL (4)</v>
          </cell>
          <cell r="D5" t="str">
            <v>NanoQ-15L</v>
          </cell>
          <cell r="F5">
            <v>31</v>
          </cell>
          <cell r="G5">
            <v>24.347343065320896</v>
          </cell>
        </row>
        <row r="6">
          <cell r="B6" t="str">
            <v>AEX_20mm_63.8mL</v>
          </cell>
          <cell r="D6" t="str">
            <v>NanoQ-15L</v>
          </cell>
          <cell r="F6">
            <v>20.3</v>
          </cell>
          <cell r="G6">
            <v>63.774330867872806</v>
          </cell>
        </row>
        <row r="7">
          <cell r="B7" t="str">
            <v>AEX_20mm_78.5mL</v>
          </cell>
          <cell r="D7" t="str">
            <v>TSKgel SuperQ 5PW20</v>
          </cell>
          <cell r="F7">
            <v>25</v>
          </cell>
          <cell r="G7">
            <v>78.539816339744831</v>
          </cell>
        </row>
        <row r="8">
          <cell r="D8"/>
          <cell r="F8"/>
          <cell r="G8">
            <v>0</v>
          </cell>
        </row>
        <row r="9">
          <cell r="B9" t="str">
            <v>AEX_35mm_288mL</v>
          </cell>
          <cell r="D9" t="str">
            <v>NanoQ-15L</v>
          </cell>
          <cell r="F9">
            <v>30</v>
          </cell>
          <cell r="G9">
            <v>288.63382504856224</v>
          </cell>
        </row>
        <row r="10">
          <cell r="B10" t="str">
            <v>AEX_35mm_298mL</v>
          </cell>
          <cell r="D10" t="str">
            <v>TSKgel SuperQ 5PW20</v>
          </cell>
          <cell r="F10">
            <v>31</v>
          </cell>
          <cell r="G10">
            <v>298.25495255018097</v>
          </cell>
        </row>
        <row r="11">
          <cell r="B11" t="str">
            <v>AEX_50mm_383mL</v>
          </cell>
          <cell r="D11" t="str">
            <v>TSKgel SuperQ 5PW20</v>
          </cell>
          <cell r="F11">
            <v>19.5</v>
          </cell>
          <cell r="G11">
            <v>382.88160465625606</v>
          </cell>
        </row>
        <row r="12">
          <cell r="B12" t="str">
            <v>AEX_50mm_400mL</v>
          </cell>
          <cell r="D12" t="str">
            <v>TSKgel SuperQ 5PW20</v>
          </cell>
          <cell r="F12">
            <v>20.399999999999999</v>
          </cell>
          <cell r="G12">
            <v>400.55306333269863</v>
          </cell>
        </row>
        <row r="13">
          <cell r="B13" t="str">
            <v xml:space="preserve"> </v>
          </cell>
          <cell r="D13"/>
          <cell r="F13"/>
          <cell r="G13"/>
        </row>
        <row r="14">
          <cell r="B14" t="str">
            <v>RP_10mm_22mL</v>
          </cell>
          <cell r="D14" t="str">
            <v>Source15RPC</v>
          </cell>
          <cell r="F14">
            <v>28.2</v>
          </cell>
          <cell r="G14">
            <v>22.148228207808042</v>
          </cell>
        </row>
        <row r="15">
          <cell r="B15" t="str">
            <v>RP_10mm_24mL (1)</v>
          </cell>
          <cell r="D15" t="str">
            <v>UniPS 30-300</v>
          </cell>
          <cell r="F15">
            <v>30.5</v>
          </cell>
          <cell r="G15">
            <v>23.954643983622173</v>
          </cell>
        </row>
        <row r="16">
          <cell r="B16" t="str">
            <v>RP_10mm_24mL (2)</v>
          </cell>
          <cell r="D16" t="str">
            <v>Source15RPC</v>
          </cell>
          <cell r="F16">
            <v>30.5</v>
          </cell>
          <cell r="G16">
            <v>23.954643983622173</v>
          </cell>
        </row>
        <row r="17">
          <cell r="B17" t="str">
            <v>RP_20mm_89mL</v>
          </cell>
          <cell r="D17" t="str">
            <v>UniPS 30-300</v>
          </cell>
          <cell r="F17">
            <v>28</v>
          </cell>
          <cell r="G17">
            <v>87.964594300514207</v>
          </cell>
        </row>
        <row r="18">
          <cell r="B18" t="str">
            <v>RP_25.4mm_178mL</v>
          </cell>
          <cell r="D18" t="str">
            <v>UniPS 30-300</v>
          </cell>
          <cell r="F18">
            <v>35</v>
          </cell>
          <cell r="G18">
            <v>177.3476176841242</v>
          </cell>
        </row>
        <row r="19">
          <cell r="B19" t="str">
            <v>RP_35mm_251mL</v>
          </cell>
          <cell r="D19" t="str">
            <v>Source15RPC</v>
          </cell>
          <cell r="F19">
            <v>26.1</v>
          </cell>
          <cell r="G19">
            <v>251.11142779224915</v>
          </cell>
        </row>
        <row r="20">
          <cell r="B20" t="str">
            <v xml:space="preserve">                   </v>
          </cell>
          <cell r="D20" t="str">
            <v>UniPS 30-300</v>
          </cell>
          <cell r="F20">
            <v>35</v>
          </cell>
          <cell r="G20">
            <v>709.39047073649681</v>
          </cell>
        </row>
        <row r="21">
          <cell r="B21" t="str">
            <v>SEC_50mm_546mL</v>
          </cell>
          <cell r="D21" t="str">
            <v>Sephadex G25 Fine</v>
          </cell>
          <cell r="F21">
            <v>27.8</v>
          </cell>
          <cell r="G21">
            <v>545.85172356122655</v>
          </cell>
        </row>
        <row r="22">
          <cell r="B22" t="str">
            <v>SEC_50mm_546mL</v>
          </cell>
          <cell r="D22" t="str">
            <v>Sephadex G25 Fine</v>
          </cell>
          <cell r="F22">
            <v>27.8</v>
          </cell>
          <cell r="G22">
            <v>545.85172356122655</v>
          </cell>
        </row>
        <row r="23">
          <cell r="D23"/>
          <cell r="F23"/>
          <cell r="G23"/>
        </row>
        <row r="24">
          <cell r="D24"/>
          <cell r="F24"/>
          <cell r="G24"/>
        </row>
        <row r="25">
          <cell r="B25"/>
          <cell r="D25"/>
          <cell r="F25"/>
        </row>
      </sheetData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3288-CECB-42F8-992D-A7512E4D47E4}">
  <dimension ref="A1:K30"/>
  <sheetViews>
    <sheetView topLeftCell="A14" zoomScale="85" zoomScaleNormal="85" workbookViewId="0">
      <selection activeCell="E34" sqref="E34"/>
    </sheetView>
  </sheetViews>
  <sheetFormatPr defaultColWidth="8.7265625" defaultRowHeight="14.5" x14ac:dyDescent="0.35"/>
  <cols>
    <col min="1" max="1" width="5.1796875" style="289" customWidth="1"/>
    <col min="2" max="11" width="19" style="280" customWidth="1"/>
    <col min="12" max="16384" width="8.7265625" style="280"/>
  </cols>
  <sheetData>
    <row r="1" spans="1:11" s="304" customFormat="1" ht="21.65" customHeight="1" x14ac:dyDescent="0.35">
      <c r="B1" s="349">
        <v>46048</v>
      </c>
      <c r="C1" s="350" t="s">
        <v>174</v>
      </c>
      <c r="D1" s="363">
        <v>46049</v>
      </c>
      <c r="E1" s="364" t="s">
        <v>179</v>
      </c>
      <c r="F1" s="363">
        <v>46050</v>
      </c>
      <c r="G1" s="364" t="s">
        <v>180</v>
      </c>
      <c r="H1" s="363">
        <v>46051</v>
      </c>
      <c r="I1" s="364" t="s">
        <v>563</v>
      </c>
      <c r="J1" s="363">
        <v>46052</v>
      </c>
      <c r="K1" s="364" t="s">
        <v>564</v>
      </c>
    </row>
    <row r="2" spans="1:11" s="342" customFormat="1" ht="20.5" customHeight="1" thickBot="1" x14ac:dyDescent="0.4">
      <c r="B2" s="342" t="s">
        <v>175</v>
      </c>
      <c r="C2" s="343" t="s">
        <v>176</v>
      </c>
      <c r="D2" s="342" t="s">
        <v>175</v>
      </c>
      <c r="E2" s="343" t="s">
        <v>176</v>
      </c>
      <c r="F2" s="342" t="s">
        <v>175</v>
      </c>
      <c r="G2" s="343" t="s">
        <v>176</v>
      </c>
      <c r="H2" s="342" t="s">
        <v>175</v>
      </c>
      <c r="I2" s="343" t="s">
        <v>176</v>
      </c>
      <c r="J2" s="342" t="s">
        <v>175</v>
      </c>
      <c r="K2" s="343" t="s">
        <v>176</v>
      </c>
    </row>
    <row r="3" spans="1:11" ht="19.5" customHeight="1" thickBot="1" x14ac:dyDescent="0.4">
      <c r="A3" s="385" t="s">
        <v>177</v>
      </c>
      <c r="C3" s="279"/>
      <c r="E3" s="279"/>
      <c r="G3" s="279"/>
      <c r="I3" s="279"/>
      <c r="K3" s="279"/>
    </row>
    <row r="4" spans="1:11" ht="19.5" customHeight="1" thickBot="1" x14ac:dyDescent="0.4">
      <c r="A4" s="385"/>
      <c r="B4" s="331" t="s">
        <v>891</v>
      </c>
      <c r="C4" s="279"/>
      <c r="D4" s="280" t="s">
        <v>844</v>
      </c>
      <c r="E4" s="279"/>
      <c r="G4" s="279"/>
      <c r="I4" s="279"/>
      <c r="K4" s="279"/>
    </row>
    <row r="5" spans="1:11" ht="19.5" customHeight="1" thickBot="1" x14ac:dyDescent="0.4">
      <c r="A5" s="385"/>
      <c r="C5" s="281"/>
      <c r="D5" s="280" t="s">
        <v>846</v>
      </c>
      <c r="E5" s="281"/>
      <c r="F5" s="280" t="s">
        <v>904</v>
      </c>
      <c r="G5" s="281"/>
      <c r="H5" s="280" t="s">
        <v>905</v>
      </c>
      <c r="I5" s="281"/>
      <c r="K5" s="281"/>
    </row>
    <row r="6" spans="1:11" ht="19" customHeight="1" thickBot="1" x14ac:dyDescent="0.4">
      <c r="A6" s="385"/>
      <c r="C6" s="281"/>
      <c r="D6" s="280" t="s">
        <v>848</v>
      </c>
      <c r="E6" s="281"/>
      <c r="F6" s="280" t="s">
        <v>907</v>
      </c>
      <c r="G6" s="281"/>
      <c r="H6" s="280" t="s">
        <v>906</v>
      </c>
      <c r="I6" s="281"/>
      <c r="K6" s="281"/>
    </row>
    <row r="7" spans="1:11" ht="19" customHeight="1" thickBot="1" x14ac:dyDescent="0.4">
      <c r="A7" s="385"/>
      <c r="C7" s="281"/>
      <c r="E7" s="281"/>
      <c r="G7" s="281"/>
      <c r="I7" s="281"/>
      <c r="K7" s="281"/>
    </row>
    <row r="8" spans="1:11" ht="19" customHeight="1" thickBot="1" x14ac:dyDescent="0.4">
      <c r="A8" s="385"/>
      <c r="C8" s="281"/>
      <c r="E8" s="281"/>
      <c r="G8" s="281"/>
      <c r="I8" s="281"/>
      <c r="K8" s="281"/>
    </row>
    <row r="9" spans="1:11" ht="19" customHeight="1" thickBot="1" x14ac:dyDescent="0.4">
      <c r="A9" s="385"/>
      <c r="C9" s="281"/>
      <c r="E9" s="281"/>
      <c r="G9" s="281"/>
      <c r="I9" s="281"/>
      <c r="K9" s="281"/>
    </row>
    <row r="10" spans="1:11" ht="20.5" customHeight="1" x14ac:dyDescent="0.35">
      <c r="A10" s="385"/>
      <c r="B10" s="283"/>
      <c r="C10" s="282"/>
      <c r="D10" s="283"/>
      <c r="E10" s="282"/>
      <c r="F10" s="283"/>
      <c r="G10" s="282"/>
      <c r="H10" s="283"/>
      <c r="I10" s="282"/>
      <c r="J10" s="283"/>
      <c r="K10" s="282"/>
    </row>
    <row r="11" spans="1:11" ht="19.5" customHeight="1" x14ac:dyDescent="0.35">
      <c r="A11" s="384" t="s">
        <v>178</v>
      </c>
      <c r="C11" s="279"/>
      <c r="E11" s="279"/>
      <c r="G11" s="279"/>
      <c r="I11" s="279"/>
      <c r="K11" s="279"/>
    </row>
    <row r="12" spans="1:11" ht="19.5" customHeight="1" x14ac:dyDescent="0.35">
      <c r="A12" s="384"/>
      <c r="C12" s="279"/>
      <c r="E12" s="279"/>
      <c r="F12" s="280" t="s">
        <v>850</v>
      </c>
      <c r="G12" s="279"/>
      <c r="I12" s="279"/>
      <c r="K12" s="279"/>
    </row>
    <row r="13" spans="1:11" ht="19.5" customHeight="1" x14ac:dyDescent="0.35">
      <c r="A13" s="384"/>
      <c r="C13" s="281"/>
      <c r="E13" s="281"/>
      <c r="G13" s="281"/>
      <c r="I13" s="281"/>
      <c r="K13" s="281"/>
    </row>
    <row r="14" spans="1:11" ht="19.5" customHeight="1" x14ac:dyDescent="0.35">
      <c r="A14" s="384"/>
      <c r="C14" s="281"/>
      <c r="E14" s="281"/>
      <c r="G14" s="281"/>
      <c r="I14" s="281"/>
      <c r="K14" s="281"/>
    </row>
    <row r="15" spans="1:11" ht="19.5" customHeight="1" x14ac:dyDescent="0.35">
      <c r="A15" s="384"/>
      <c r="C15" s="281"/>
      <c r="E15" s="281"/>
      <c r="G15" s="281"/>
      <c r="I15" s="281"/>
      <c r="K15" s="281"/>
    </row>
    <row r="16" spans="1:11" ht="19.5" customHeight="1" x14ac:dyDescent="0.35">
      <c r="A16" s="384"/>
      <c r="C16" s="281"/>
      <c r="E16" s="281"/>
      <c r="G16" s="281"/>
      <c r="I16" s="281"/>
      <c r="K16" s="281"/>
    </row>
    <row r="17" spans="1:11" ht="19.5" customHeight="1" x14ac:dyDescent="0.35">
      <c r="A17" s="384"/>
      <c r="C17" s="281"/>
      <c r="E17" s="281"/>
      <c r="G17" s="281"/>
      <c r="I17" s="281"/>
      <c r="K17" s="281"/>
    </row>
    <row r="18" spans="1:11" ht="19.5" customHeight="1" x14ac:dyDescent="0.35">
      <c r="A18" s="384"/>
      <c r="C18" s="281"/>
      <c r="E18" s="281"/>
      <c r="G18" s="281"/>
      <c r="I18" s="281"/>
      <c r="K18" s="281"/>
    </row>
    <row r="19" spans="1:11" ht="19.5" customHeight="1" x14ac:dyDescent="0.35">
      <c r="A19" s="384"/>
      <c r="C19" s="281"/>
      <c r="E19" s="281"/>
      <c r="G19" s="281"/>
      <c r="I19" s="281"/>
      <c r="K19" s="281"/>
    </row>
    <row r="20" spans="1:11" ht="19.5" customHeight="1" thickBot="1" x14ac:dyDescent="0.4">
      <c r="A20" s="384"/>
      <c r="B20" s="285"/>
      <c r="C20" s="284"/>
      <c r="D20" s="285"/>
      <c r="E20" s="284"/>
      <c r="F20" s="285"/>
      <c r="G20" s="284"/>
      <c r="H20" s="285"/>
      <c r="I20" s="284"/>
      <c r="J20" s="285"/>
      <c r="K20" s="284"/>
    </row>
    <row r="21" spans="1:11" x14ac:dyDescent="0.35">
      <c r="A21" s="305"/>
    </row>
    <row r="22" spans="1:11" x14ac:dyDescent="0.35">
      <c r="A22" s="305"/>
    </row>
    <row r="23" spans="1:11" x14ac:dyDescent="0.35">
      <c r="A23" s="305"/>
      <c r="D23" s="280" t="s">
        <v>844</v>
      </c>
    </row>
    <row r="24" spans="1:11" x14ac:dyDescent="0.35">
      <c r="D24" s="280" t="s">
        <v>846</v>
      </c>
    </row>
    <row r="25" spans="1:11" x14ac:dyDescent="0.35">
      <c r="D25" s="280" t="s">
        <v>848</v>
      </c>
    </row>
    <row r="28" spans="1:11" x14ac:dyDescent="0.35">
      <c r="B28" s="346"/>
      <c r="D28" s="280" t="s">
        <v>850</v>
      </c>
      <c r="J28" s="346"/>
    </row>
    <row r="29" spans="1:11" x14ac:dyDescent="0.35">
      <c r="D29" s="280" t="s">
        <v>904</v>
      </c>
      <c r="E29" s="280" t="s">
        <v>908</v>
      </c>
      <c r="F29" s="346" t="s">
        <v>910</v>
      </c>
      <c r="H29" s="346"/>
    </row>
    <row r="30" spans="1:11" x14ac:dyDescent="0.35">
      <c r="D30" s="280" t="s">
        <v>907</v>
      </c>
      <c r="E30" s="280" t="s">
        <v>908</v>
      </c>
    </row>
  </sheetData>
  <mergeCells count="2">
    <mergeCell ref="A11:A20"/>
    <mergeCell ref="A3:A10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A6AC-2510-495D-9420-F9EEB3A66A2D}">
  <dimension ref="A1:K58"/>
  <sheetViews>
    <sheetView showGridLines="0" workbookViewId="0">
      <pane ySplit="1" topLeftCell="A45" activePane="bottomLeft" state="frozen"/>
      <selection pane="bottomLeft" activeCell="F57" sqref="F57"/>
    </sheetView>
  </sheetViews>
  <sheetFormatPr defaultColWidth="0" defaultRowHeight="14.5" x14ac:dyDescent="0.35"/>
  <cols>
    <col min="1" max="1" width="9.1796875" customWidth="1"/>
    <col min="2" max="2" width="20.54296875" customWidth="1"/>
    <col min="3" max="3" width="11.7265625" style="359" customWidth="1"/>
    <col min="4" max="4" width="21.81640625" style="71" bestFit="1" customWidth="1"/>
    <col min="5" max="5" width="13" style="71" customWidth="1"/>
    <col min="6" max="6" width="12.453125" style="71" customWidth="1"/>
    <col min="7" max="7" width="54" style="358" customWidth="1"/>
    <col min="8" max="8" width="6.453125" style="358" customWidth="1"/>
    <col min="9" max="9" width="15.81640625" style="358" customWidth="1"/>
    <col min="10" max="10" width="20.54296875" customWidth="1"/>
    <col min="11" max="11" width="20.81640625" style="358" customWidth="1"/>
    <col min="12" max="12" width="7.453125" style="358" customWidth="1"/>
    <col min="13" max="16384" width="0" style="358" hidden="1"/>
  </cols>
  <sheetData>
    <row r="1" spans="2:11" customFormat="1" ht="29" x14ac:dyDescent="0.35">
      <c r="B1" s="361" t="s">
        <v>812</v>
      </c>
      <c r="C1" s="361" t="s">
        <v>810</v>
      </c>
      <c r="D1" s="362" t="s">
        <v>809</v>
      </c>
      <c r="E1" s="361" t="s">
        <v>808</v>
      </c>
      <c r="F1" s="361" t="s">
        <v>4</v>
      </c>
      <c r="G1" s="361" t="s">
        <v>19</v>
      </c>
      <c r="I1" s="371" t="s">
        <v>854</v>
      </c>
      <c r="J1" s="372" t="s">
        <v>856</v>
      </c>
      <c r="K1" s="372" t="s">
        <v>857</v>
      </c>
    </row>
    <row r="2" spans="2:11" hidden="1" x14ac:dyDescent="0.35">
      <c r="B2" t="s">
        <v>785</v>
      </c>
      <c r="C2" s="359">
        <v>1200</v>
      </c>
      <c r="D2" s="71" t="s">
        <v>831</v>
      </c>
      <c r="E2" s="71" t="s">
        <v>640</v>
      </c>
      <c r="F2" s="71" t="s">
        <v>778</v>
      </c>
      <c r="G2" s="358" t="s">
        <v>777</v>
      </c>
    </row>
    <row r="3" spans="2:11" hidden="1" x14ac:dyDescent="0.35">
      <c r="B3" t="s">
        <v>784</v>
      </c>
      <c r="C3" s="359">
        <v>1600</v>
      </c>
      <c r="D3" s="71" t="s">
        <v>831</v>
      </c>
      <c r="E3" s="71" t="s">
        <v>640</v>
      </c>
      <c r="F3" s="71" t="s">
        <v>778</v>
      </c>
      <c r="G3" s="358" t="s">
        <v>777</v>
      </c>
    </row>
    <row r="4" spans="2:11" hidden="1" x14ac:dyDescent="0.35">
      <c r="B4" t="s">
        <v>783</v>
      </c>
      <c r="C4" s="359">
        <v>1200</v>
      </c>
      <c r="D4" s="71" t="s">
        <v>831</v>
      </c>
      <c r="E4" s="71" t="s">
        <v>640</v>
      </c>
      <c r="F4" s="71" t="s">
        <v>778</v>
      </c>
      <c r="G4" s="358" t="s">
        <v>777</v>
      </c>
    </row>
    <row r="5" spans="2:11" hidden="1" x14ac:dyDescent="0.35">
      <c r="B5" t="s">
        <v>782</v>
      </c>
      <c r="C5" s="359">
        <v>2400</v>
      </c>
      <c r="D5" s="71" t="s">
        <v>831</v>
      </c>
      <c r="E5" s="71" t="s">
        <v>640</v>
      </c>
      <c r="F5" s="71" t="s">
        <v>778</v>
      </c>
      <c r="G5" s="358" t="s">
        <v>777</v>
      </c>
    </row>
    <row r="6" spans="2:11" hidden="1" x14ac:dyDescent="0.35">
      <c r="B6" t="s">
        <v>781</v>
      </c>
      <c r="C6" s="359">
        <v>1600</v>
      </c>
      <c r="D6" s="71" t="s">
        <v>831</v>
      </c>
      <c r="E6" s="71" t="s">
        <v>640</v>
      </c>
      <c r="F6" s="71" t="s">
        <v>778</v>
      </c>
      <c r="G6" s="358" t="s">
        <v>777</v>
      </c>
    </row>
    <row r="7" spans="2:11" hidden="1" x14ac:dyDescent="0.35">
      <c r="B7" t="s">
        <v>780</v>
      </c>
      <c r="C7" s="359">
        <v>1200</v>
      </c>
      <c r="D7" s="71" t="s">
        <v>831</v>
      </c>
      <c r="E7" s="71" t="s">
        <v>640</v>
      </c>
      <c r="F7" s="71" t="s">
        <v>778</v>
      </c>
      <c r="G7" s="358" t="s">
        <v>777</v>
      </c>
    </row>
    <row r="8" spans="2:11" hidden="1" x14ac:dyDescent="0.35">
      <c r="B8" t="s">
        <v>779</v>
      </c>
      <c r="C8" s="359">
        <v>1200</v>
      </c>
      <c r="D8" s="71" t="s">
        <v>831</v>
      </c>
      <c r="E8" s="71" t="s">
        <v>640</v>
      </c>
      <c r="F8" s="71" t="s">
        <v>778</v>
      </c>
      <c r="G8" s="358" t="s">
        <v>777</v>
      </c>
    </row>
    <row r="9" spans="2:11" hidden="1" x14ac:dyDescent="0.35">
      <c r="B9" t="s">
        <v>807</v>
      </c>
      <c r="C9" s="359">
        <v>1400</v>
      </c>
      <c r="D9" s="71" t="s">
        <v>792</v>
      </c>
      <c r="E9" s="71" t="s">
        <v>640</v>
      </c>
      <c r="F9" s="71" t="s">
        <v>794</v>
      </c>
      <c r="G9" s="358" t="s">
        <v>806</v>
      </c>
    </row>
    <row r="10" spans="2:11" hidden="1" x14ac:dyDescent="0.35">
      <c r="B10" t="s">
        <v>805</v>
      </c>
      <c r="C10" s="359">
        <v>6000</v>
      </c>
      <c r="D10" s="360" t="s">
        <v>797</v>
      </c>
      <c r="E10" s="71" t="s">
        <v>640</v>
      </c>
      <c r="F10" s="71" t="s">
        <v>794</v>
      </c>
      <c r="G10" s="358" t="s">
        <v>815</v>
      </c>
    </row>
    <row r="11" spans="2:11" hidden="1" x14ac:dyDescent="0.35">
      <c r="B11" t="s">
        <v>804</v>
      </c>
      <c r="C11" s="359">
        <v>6000</v>
      </c>
      <c r="D11" s="360" t="s">
        <v>792</v>
      </c>
      <c r="E11" s="71" t="s">
        <v>640</v>
      </c>
      <c r="F11" s="71" t="s">
        <v>794</v>
      </c>
      <c r="G11" s="358" t="s">
        <v>815</v>
      </c>
    </row>
    <row r="12" spans="2:11" hidden="1" x14ac:dyDescent="0.35">
      <c r="B12" t="s">
        <v>803</v>
      </c>
      <c r="C12" s="359">
        <v>6000</v>
      </c>
      <c r="D12" s="360" t="s">
        <v>797</v>
      </c>
      <c r="E12" s="71" t="s">
        <v>640</v>
      </c>
      <c r="F12" s="71" t="s">
        <v>794</v>
      </c>
      <c r="G12" s="358" t="s">
        <v>815</v>
      </c>
    </row>
    <row r="13" spans="2:11" hidden="1" x14ac:dyDescent="0.35">
      <c r="B13" t="s">
        <v>802</v>
      </c>
      <c r="C13" s="359">
        <v>6000</v>
      </c>
      <c r="D13" s="360" t="s">
        <v>792</v>
      </c>
      <c r="E13" s="71" t="s">
        <v>640</v>
      </c>
      <c r="F13" s="71" t="s">
        <v>794</v>
      </c>
      <c r="G13" s="358" t="s">
        <v>815</v>
      </c>
    </row>
    <row r="14" spans="2:11" hidden="1" x14ac:dyDescent="0.35">
      <c r="B14" t="s">
        <v>827</v>
      </c>
      <c r="C14" s="359">
        <v>4000</v>
      </c>
      <c r="D14" s="360" t="s">
        <v>828</v>
      </c>
      <c r="E14" s="71" t="s">
        <v>640</v>
      </c>
      <c r="F14" s="71" t="s">
        <v>794</v>
      </c>
      <c r="G14" s="358" t="s">
        <v>815</v>
      </c>
    </row>
    <row r="15" spans="2:11" hidden="1" x14ac:dyDescent="0.35">
      <c r="B15" t="s">
        <v>801</v>
      </c>
      <c r="C15" s="359">
        <v>6000</v>
      </c>
      <c r="D15" s="360" t="s">
        <v>797</v>
      </c>
      <c r="E15" s="71" t="s">
        <v>640</v>
      </c>
      <c r="F15" s="71" t="s">
        <v>794</v>
      </c>
      <c r="G15" s="358" t="s">
        <v>815</v>
      </c>
    </row>
    <row r="16" spans="2:11" hidden="1" x14ac:dyDescent="0.35">
      <c r="B16" t="s">
        <v>800</v>
      </c>
      <c r="C16" s="359">
        <v>6000</v>
      </c>
      <c r="D16" s="360" t="s">
        <v>797</v>
      </c>
      <c r="E16" s="71" t="s">
        <v>640</v>
      </c>
      <c r="F16" s="71" t="s">
        <v>794</v>
      </c>
      <c r="G16" s="358" t="s">
        <v>815</v>
      </c>
    </row>
    <row r="17" spans="1:7" hidden="1" x14ac:dyDescent="0.35">
      <c r="B17" t="s">
        <v>799</v>
      </c>
      <c r="C17" s="359">
        <v>6000</v>
      </c>
      <c r="D17" s="360" t="s">
        <v>797</v>
      </c>
      <c r="E17" s="71" t="s">
        <v>640</v>
      </c>
      <c r="F17" s="71" t="s">
        <v>794</v>
      </c>
      <c r="G17" s="358" t="s">
        <v>815</v>
      </c>
    </row>
    <row r="18" spans="1:7" hidden="1" x14ac:dyDescent="0.35">
      <c r="B18" t="s">
        <v>818</v>
      </c>
      <c r="C18" s="359">
        <v>6000</v>
      </c>
      <c r="D18" s="360" t="s">
        <v>792</v>
      </c>
      <c r="E18" s="71" t="s">
        <v>640</v>
      </c>
      <c r="F18" s="71" t="s">
        <v>794</v>
      </c>
      <c r="G18" s="358" t="s">
        <v>819</v>
      </c>
    </row>
    <row r="19" spans="1:7" hidden="1" x14ac:dyDescent="0.35">
      <c r="B19" t="s">
        <v>798</v>
      </c>
      <c r="C19" s="359">
        <v>6000</v>
      </c>
      <c r="D19" s="360" t="s">
        <v>797</v>
      </c>
      <c r="E19" s="71" t="s">
        <v>640</v>
      </c>
      <c r="F19" s="71" t="s">
        <v>794</v>
      </c>
      <c r="G19" s="358" t="s">
        <v>815</v>
      </c>
    </row>
    <row r="20" spans="1:7" hidden="1" x14ac:dyDescent="0.35">
      <c r="B20" t="s">
        <v>796</v>
      </c>
      <c r="C20" s="359">
        <v>7000</v>
      </c>
      <c r="D20" s="71" t="s">
        <v>792</v>
      </c>
      <c r="E20" s="71" t="s">
        <v>640</v>
      </c>
      <c r="F20" s="71" t="s">
        <v>794</v>
      </c>
    </row>
    <row r="21" spans="1:7" hidden="1" x14ac:dyDescent="0.35">
      <c r="B21" t="s">
        <v>816</v>
      </c>
      <c r="C21" s="359">
        <v>7000</v>
      </c>
      <c r="D21" s="71" t="s">
        <v>817</v>
      </c>
      <c r="E21" s="71" t="s">
        <v>640</v>
      </c>
      <c r="F21" s="71" t="s">
        <v>794</v>
      </c>
    </row>
    <row r="22" spans="1:7" hidden="1" x14ac:dyDescent="0.35">
      <c r="B22" t="s">
        <v>776</v>
      </c>
      <c r="C22" s="359">
        <v>20000</v>
      </c>
      <c r="D22" s="71" t="s">
        <v>795</v>
      </c>
      <c r="E22" s="71" t="s">
        <v>640</v>
      </c>
      <c r="F22" s="71" t="s">
        <v>788</v>
      </c>
    </row>
    <row r="23" spans="1:7" hidden="1" x14ac:dyDescent="0.35">
      <c r="B23" t="s">
        <v>859</v>
      </c>
      <c r="C23" s="359">
        <v>4000</v>
      </c>
      <c r="D23" s="360" t="s">
        <v>828</v>
      </c>
      <c r="E23" s="71" t="s">
        <v>640</v>
      </c>
      <c r="F23" s="71" t="s">
        <v>794</v>
      </c>
      <c r="G23" s="358" t="s">
        <v>815</v>
      </c>
    </row>
    <row r="24" spans="1:7" hidden="1" x14ac:dyDescent="0.35">
      <c r="B24" t="s">
        <v>791</v>
      </c>
      <c r="C24" s="359">
        <v>1000000</v>
      </c>
      <c r="D24" s="71" t="s">
        <v>790</v>
      </c>
      <c r="E24" s="71" t="s">
        <v>640</v>
      </c>
      <c r="F24" s="71" t="s">
        <v>788</v>
      </c>
    </row>
    <row r="25" spans="1:7" hidden="1" x14ac:dyDescent="0.35">
      <c r="B25" t="s">
        <v>829</v>
      </c>
      <c r="C25" s="359">
        <v>451000</v>
      </c>
      <c r="D25" s="71" t="s">
        <v>863</v>
      </c>
      <c r="E25" s="71" t="s">
        <v>640</v>
      </c>
      <c r="F25" s="71" t="s">
        <v>794</v>
      </c>
      <c r="G25" s="358" t="s">
        <v>830</v>
      </c>
    </row>
    <row r="26" spans="1:7" hidden="1" x14ac:dyDescent="0.35">
      <c r="B26" t="s">
        <v>793</v>
      </c>
      <c r="C26" s="359">
        <v>20000</v>
      </c>
      <c r="D26" s="71" t="s">
        <v>792</v>
      </c>
      <c r="E26" s="71" t="s">
        <v>640</v>
      </c>
      <c r="F26" s="71" t="s">
        <v>778</v>
      </c>
    </row>
    <row r="27" spans="1:7" hidden="1" x14ac:dyDescent="0.35">
      <c r="B27" t="s">
        <v>789</v>
      </c>
      <c r="C27" s="359">
        <v>14000</v>
      </c>
      <c r="D27" s="71" t="s">
        <v>858</v>
      </c>
      <c r="E27" s="71" t="s">
        <v>640</v>
      </c>
      <c r="F27" s="71" t="s">
        <v>778</v>
      </c>
    </row>
    <row r="28" spans="1:7" x14ac:dyDescent="0.35">
      <c r="A28" s="386"/>
      <c r="B28" t="s">
        <v>898</v>
      </c>
      <c r="G28" s="358" t="s">
        <v>777</v>
      </c>
    </row>
    <row r="29" spans="1:7" x14ac:dyDescent="0.35">
      <c r="A29" s="386"/>
      <c r="B29" t="s">
        <v>899</v>
      </c>
      <c r="G29" s="358" t="s">
        <v>777</v>
      </c>
    </row>
    <row r="30" spans="1:7" x14ac:dyDescent="0.35">
      <c r="A30" s="386"/>
      <c r="B30" t="s">
        <v>900</v>
      </c>
      <c r="G30" s="358" t="s">
        <v>777</v>
      </c>
    </row>
    <row r="31" spans="1:7" x14ac:dyDescent="0.35">
      <c r="A31" s="386"/>
      <c r="B31" t="s">
        <v>901</v>
      </c>
      <c r="G31" s="358" t="s">
        <v>777</v>
      </c>
    </row>
    <row r="32" spans="1:7" x14ac:dyDescent="0.35">
      <c r="A32" s="386"/>
      <c r="B32" t="s">
        <v>838</v>
      </c>
      <c r="C32" s="359">
        <f>480*120</f>
        <v>57600</v>
      </c>
      <c r="D32" s="71" t="s">
        <v>895</v>
      </c>
      <c r="F32" s="71" t="s">
        <v>778</v>
      </c>
      <c r="G32" s="358" t="s">
        <v>835</v>
      </c>
    </row>
    <row r="33" spans="1:7" x14ac:dyDescent="0.35">
      <c r="A33" s="386"/>
      <c r="B33" t="s">
        <v>837</v>
      </c>
      <c r="C33" s="359" t="s">
        <v>786</v>
      </c>
      <c r="D33" s="71" t="s">
        <v>786</v>
      </c>
      <c r="F33" s="71" t="s">
        <v>778</v>
      </c>
      <c r="G33" s="358" t="s">
        <v>835</v>
      </c>
    </row>
    <row r="34" spans="1:7" hidden="1" x14ac:dyDescent="0.35">
      <c r="A34" s="386"/>
      <c r="B34" t="s">
        <v>840</v>
      </c>
      <c r="C34" s="359">
        <f>160*200</f>
        <v>32000</v>
      </c>
      <c r="D34" s="71" t="s">
        <v>863</v>
      </c>
      <c r="E34" s="71" t="s">
        <v>640</v>
      </c>
    </row>
    <row r="35" spans="1:7" x14ac:dyDescent="0.35">
      <c r="A35" s="386"/>
      <c r="B35" t="s">
        <v>893</v>
      </c>
      <c r="C35" s="359">
        <f>160*200</f>
        <v>32000</v>
      </c>
      <c r="D35" s="71" t="s">
        <v>902</v>
      </c>
    </row>
    <row r="36" spans="1:7" x14ac:dyDescent="0.35">
      <c r="A36" s="386"/>
      <c r="B36" t="s">
        <v>843</v>
      </c>
      <c r="C36" s="359" t="s">
        <v>786</v>
      </c>
      <c r="D36" s="71" t="s">
        <v>41</v>
      </c>
      <c r="G36" s="358" t="s">
        <v>777</v>
      </c>
    </row>
    <row r="37" spans="1:7" x14ac:dyDescent="0.35">
      <c r="A37" s="386"/>
      <c r="B37" t="s">
        <v>842</v>
      </c>
      <c r="C37" s="359">
        <f>160*200</f>
        <v>32000</v>
      </c>
      <c r="D37" s="71" t="s">
        <v>864</v>
      </c>
      <c r="E37" s="71" t="s">
        <v>640</v>
      </c>
      <c r="F37" s="71" t="s">
        <v>794</v>
      </c>
      <c r="G37" s="358" t="s">
        <v>865</v>
      </c>
    </row>
    <row r="38" spans="1:7" x14ac:dyDescent="0.35">
      <c r="B38" t="s">
        <v>845</v>
      </c>
      <c r="C38" s="359" t="s">
        <v>786</v>
      </c>
      <c r="D38" s="71" t="s">
        <v>786</v>
      </c>
      <c r="G38" s="358" t="s">
        <v>777</v>
      </c>
    </row>
    <row r="39" spans="1:7" x14ac:dyDescent="0.35">
      <c r="B39" t="s">
        <v>844</v>
      </c>
      <c r="C39" s="359">
        <f>160*200</f>
        <v>32000</v>
      </c>
      <c r="D39" s="71" t="s">
        <v>890</v>
      </c>
      <c r="F39" s="71" t="s">
        <v>794</v>
      </c>
      <c r="G39" s="358" t="s">
        <v>865</v>
      </c>
    </row>
    <row r="40" spans="1:7" hidden="1" x14ac:dyDescent="0.35">
      <c r="B40" t="s">
        <v>836</v>
      </c>
      <c r="C40" s="359">
        <f>2110*120</f>
        <v>253200</v>
      </c>
      <c r="D40" s="71" t="s">
        <v>862</v>
      </c>
      <c r="E40" s="71" t="s">
        <v>640</v>
      </c>
      <c r="F40" s="71" t="s">
        <v>788</v>
      </c>
      <c r="G40" s="358" t="s">
        <v>839</v>
      </c>
    </row>
    <row r="41" spans="1:7" x14ac:dyDescent="0.35">
      <c r="B41" t="s">
        <v>847</v>
      </c>
      <c r="C41" s="359" t="s">
        <v>786</v>
      </c>
      <c r="D41" s="71" t="s">
        <v>786</v>
      </c>
      <c r="G41" s="358" t="s">
        <v>777</v>
      </c>
    </row>
    <row r="42" spans="1:7" x14ac:dyDescent="0.35">
      <c r="B42" t="s">
        <v>846</v>
      </c>
      <c r="C42" s="359">
        <f>160*200</f>
        <v>32000</v>
      </c>
      <c r="D42" s="71" t="s">
        <v>886</v>
      </c>
      <c r="E42" s="71" t="s">
        <v>640</v>
      </c>
      <c r="F42" s="71" t="s">
        <v>794</v>
      </c>
      <c r="G42" s="358" t="s">
        <v>865</v>
      </c>
    </row>
    <row r="43" spans="1:7" x14ac:dyDescent="0.35">
      <c r="B43" t="s">
        <v>849</v>
      </c>
      <c r="C43" s="359" t="s">
        <v>786</v>
      </c>
      <c r="D43" s="71" t="s">
        <v>786</v>
      </c>
      <c r="G43" s="358" t="s">
        <v>777</v>
      </c>
    </row>
    <row r="44" spans="1:7" x14ac:dyDescent="0.35">
      <c r="B44" t="s">
        <v>848</v>
      </c>
      <c r="C44" s="359">
        <f>160*200</f>
        <v>32000</v>
      </c>
      <c r="D44" s="71" t="s">
        <v>890</v>
      </c>
      <c r="F44" s="71" t="s">
        <v>794</v>
      </c>
      <c r="G44" s="358" t="s">
        <v>865</v>
      </c>
    </row>
    <row r="45" spans="1:7" x14ac:dyDescent="0.35">
      <c r="B45" t="s">
        <v>851</v>
      </c>
      <c r="C45" s="359" t="s">
        <v>786</v>
      </c>
      <c r="D45" s="71" t="s">
        <v>786</v>
      </c>
      <c r="G45" s="358" t="s">
        <v>852</v>
      </c>
    </row>
    <row r="46" spans="1:7" x14ac:dyDescent="0.35">
      <c r="B46" t="s">
        <v>850</v>
      </c>
      <c r="C46" s="359">
        <f>160*200</f>
        <v>32000</v>
      </c>
      <c r="D46" s="71" t="s">
        <v>892</v>
      </c>
      <c r="F46" s="71" t="s">
        <v>794</v>
      </c>
      <c r="G46" s="358" t="s">
        <v>865</v>
      </c>
    </row>
    <row r="47" spans="1:7" x14ac:dyDescent="0.35">
      <c r="B47" t="s">
        <v>866</v>
      </c>
      <c r="F47" s="71" t="s">
        <v>778</v>
      </c>
    </row>
    <row r="48" spans="1:7" x14ac:dyDescent="0.35">
      <c r="B48" t="s">
        <v>867</v>
      </c>
      <c r="F48" s="71" t="s">
        <v>778</v>
      </c>
      <c r="G48" s="358" t="s">
        <v>787</v>
      </c>
    </row>
    <row r="49" spans="2:7" x14ac:dyDescent="0.35">
      <c r="B49" t="s">
        <v>868</v>
      </c>
      <c r="C49" s="359">
        <v>61200</v>
      </c>
      <c r="D49" s="71" t="s">
        <v>890</v>
      </c>
      <c r="F49" s="71" t="s">
        <v>788</v>
      </c>
    </row>
    <row r="50" spans="2:7" x14ac:dyDescent="0.35">
      <c r="B50" t="s">
        <v>869</v>
      </c>
      <c r="G50" s="358" t="s">
        <v>811</v>
      </c>
    </row>
    <row r="51" spans="2:7" x14ac:dyDescent="0.35">
      <c r="B51" t="s">
        <v>870</v>
      </c>
      <c r="F51" s="71" t="s">
        <v>778</v>
      </c>
    </row>
    <row r="52" spans="2:7" x14ac:dyDescent="0.35">
      <c r="B52" t="s">
        <v>871</v>
      </c>
      <c r="F52" s="71" t="s">
        <v>778</v>
      </c>
    </row>
    <row r="53" spans="2:7" x14ac:dyDescent="0.35">
      <c r="B53" t="s">
        <v>872</v>
      </c>
      <c r="F53" s="71" t="s">
        <v>778</v>
      </c>
      <c r="G53" s="358" t="s">
        <v>787</v>
      </c>
    </row>
    <row r="54" spans="2:7" x14ac:dyDescent="0.35">
      <c r="B54" t="s">
        <v>873</v>
      </c>
      <c r="D54" s="71" t="s">
        <v>892</v>
      </c>
      <c r="F54" s="71" t="s">
        <v>788</v>
      </c>
    </row>
    <row r="55" spans="2:7" x14ac:dyDescent="0.35">
      <c r="B55" t="s">
        <v>874</v>
      </c>
      <c r="G55" s="358" t="s">
        <v>811</v>
      </c>
    </row>
    <row r="56" spans="2:7" x14ac:dyDescent="0.35">
      <c r="B56" t="s">
        <v>875</v>
      </c>
      <c r="C56" s="359" t="s">
        <v>786</v>
      </c>
      <c r="F56" s="71" t="s">
        <v>778</v>
      </c>
    </row>
    <row r="57" spans="2:7" x14ac:dyDescent="0.35">
      <c r="B57" t="s">
        <v>894</v>
      </c>
      <c r="C57" s="359">
        <f>15*4*120</f>
        <v>7200</v>
      </c>
      <c r="D57" s="71" t="s">
        <v>886</v>
      </c>
    </row>
    <row r="58" spans="2:7" x14ac:dyDescent="0.35">
      <c r="B58" t="s">
        <v>897</v>
      </c>
      <c r="C58" s="359" t="s">
        <v>786</v>
      </c>
    </row>
  </sheetData>
  <sortState xmlns:xlrd2="http://schemas.microsoft.com/office/spreadsheetml/2017/richdata2" ref="B28:G58">
    <sortCondition ref="B28:B58"/>
  </sortState>
  <mergeCells count="1">
    <mergeCell ref="A28:A37"/>
  </mergeCells>
  <conditionalFormatting sqref="B2:G1048576">
    <cfRule type="expression" dxfId="46" priority="4">
      <formula>MOD(ROW(),2)=0</formula>
    </cfRule>
    <cfRule type="expression" dxfId="45" priority="5">
      <formula>MOD(ROW(),2)=1</formula>
    </cfRule>
  </conditionalFormatting>
  <conditionalFormatting sqref="F2:F1048576">
    <cfRule type="containsText" dxfId="44" priority="1" operator="containsText" text="Low">
      <formula>NOT(ISERROR(SEARCH("Low",F2)))</formula>
    </cfRule>
    <cfRule type="containsText" dxfId="43" priority="2" operator="containsText" text="Medium">
      <formula>NOT(ISERROR(SEARCH("Medium",F2)))</formula>
    </cfRule>
    <cfRule type="containsText" dxfId="42" priority="3" operator="containsText" text="High">
      <formula>NOT(ISERROR(SEARCH("High",F2)))</formula>
    </cfRule>
  </conditionalFormatting>
  <dataValidations count="2">
    <dataValidation type="list" allowBlank="1" showInputMessage="1" showErrorMessage="1" sqref="F9:F21 F2:F7 F24:F1048576" xr:uid="{14B6F8C5-A3A1-4E38-A052-A69E1CB388EB}">
      <formula1>"High,Medium,Low"</formula1>
    </dataValidation>
    <dataValidation type="list" allowBlank="1" showInputMessage="1" showErrorMessage="1" sqref="E9:E21 E2:E7 E24:E1048576" xr:uid="{2F3F3573-C3E0-4A60-91A2-8E10A8B0948B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9997-B868-4282-AB78-2C8C79D263F4}">
  <dimension ref="A1:AG1558"/>
  <sheetViews>
    <sheetView tabSelected="1" zoomScale="85" zoomScaleNormal="85" workbookViewId="0">
      <pane xSplit="2" ySplit="1" topLeftCell="C473" activePane="bottomRight" state="frozen"/>
      <selection pane="topRight" activeCell="C1" sqref="C1"/>
      <selection pane="bottomLeft" activeCell="A2" sqref="A2"/>
      <selection pane="bottomRight" activeCell="O485" sqref="O485"/>
    </sheetView>
  </sheetViews>
  <sheetFormatPr defaultColWidth="8.7265625" defaultRowHeight="14.5" outlineLevelCol="1" x14ac:dyDescent="0.35"/>
  <cols>
    <col min="1" max="1" width="10.1796875" style="351" bestFit="1" customWidth="1"/>
    <col min="2" max="2" width="22.81640625" style="76" customWidth="1"/>
    <col min="3" max="3" width="9.81640625" style="71" customWidth="1"/>
    <col min="4" max="4" width="6.7265625" style="71" customWidth="1"/>
    <col min="5" max="6" width="7.81640625" style="3" customWidth="1"/>
    <col min="7" max="7" width="5" style="3" customWidth="1"/>
    <col min="8" max="8" width="8.54296875" style="76" customWidth="1"/>
    <col min="9" max="9" width="5.54296875" style="3" customWidth="1" outlineLevel="1"/>
    <col min="10" max="10" width="6.1796875" style="3" customWidth="1" outlineLevel="1"/>
    <col min="11" max="11" width="6.54296875" style="3" customWidth="1" outlineLevel="1"/>
    <col min="12" max="12" width="10.26953125" style="326" customWidth="1" outlineLevel="1"/>
    <col min="13" max="13" width="5.26953125" style="326" customWidth="1" outlineLevel="1"/>
    <col min="14" max="14" width="7.1796875" style="356" customWidth="1" outlineLevel="1"/>
    <col min="15" max="15" width="7.453125" style="3" customWidth="1" outlineLevel="1"/>
    <col min="16" max="16" width="7.7265625" style="3" customWidth="1" outlineLevel="1"/>
    <col min="17" max="17" width="4.453125" style="3" customWidth="1" outlineLevel="1"/>
    <col min="18" max="18" width="7.54296875" style="3" customWidth="1" outlineLevel="1"/>
    <col min="19" max="19" width="6.26953125" style="3" customWidth="1" outlineLevel="1"/>
    <col min="20" max="20" width="9.81640625" style="76" customWidth="1"/>
    <col min="21" max="21" width="8.54296875" style="76" customWidth="1"/>
    <col min="22" max="22" width="8.81640625" style="76" bestFit="1" customWidth="1"/>
    <col min="23" max="23" width="7.7265625" style="3" customWidth="1"/>
    <col min="24" max="24" width="12.81640625" style="3" customWidth="1"/>
    <col min="25" max="25" width="10.453125" style="3" customWidth="1"/>
    <col min="26" max="26" width="6.81640625" style="3" bestFit="1" customWidth="1"/>
    <col min="27" max="27" width="8.81640625" style="76" customWidth="1"/>
    <col min="28" max="28" width="8.7265625" style="76" customWidth="1"/>
    <col min="29" max="29" width="10.7265625" style="76" bestFit="1" customWidth="1"/>
    <col min="30" max="30" width="65.1796875" style="47" customWidth="1"/>
    <col min="31" max="31" width="19.81640625" style="3" customWidth="1"/>
    <col min="32" max="16384" width="8.7265625" style="3"/>
  </cols>
  <sheetData>
    <row r="1" spans="1:33" s="1" customFormat="1" ht="33" customHeight="1" thickBot="1" x14ac:dyDescent="0.4">
      <c r="A1" s="351" t="s">
        <v>1</v>
      </c>
      <c r="B1" s="264" t="s">
        <v>0</v>
      </c>
      <c r="C1" s="78" t="s">
        <v>103</v>
      </c>
      <c r="D1" s="78" t="s">
        <v>688</v>
      </c>
      <c r="E1" s="78" t="s">
        <v>4</v>
      </c>
      <c r="F1" s="80" t="s">
        <v>225</v>
      </c>
      <c r="G1" s="80" t="s">
        <v>639</v>
      </c>
      <c r="H1" s="79" t="s">
        <v>93</v>
      </c>
      <c r="I1" s="78" t="s">
        <v>187</v>
      </c>
      <c r="J1" s="78" t="s">
        <v>2</v>
      </c>
      <c r="K1" s="78" t="s">
        <v>478</v>
      </c>
      <c r="L1" s="78" t="s">
        <v>453</v>
      </c>
      <c r="M1" s="78" t="s">
        <v>501</v>
      </c>
      <c r="N1" s="80" t="s">
        <v>290</v>
      </c>
      <c r="O1" s="80" t="s">
        <v>291</v>
      </c>
      <c r="P1" s="80" t="s">
        <v>226</v>
      </c>
      <c r="Q1" s="80" t="s">
        <v>442</v>
      </c>
      <c r="R1" s="80" t="s">
        <v>182</v>
      </c>
      <c r="S1" s="80" t="s">
        <v>289</v>
      </c>
      <c r="T1" s="250" t="s">
        <v>181</v>
      </c>
      <c r="U1" s="250" t="s">
        <v>326</v>
      </c>
      <c r="V1" s="250" t="s">
        <v>186</v>
      </c>
      <c r="W1" s="78" t="s">
        <v>185</v>
      </c>
      <c r="X1" s="78" t="s">
        <v>372</v>
      </c>
      <c r="Y1" s="78" t="s">
        <v>113</v>
      </c>
      <c r="Z1" s="78" t="s">
        <v>5</v>
      </c>
      <c r="AA1" s="250" t="s">
        <v>451</v>
      </c>
      <c r="AB1" s="250" t="s">
        <v>450</v>
      </c>
      <c r="AC1" s="250" t="s">
        <v>184</v>
      </c>
      <c r="AD1" s="1" t="s">
        <v>173</v>
      </c>
    </row>
    <row r="2" spans="1:33" ht="16.5" customHeight="1" x14ac:dyDescent="0.35">
      <c r="A2" s="351">
        <v>45874</v>
      </c>
      <c r="B2" s="77" t="s">
        <v>92</v>
      </c>
      <c r="C2" s="71" t="s">
        <v>104</v>
      </c>
      <c r="D2" s="3"/>
      <c r="E2" s="3" t="s">
        <v>86</v>
      </c>
      <c r="F2" s="3">
        <v>0.1</v>
      </c>
      <c r="G2" s="3" t="s">
        <v>640</v>
      </c>
      <c r="H2" s="77">
        <v>23000</v>
      </c>
      <c r="I2" s="3" t="s">
        <v>88</v>
      </c>
      <c r="J2" s="3" t="s">
        <v>89</v>
      </c>
      <c r="L2" s="326" t="s">
        <v>454</v>
      </c>
      <c r="M2" s="3"/>
      <c r="N2" s="356" cm="1">
        <f t="array" ref="N2">_xlfn.IFS(I2="AEX",H2/400,I2="RP",H2/200)</f>
        <v>57.5</v>
      </c>
      <c r="O2" s="3">
        <v>63.8</v>
      </c>
      <c r="P2" s="75">
        <f t="shared" ref="P2:P33" si="0">H2/O2</f>
        <v>360.50156739811916</v>
      </c>
      <c r="Q2" s="3" t="str" cm="1">
        <f t="array" ref="Q2">_xlfn.IFS(P2&lt;200, "10", P2&lt;400, "12", P2&lt;600, "14", P2&gt;600, "16")</f>
        <v>12</v>
      </c>
      <c r="R2" s="75">
        <f t="shared" ref="R2:R22" si="1">IF(I2="AEX",H2*0.3/400,H2*0.3/200)</f>
        <v>17.25</v>
      </c>
      <c r="S2" s="75">
        <f t="shared" ref="S2:S33" si="2">R2/O2</f>
        <v>0.27037617554858934</v>
      </c>
      <c r="T2" s="77"/>
      <c r="U2" s="306">
        <f t="shared" ref="U2:U33" si="3">T2/H2*100</f>
        <v>0</v>
      </c>
      <c r="V2" s="77"/>
      <c r="W2" s="3" t="s">
        <v>91</v>
      </c>
      <c r="X2" s="2"/>
      <c r="Y2" s="3" t="s">
        <v>95</v>
      </c>
      <c r="Z2" s="3" t="s">
        <v>91</v>
      </c>
      <c r="AA2" s="77"/>
      <c r="AB2" s="77"/>
      <c r="AC2" s="77"/>
    </row>
    <row r="3" spans="1:33" ht="16.5" customHeight="1" x14ac:dyDescent="0.35">
      <c r="A3" s="351">
        <v>45880</v>
      </c>
      <c r="B3" s="76" t="s">
        <v>98</v>
      </c>
      <c r="C3" s="71" t="s">
        <v>104</v>
      </c>
      <c r="D3" s="3"/>
      <c r="E3" s="3" t="s">
        <v>86</v>
      </c>
      <c r="F3" s="3">
        <v>0.05</v>
      </c>
      <c r="H3" s="76">
        <v>4400</v>
      </c>
      <c r="I3" s="3" t="s">
        <v>88</v>
      </c>
      <c r="J3" s="3" t="s">
        <v>89</v>
      </c>
      <c r="M3" s="3"/>
      <c r="N3" s="356" cm="1">
        <f t="array" ref="N3">_xlfn.IFS(I3="AEX",H3/400,I3="RP",H3/200)</f>
        <v>11</v>
      </c>
      <c r="O3" s="3">
        <v>23.5</v>
      </c>
      <c r="P3" s="75">
        <f t="shared" si="0"/>
        <v>187.2340425531915</v>
      </c>
      <c r="Q3" s="3" t="str" cm="1">
        <f t="array" ref="Q3">_xlfn.IFS(P3&lt;200, "10", P3&lt;400, "12", P3&lt;600, "14", P3&gt;600, "16")</f>
        <v>10</v>
      </c>
      <c r="R3" s="75">
        <f t="shared" si="1"/>
        <v>3.3</v>
      </c>
      <c r="S3" s="75">
        <f t="shared" si="2"/>
        <v>0.1404255319148936</v>
      </c>
      <c r="U3" s="306">
        <f t="shared" si="3"/>
        <v>0</v>
      </c>
      <c r="W3" s="3" t="s">
        <v>91</v>
      </c>
      <c r="X3" s="2"/>
      <c r="Y3" s="3" t="s">
        <v>172</v>
      </c>
      <c r="Z3" s="3" t="s">
        <v>87</v>
      </c>
    </row>
    <row r="4" spans="1:33" ht="16.5" customHeight="1" x14ac:dyDescent="0.35">
      <c r="A4" s="351">
        <v>45880</v>
      </c>
      <c r="B4" s="76" t="s">
        <v>99</v>
      </c>
      <c r="C4" s="71" t="s">
        <v>104</v>
      </c>
      <c r="D4" s="3"/>
      <c r="E4" s="3" t="s">
        <v>87</v>
      </c>
      <c r="F4" s="3" t="s">
        <v>87</v>
      </c>
      <c r="H4" s="76">
        <v>240</v>
      </c>
      <c r="I4" s="3" t="s">
        <v>88</v>
      </c>
      <c r="J4" s="3" t="s">
        <v>90</v>
      </c>
      <c r="M4" s="3"/>
      <c r="N4" s="356" cm="1">
        <f t="array" ref="N4">_xlfn.IFS(I4="AEX",H4/400,I4="RP",H4/200)</f>
        <v>0.6</v>
      </c>
      <c r="O4" s="3">
        <v>23.5</v>
      </c>
      <c r="P4" s="75">
        <f t="shared" si="0"/>
        <v>10.212765957446809</v>
      </c>
      <c r="Q4" s="3" t="str" cm="1">
        <f t="array" ref="Q4">_xlfn.IFS(P4&lt;200, "10", P4&lt;400, "12", P4&lt;600, "14", P4&gt;600, "16")</f>
        <v>10</v>
      </c>
      <c r="R4" s="75">
        <f t="shared" si="1"/>
        <v>0.18</v>
      </c>
      <c r="S4" s="75">
        <f t="shared" si="2"/>
        <v>7.659574468085106E-3</v>
      </c>
      <c r="T4" s="2"/>
      <c r="U4" s="306">
        <f t="shared" si="3"/>
        <v>0</v>
      </c>
      <c r="W4" s="3" t="s">
        <v>87</v>
      </c>
      <c r="X4" s="2"/>
      <c r="Y4" s="3" t="s">
        <v>172</v>
      </c>
      <c r="Z4" s="3" t="s">
        <v>87</v>
      </c>
      <c r="AD4" s="47" t="s">
        <v>41</v>
      </c>
    </row>
    <row r="5" spans="1:33" ht="16.5" customHeight="1" x14ac:dyDescent="0.35">
      <c r="A5" s="351">
        <v>45880</v>
      </c>
      <c r="B5" s="76" t="s">
        <v>100</v>
      </c>
      <c r="C5" s="71" t="s">
        <v>104</v>
      </c>
      <c r="D5" s="3"/>
      <c r="E5" s="3" t="s">
        <v>87</v>
      </c>
      <c r="F5" s="3" t="s">
        <v>87</v>
      </c>
      <c r="H5" s="76">
        <v>210</v>
      </c>
      <c r="I5" s="3" t="s">
        <v>88</v>
      </c>
      <c r="J5" s="3" t="s">
        <v>90</v>
      </c>
      <c r="M5" s="3"/>
      <c r="N5" s="356" cm="1">
        <f t="array" ref="N5">_xlfn.IFS(I5="AEX",H5/400,I5="RP",H5/200)</f>
        <v>0.52500000000000002</v>
      </c>
      <c r="O5" s="3">
        <v>24.5</v>
      </c>
      <c r="P5" s="75">
        <f t="shared" si="0"/>
        <v>8.5714285714285712</v>
      </c>
      <c r="Q5" s="3" t="str" cm="1">
        <f t="array" ref="Q5">_xlfn.IFS(P5&lt;200, "10", P5&lt;400, "12", P5&lt;600, "14", P5&gt;600, "16")</f>
        <v>10</v>
      </c>
      <c r="R5" s="75">
        <f t="shared" si="1"/>
        <v>0.1575</v>
      </c>
      <c r="S5" s="75">
        <f t="shared" si="2"/>
        <v>6.4285714285714285E-3</v>
      </c>
      <c r="U5" s="306">
        <f t="shared" si="3"/>
        <v>0</v>
      </c>
      <c r="W5" s="3" t="s">
        <v>87</v>
      </c>
      <c r="X5" s="2"/>
      <c r="Y5" s="3" t="s">
        <v>172</v>
      </c>
      <c r="Z5" s="3" t="s">
        <v>87</v>
      </c>
      <c r="AE5" s="3" t="s">
        <v>41</v>
      </c>
      <c r="AF5" s="3" t="s">
        <v>183</v>
      </c>
      <c r="AG5" s="3" t="s">
        <v>41</v>
      </c>
    </row>
    <row r="6" spans="1:33" ht="16.5" customHeight="1" x14ac:dyDescent="0.35">
      <c r="A6" s="351">
        <v>45880</v>
      </c>
      <c r="B6" s="76" t="s">
        <v>101</v>
      </c>
      <c r="C6" s="71" t="s">
        <v>104</v>
      </c>
      <c r="D6" s="3"/>
      <c r="E6" s="3" t="s">
        <v>87</v>
      </c>
      <c r="F6" s="3" t="s">
        <v>87</v>
      </c>
      <c r="H6" s="76">
        <v>260</v>
      </c>
      <c r="I6" s="3" t="s">
        <v>88</v>
      </c>
      <c r="J6" s="3" t="s">
        <v>90</v>
      </c>
      <c r="M6" s="3"/>
      <c r="N6" s="356" cm="1">
        <f t="array" ref="N6">_xlfn.IFS(I6="AEX",H6/400,I6="RP",H6/200)</f>
        <v>0.65</v>
      </c>
      <c r="O6" s="3">
        <v>25.5</v>
      </c>
      <c r="P6" s="75">
        <f t="shared" si="0"/>
        <v>10.196078431372548</v>
      </c>
      <c r="Q6" s="3" t="str" cm="1">
        <f t="array" ref="Q6">_xlfn.IFS(P6&lt;200, "10", P6&lt;400, "12", P6&lt;600, "14", P6&gt;600, "16")</f>
        <v>10</v>
      </c>
      <c r="R6" s="75">
        <f t="shared" si="1"/>
        <v>0.19500000000000001</v>
      </c>
      <c r="S6" s="75">
        <f t="shared" si="2"/>
        <v>7.6470588235294122E-3</v>
      </c>
      <c r="U6" s="306">
        <f t="shared" si="3"/>
        <v>0</v>
      </c>
      <c r="W6" s="3" t="s">
        <v>87</v>
      </c>
      <c r="X6" s="2"/>
      <c r="Y6" s="3" t="s">
        <v>172</v>
      </c>
      <c r="Z6" s="3" t="s">
        <v>87</v>
      </c>
      <c r="AD6" s="47" t="s">
        <v>41</v>
      </c>
    </row>
    <row r="7" spans="1:33" ht="16.5" customHeight="1" x14ac:dyDescent="0.35">
      <c r="A7" s="351">
        <v>45881</v>
      </c>
      <c r="B7" s="76" t="s">
        <v>102</v>
      </c>
      <c r="C7" s="71" t="s">
        <v>104</v>
      </c>
      <c r="D7" s="3"/>
      <c r="E7" s="3" t="s">
        <v>87</v>
      </c>
      <c r="F7" s="3" t="s">
        <v>87</v>
      </c>
      <c r="H7" s="76">
        <v>230</v>
      </c>
      <c r="I7" s="3" t="s">
        <v>88</v>
      </c>
      <c r="J7" s="3" t="s">
        <v>90</v>
      </c>
      <c r="M7" s="3"/>
      <c r="N7" s="356" cm="1">
        <f t="array" ref="N7">_xlfn.IFS(I7="AEX",H7/400,I7="RP",H7/200)</f>
        <v>0.57499999999999996</v>
      </c>
      <c r="O7" s="3">
        <v>26.5</v>
      </c>
      <c r="P7" s="75">
        <f t="shared" si="0"/>
        <v>8.6792452830188687</v>
      </c>
      <c r="Q7" s="3" t="str" cm="1">
        <f t="array" ref="Q7">_xlfn.IFS(P7&lt;200, "10", P7&lt;400, "12", P7&lt;600, "14", P7&gt;600, "16")</f>
        <v>10</v>
      </c>
      <c r="R7" s="75">
        <f t="shared" si="1"/>
        <v>0.17249999999999999</v>
      </c>
      <c r="S7" s="75">
        <f t="shared" si="2"/>
        <v>6.5094339622641505E-3</v>
      </c>
      <c r="U7" s="306">
        <f t="shared" si="3"/>
        <v>0</v>
      </c>
      <c r="W7" s="3" t="s">
        <v>87</v>
      </c>
      <c r="X7" s="2"/>
      <c r="Y7" s="3" t="s">
        <v>172</v>
      </c>
      <c r="Z7" s="3" t="s">
        <v>87</v>
      </c>
    </row>
    <row r="8" spans="1:33" ht="16.5" customHeight="1" x14ac:dyDescent="0.35">
      <c r="A8" s="351">
        <v>45881</v>
      </c>
      <c r="B8" s="76" t="s">
        <v>116</v>
      </c>
      <c r="C8" s="71" t="s">
        <v>104</v>
      </c>
      <c r="D8" s="3"/>
      <c r="E8" s="3" t="s">
        <v>86</v>
      </c>
      <c r="F8" s="3">
        <v>0.05</v>
      </c>
      <c r="H8" s="76">
        <v>6544</v>
      </c>
      <c r="I8" s="3" t="s">
        <v>88</v>
      </c>
      <c r="J8" s="3" t="s">
        <v>90</v>
      </c>
      <c r="M8" s="3"/>
      <c r="N8" s="356" cm="1">
        <f t="array" ref="N8">_xlfn.IFS(I8="AEX",H8/400,I8="RP",H8/200)</f>
        <v>16.36</v>
      </c>
      <c r="O8" s="3">
        <v>23.5</v>
      </c>
      <c r="P8" s="75">
        <f t="shared" si="0"/>
        <v>278.468085106383</v>
      </c>
      <c r="Q8" s="3" t="str" cm="1">
        <f t="array" ref="Q8">_xlfn.IFS(P8&lt;200, "10", P8&lt;400, "12", P8&lt;600, "14", P8&gt;600, "16")</f>
        <v>12</v>
      </c>
      <c r="R8" s="75">
        <f t="shared" si="1"/>
        <v>4.9079999999999995</v>
      </c>
      <c r="S8" s="75">
        <f t="shared" si="2"/>
        <v>0.20885106382978721</v>
      </c>
      <c r="U8" s="306">
        <f t="shared" si="3"/>
        <v>0</v>
      </c>
      <c r="W8" s="3" t="s">
        <v>91</v>
      </c>
      <c r="X8" s="2"/>
      <c r="Y8" s="3" t="s">
        <v>172</v>
      </c>
      <c r="Z8" s="3" t="s">
        <v>87</v>
      </c>
    </row>
    <row r="9" spans="1:33" ht="16.5" customHeight="1" x14ac:dyDescent="0.35">
      <c r="A9" s="351">
        <v>45881</v>
      </c>
      <c r="B9" s="76" t="s">
        <v>96</v>
      </c>
      <c r="C9" s="71" t="s">
        <v>104</v>
      </c>
      <c r="D9" s="3"/>
      <c r="E9" s="3" t="s">
        <v>87</v>
      </c>
      <c r="F9" s="3">
        <v>0.25</v>
      </c>
      <c r="H9" s="76">
        <v>39771</v>
      </c>
      <c r="I9" s="3" t="s">
        <v>88</v>
      </c>
      <c r="J9" s="3" t="s">
        <v>89</v>
      </c>
      <c r="M9" s="3"/>
      <c r="N9" s="356" cm="1">
        <f t="array" ref="N9">_xlfn.IFS(I9="AEX",H9/400,I9="RP",H9/200)</f>
        <v>99.427499999999995</v>
      </c>
      <c r="O9" s="3">
        <v>298</v>
      </c>
      <c r="P9" s="75">
        <f t="shared" si="0"/>
        <v>133.45973154362417</v>
      </c>
      <c r="Q9" s="3" t="str" cm="1">
        <f t="array" ref="Q9">_xlfn.IFS(P9&lt;200, "10", P9&lt;400, "12", P9&lt;600, "14", P9&gt;600, "16")</f>
        <v>10</v>
      </c>
      <c r="R9" s="75">
        <f t="shared" si="1"/>
        <v>29.828249999999997</v>
      </c>
      <c r="S9" s="75">
        <f t="shared" si="2"/>
        <v>0.10009479865771811</v>
      </c>
      <c r="T9" s="76">
        <v>24744</v>
      </c>
      <c r="U9" s="306">
        <f t="shared" si="3"/>
        <v>62.216187674436149</v>
      </c>
      <c r="V9" s="76">
        <v>449</v>
      </c>
      <c r="W9" s="3" t="s">
        <v>91</v>
      </c>
      <c r="X9" s="2">
        <v>45881</v>
      </c>
      <c r="Y9" s="3" t="s">
        <v>94</v>
      </c>
      <c r="Z9" s="3" t="s">
        <v>87</v>
      </c>
      <c r="AA9" s="76">
        <v>23470</v>
      </c>
      <c r="AB9" s="76">
        <v>222.51</v>
      </c>
    </row>
    <row r="10" spans="1:33" ht="16.5" customHeight="1" x14ac:dyDescent="0.35">
      <c r="A10" s="351">
        <v>45881</v>
      </c>
      <c r="B10" s="76" t="s">
        <v>105</v>
      </c>
      <c r="C10" s="71" t="s">
        <v>104</v>
      </c>
      <c r="D10" s="3"/>
      <c r="E10" s="3" t="s">
        <v>87</v>
      </c>
      <c r="F10" s="3">
        <v>0.25</v>
      </c>
      <c r="H10" s="76">
        <v>37336</v>
      </c>
      <c r="I10" s="3" t="s">
        <v>88</v>
      </c>
      <c r="J10" s="3" t="s">
        <v>89</v>
      </c>
      <c r="M10" s="3"/>
      <c r="N10" s="356" cm="1">
        <f t="array" ref="N10">_xlfn.IFS(I10="AEX",H10/400,I10="RP",H10/200)</f>
        <v>93.34</v>
      </c>
      <c r="O10" s="3">
        <v>298</v>
      </c>
      <c r="P10" s="75">
        <f t="shared" si="0"/>
        <v>125.28859060402685</v>
      </c>
      <c r="Q10" s="3" t="str" cm="1">
        <f t="array" ref="Q10">_xlfn.IFS(P10&lt;200, "10", P10&lt;400, "12", P10&lt;600, "14", P10&gt;600, "16")</f>
        <v>10</v>
      </c>
      <c r="R10" s="75">
        <f t="shared" si="1"/>
        <v>28.001999999999999</v>
      </c>
      <c r="S10" s="75">
        <f t="shared" si="2"/>
        <v>9.3966442953020132E-2</v>
      </c>
      <c r="T10" s="76">
        <v>16454</v>
      </c>
      <c r="U10" s="306">
        <f t="shared" si="3"/>
        <v>44.070066423826873</v>
      </c>
      <c r="V10" s="76">
        <v>322</v>
      </c>
      <c r="W10" s="3" t="s">
        <v>91</v>
      </c>
      <c r="X10" s="2">
        <v>45882</v>
      </c>
      <c r="Y10" s="3" t="s">
        <v>94</v>
      </c>
      <c r="Z10" s="3" t="s">
        <v>87</v>
      </c>
      <c r="AA10" s="76">
        <v>15911</v>
      </c>
      <c r="AB10" s="76">
        <v>220</v>
      </c>
    </row>
    <row r="11" spans="1:33" ht="16.5" customHeight="1" x14ac:dyDescent="0.35">
      <c r="A11" s="351">
        <v>45882</v>
      </c>
      <c r="B11" s="76" t="s">
        <v>115</v>
      </c>
      <c r="C11" s="71" t="s">
        <v>104</v>
      </c>
      <c r="D11" s="3"/>
      <c r="E11" s="3" t="s">
        <v>87</v>
      </c>
      <c r="F11" s="3">
        <v>0.01</v>
      </c>
      <c r="H11" s="76">
        <v>19866</v>
      </c>
      <c r="I11" s="3" t="s">
        <v>88</v>
      </c>
      <c r="J11" s="3" t="s">
        <v>89</v>
      </c>
      <c r="M11" s="3"/>
      <c r="N11" s="356" cm="1">
        <f t="array" ref="N11">_xlfn.IFS(I11="AEX",H11/400,I11="RP",H11/200)</f>
        <v>49.664999999999999</v>
      </c>
      <c r="O11" s="3">
        <v>78.5</v>
      </c>
      <c r="P11" s="75">
        <f t="shared" si="0"/>
        <v>253.0700636942675</v>
      </c>
      <c r="Q11" s="3" t="str" cm="1">
        <f t="array" ref="Q11">_xlfn.IFS(P11&lt;200, "10", P11&lt;400, "12", P11&lt;600, "14", P11&gt;600, "16")</f>
        <v>12</v>
      </c>
      <c r="R11" s="75">
        <f t="shared" si="1"/>
        <v>14.8995</v>
      </c>
      <c r="S11" s="75">
        <f t="shared" si="2"/>
        <v>0.18980254777070063</v>
      </c>
      <c r="T11" s="76">
        <v>10200</v>
      </c>
      <c r="U11" s="306">
        <f t="shared" si="3"/>
        <v>51.344004832376925</v>
      </c>
      <c r="V11" s="76">
        <v>152</v>
      </c>
      <c r="W11" s="3" t="s">
        <v>91</v>
      </c>
      <c r="X11" s="2">
        <v>45882</v>
      </c>
      <c r="Y11" s="3" t="s">
        <v>97</v>
      </c>
      <c r="Z11" s="3" t="s">
        <v>87</v>
      </c>
      <c r="AA11" s="76">
        <v>9259.94</v>
      </c>
      <c r="AB11" s="76">
        <v>185.57</v>
      </c>
    </row>
    <row r="12" spans="1:33" ht="16.5" customHeight="1" x14ac:dyDescent="0.35">
      <c r="A12" s="351">
        <v>45882</v>
      </c>
      <c r="B12" s="76" t="s">
        <v>193</v>
      </c>
      <c r="C12" s="71" t="s">
        <v>104</v>
      </c>
      <c r="D12" s="3"/>
      <c r="E12" s="3" t="s">
        <v>194</v>
      </c>
      <c r="F12" s="3" t="s">
        <v>87</v>
      </c>
      <c r="H12" s="76">
        <v>512</v>
      </c>
      <c r="I12" s="3" t="s">
        <v>70</v>
      </c>
      <c r="J12" s="3" t="s">
        <v>195</v>
      </c>
      <c r="M12" s="3"/>
      <c r="N12" s="356" cm="1">
        <f t="array" ref="N12">_xlfn.IFS(I12="AEX",H12/400,I12="RP",H12/200)</f>
        <v>2.56</v>
      </c>
      <c r="O12" s="3">
        <v>24</v>
      </c>
      <c r="P12" s="75">
        <f t="shared" si="0"/>
        <v>21.333333333333332</v>
      </c>
      <c r="Q12" s="3" t="str" cm="1">
        <f t="array" ref="Q12">_xlfn.IFS(P12&lt;200, "10", P12&lt;400, "12", P12&lt;600, "14", P12&gt;600, "16")</f>
        <v>10</v>
      </c>
      <c r="R12" s="75">
        <f t="shared" si="1"/>
        <v>0.76800000000000002</v>
      </c>
      <c r="S12" s="75">
        <f t="shared" si="2"/>
        <v>3.2000000000000001E-2</v>
      </c>
      <c r="U12" s="306">
        <f t="shared" si="3"/>
        <v>0</v>
      </c>
      <c r="W12" s="3" t="s">
        <v>87</v>
      </c>
      <c r="X12" s="2"/>
      <c r="Y12" s="3" t="s">
        <v>172</v>
      </c>
      <c r="Z12" s="3" t="s">
        <v>87</v>
      </c>
    </row>
    <row r="13" spans="1:33" ht="16.5" customHeight="1" x14ac:dyDescent="0.35">
      <c r="A13" s="351">
        <v>45882</v>
      </c>
      <c r="B13" s="76" t="s">
        <v>196</v>
      </c>
      <c r="C13" s="71" t="s">
        <v>104</v>
      </c>
      <c r="D13" s="3"/>
      <c r="E13" s="3" t="s">
        <v>194</v>
      </c>
      <c r="F13" s="3" t="s">
        <v>87</v>
      </c>
      <c r="H13" s="76">
        <v>782</v>
      </c>
      <c r="I13" s="3" t="s">
        <v>70</v>
      </c>
      <c r="J13" s="3" t="s">
        <v>195</v>
      </c>
      <c r="M13" s="3"/>
      <c r="N13" s="356" cm="1">
        <f t="array" ref="N13">_xlfn.IFS(I13="AEX",H13/400,I13="RP",H13/200)</f>
        <v>3.91</v>
      </c>
      <c r="O13" s="3">
        <v>24</v>
      </c>
      <c r="P13" s="75">
        <f t="shared" si="0"/>
        <v>32.583333333333336</v>
      </c>
      <c r="Q13" s="3" t="str" cm="1">
        <f t="array" ref="Q13">_xlfn.IFS(P13&lt;200, "10", P13&lt;400, "12", P13&lt;600, "14", P13&gt;600, "16")</f>
        <v>10</v>
      </c>
      <c r="R13" s="75">
        <f t="shared" si="1"/>
        <v>1.173</v>
      </c>
      <c r="S13" s="75">
        <f t="shared" si="2"/>
        <v>4.8875000000000002E-2</v>
      </c>
      <c r="U13" s="306">
        <f t="shared" si="3"/>
        <v>0</v>
      </c>
      <c r="W13" s="3" t="s">
        <v>87</v>
      </c>
      <c r="X13" s="2"/>
      <c r="Y13" s="3" t="s">
        <v>172</v>
      </c>
      <c r="Z13" s="3" t="s">
        <v>87</v>
      </c>
    </row>
    <row r="14" spans="1:33" ht="16.5" customHeight="1" x14ac:dyDescent="0.35">
      <c r="A14" s="351">
        <v>45883</v>
      </c>
      <c r="B14" s="76" t="s">
        <v>188</v>
      </c>
      <c r="C14" s="71" t="s">
        <v>104</v>
      </c>
      <c r="D14" s="3"/>
      <c r="E14" s="3" t="s">
        <v>87</v>
      </c>
      <c r="F14" s="3">
        <v>0.01</v>
      </c>
      <c r="H14" s="76">
        <v>19420</v>
      </c>
      <c r="I14" s="3" t="s">
        <v>88</v>
      </c>
      <c r="J14" s="3" t="s">
        <v>89</v>
      </c>
      <c r="M14" s="3"/>
      <c r="N14" s="356" cm="1">
        <f t="array" ref="N14">_xlfn.IFS(I14="AEX",H14/400,I14="RP",H14/200)</f>
        <v>48.55</v>
      </c>
      <c r="O14" s="3">
        <v>78.5</v>
      </c>
      <c r="P14" s="75">
        <f t="shared" si="0"/>
        <v>247.38853503184714</v>
      </c>
      <c r="Q14" s="3" t="str" cm="1">
        <f t="array" ref="Q14">_xlfn.IFS(P14&lt;200, "10", P14&lt;400, "12", P14&lt;600, "14", P14&gt;600, "16")</f>
        <v>12</v>
      </c>
      <c r="R14" s="75">
        <f t="shared" si="1"/>
        <v>14.565</v>
      </c>
      <c r="S14" s="75">
        <f t="shared" si="2"/>
        <v>0.18554140127388535</v>
      </c>
      <c r="T14" s="76">
        <v>11494</v>
      </c>
      <c r="U14" s="306">
        <f t="shared" si="3"/>
        <v>59.186405767250264</v>
      </c>
      <c r="V14" s="76">
        <v>221.99</v>
      </c>
      <c r="W14" s="3" t="s">
        <v>91</v>
      </c>
      <c r="X14" s="2">
        <v>45884</v>
      </c>
      <c r="Y14" s="3" t="s">
        <v>97</v>
      </c>
      <c r="Z14" s="3" t="s">
        <v>87</v>
      </c>
      <c r="AA14" s="76">
        <v>11278.47</v>
      </c>
      <c r="AB14" s="76">
        <v>347.03</v>
      </c>
    </row>
    <row r="15" spans="1:33" ht="16.5" customHeight="1" x14ac:dyDescent="0.35">
      <c r="A15" s="351">
        <v>45883</v>
      </c>
      <c r="B15" s="259" t="s">
        <v>199</v>
      </c>
      <c r="C15" s="71" t="s">
        <v>104</v>
      </c>
      <c r="D15" s="3"/>
      <c r="E15" s="3" t="s">
        <v>87</v>
      </c>
      <c r="F15" s="3" t="s">
        <v>87</v>
      </c>
      <c r="H15" s="76">
        <v>6468</v>
      </c>
      <c r="I15" s="3" t="s">
        <v>88</v>
      </c>
      <c r="J15" s="3" t="s">
        <v>90</v>
      </c>
      <c r="M15" s="3"/>
      <c r="N15" s="356" cm="1">
        <f t="array" ref="N15">_xlfn.IFS(I15="AEX",H15/400,I15="RP",H15/200)</f>
        <v>16.170000000000002</v>
      </c>
      <c r="O15" s="3">
        <v>23.5</v>
      </c>
      <c r="P15" s="75">
        <f t="shared" si="0"/>
        <v>275.2340425531915</v>
      </c>
      <c r="Q15" s="3" t="str" cm="1">
        <f t="array" ref="Q15">_xlfn.IFS(P15&lt;200, "10", P15&lt;400, "12", P15&lt;600, "14", P15&gt;600, "16")</f>
        <v>12</v>
      </c>
      <c r="R15" s="75">
        <f t="shared" si="1"/>
        <v>4.851</v>
      </c>
      <c r="S15" s="75">
        <f t="shared" si="2"/>
        <v>0.20642553191489363</v>
      </c>
      <c r="U15" s="306">
        <f t="shared" si="3"/>
        <v>0</v>
      </c>
      <c r="X15" s="2"/>
    </row>
    <row r="16" spans="1:33" ht="16.5" customHeight="1" x14ac:dyDescent="0.35">
      <c r="A16" s="351">
        <v>45884</v>
      </c>
      <c r="B16" s="76" t="s">
        <v>200</v>
      </c>
      <c r="C16" s="71" t="s">
        <v>104</v>
      </c>
      <c r="D16" s="3"/>
      <c r="E16" s="3" t="s">
        <v>87</v>
      </c>
      <c r="F16" s="3">
        <v>0.01</v>
      </c>
      <c r="H16" s="76">
        <v>22558</v>
      </c>
      <c r="I16" s="3" t="s">
        <v>88</v>
      </c>
      <c r="J16" s="3" t="s">
        <v>90</v>
      </c>
      <c r="M16" s="3"/>
      <c r="N16" s="356" cm="1">
        <f t="array" ref="N16">_xlfn.IFS(I16="AEX",H16/400,I16="RP",H16/200)</f>
        <v>56.395000000000003</v>
      </c>
      <c r="O16" s="3">
        <v>78.5</v>
      </c>
      <c r="P16" s="75">
        <f t="shared" si="0"/>
        <v>287.36305732484078</v>
      </c>
      <c r="Q16" s="3" t="str" cm="1">
        <f t="array" ref="Q16">_xlfn.IFS(P16&lt;200, "10", P16&lt;400, "12", P16&lt;600, "14", P16&gt;600, "16")</f>
        <v>12</v>
      </c>
      <c r="R16" s="75">
        <f t="shared" si="1"/>
        <v>16.918499999999998</v>
      </c>
      <c r="S16" s="75">
        <f t="shared" si="2"/>
        <v>0.21552229299363054</v>
      </c>
      <c r="T16" s="76">
        <v>13434</v>
      </c>
      <c r="U16" s="306">
        <f t="shared" si="3"/>
        <v>59.553151875166243</v>
      </c>
      <c r="V16" s="76">
        <v>249.72</v>
      </c>
      <c r="W16" s="3" t="s">
        <v>91</v>
      </c>
      <c r="X16" s="2">
        <v>45888</v>
      </c>
      <c r="Y16" s="3" t="s">
        <v>94</v>
      </c>
      <c r="Z16" s="3" t="s">
        <v>87</v>
      </c>
      <c r="AA16" s="76">
        <v>11923.87</v>
      </c>
      <c r="AB16" s="76">
        <v>227.75</v>
      </c>
    </row>
    <row r="17" spans="1:30" ht="16.5" customHeight="1" x14ac:dyDescent="0.35">
      <c r="A17" s="351">
        <v>45884</v>
      </c>
      <c r="B17" s="76" t="s">
        <v>201</v>
      </c>
      <c r="C17" s="71" t="s">
        <v>104</v>
      </c>
      <c r="D17" s="3"/>
      <c r="E17" s="3" t="s">
        <v>87</v>
      </c>
      <c r="F17" s="3">
        <v>0.01</v>
      </c>
      <c r="H17" s="76">
        <v>4000</v>
      </c>
      <c r="I17" s="3" t="s">
        <v>88</v>
      </c>
      <c r="J17" s="3" t="s">
        <v>90</v>
      </c>
      <c r="M17" s="3"/>
      <c r="N17" s="356" cm="1">
        <f t="array" ref="N17">_xlfn.IFS(I17="AEX",H17/400,I17="RP",H17/200)</f>
        <v>10</v>
      </c>
      <c r="O17" s="3">
        <v>23.5</v>
      </c>
      <c r="P17" s="75">
        <f t="shared" si="0"/>
        <v>170.21276595744681</v>
      </c>
      <c r="Q17" s="3" t="str" cm="1">
        <f t="array" ref="Q17">_xlfn.IFS(P17&lt;200, "10", P17&lt;400, "12", P17&lt;600, "14", P17&gt;600, "16")</f>
        <v>10</v>
      </c>
      <c r="R17" s="75">
        <f t="shared" si="1"/>
        <v>3</v>
      </c>
      <c r="S17" s="75">
        <f t="shared" si="2"/>
        <v>0.1276595744680851</v>
      </c>
      <c r="U17" s="306">
        <f t="shared" si="3"/>
        <v>0</v>
      </c>
      <c r="X17" s="2"/>
    </row>
    <row r="18" spans="1:30" ht="16.5" customHeight="1" x14ac:dyDescent="0.35">
      <c r="A18" s="351">
        <v>45887</v>
      </c>
      <c r="B18" s="76" t="s">
        <v>202</v>
      </c>
      <c r="C18" s="71" t="s">
        <v>104</v>
      </c>
      <c r="D18" s="3"/>
      <c r="E18" s="3" t="s">
        <v>87</v>
      </c>
      <c r="F18" s="3" t="s">
        <v>87</v>
      </c>
      <c r="H18" s="76">
        <v>275</v>
      </c>
      <c r="I18" s="3" t="s">
        <v>88</v>
      </c>
      <c r="J18" s="3" t="s">
        <v>90</v>
      </c>
      <c r="M18" s="3"/>
      <c r="N18" s="356" cm="1">
        <f t="array" ref="N18">_xlfn.IFS(I18="AEX",H18/400,I18="RP",H18/200)</f>
        <v>0.6875</v>
      </c>
      <c r="O18" s="3">
        <v>23.5</v>
      </c>
      <c r="P18" s="75">
        <f t="shared" si="0"/>
        <v>11.702127659574469</v>
      </c>
      <c r="Q18" s="3" t="str" cm="1">
        <f t="array" ref="Q18">_xlfn.IFS(P18&lt;200, "10", P18&lt;400, "12", P18&lt;600, "14", P18&gt;600, "16")</f>
        <v>10</v>
      </c>
      <c r="R18" s="75">
        <f t="shared" si="1"/>
        <v>0.20624999999999999</v>
      </c>
      <c r="S18" s="75">
        <f t="shared" si="2"/>
        <v>8.7765957446808499E-3</v>
      </c>
      <c r="U18" s="306">
        <f t="shared" si="3"/>
        <v>0</v>
      </c>
      <c r="X18" s="2"/>
    </row>
    <row r="19" spans="1:30" ht="16.5" customHeight="1" x14ac:dyDescent="0.35">
      <c r="A19" s="351">
        <v>45887</v>
      </c>
      <c r="B19" s="76" t="s">
        <v>203</v>
      </c>
      <c r="C19" s="71" t="s">
        <v>104</v>
      </c>
      <c r="D19" s="3"/>
      <c r="E19" s="3" t="s">
        <v>87</v>
      </c>
      <c r="F19" s="3" t="s">
        <v>87</v>
      </c>
      <c r="H19" s="76">
        <v>329</v>
      </c>
      <c r="I19" s="3" t="s">
        <v>88</v>
      </c>
      <c r="J19" s="3" t="s">
        <v>90</v>
      </c>
      <c r="M19" s="3"/>
      <c r="N19" s="356" cm="1">
        <f t="array" ref="N19">_xlfn.IFS(I19="AEX",H19/400,I19="RP",H19/200)</f>
        <v>0.82250000000000001</v>
      </c>
      <c r="O19" s="3">
        <v>23.5</v>
      </c>
      <c r="P19" s="75">
        <f t="shared" si="0"/>
        <v>14</v>
      </c>
      <c r="Q19" s="3" t="str" cm="1">
        <f t="array" ref="Q19">_xlfn.IFS(P19&lt;200, "10", P19&lt;400, "12", P19&lt;600, "14", P19&gt;600, "16")</f>
        <v>10</v>
      </c>
      <c r="R19" s="75">
        <f t="shared" si="1"/>
        <v>0.24675</v>
      </c>
      <c r="S19" s="75">
        <f t="shared" si="2"/>
        <v>1.0500000000000001E-2</v>
      </c>
      <c r="U19" s="306">
        <f t="shared" si="3"/>
        <v>0</v>
      </c>
      <c r="X19" s="2"/>
    </row>
    <row r="20" spans="1:30" ht="16.5" customHeight="1" x14ac:dyDescent="0.35">
      <c r="A20" s="351">
        <v>45888</v>
      </c>
      <c r="B20" s="76" t="s">
        <v>206</v>
      </c>
      <c r="C20" s="71" t="s">
        <v>104</v>
      </c>
      <c r="D20" s="3"/>
      <c r="E20" s="3" t="s">
        <v>87</v>
      </c>
      <c r="F20" s="3" t="s">
        <v>87</v>
      </c>
      <c r="H20" s="76">
        <v>40000</v>
      </c>
      <c r="I20" s="3" t="s">
        <v>88</v>
      </c>
      <c r="J20" s="3" t="s">
        <v>90</v>
      </c>
      <c r="M20" s="3"/>
      <c r="N20" s="356" cm="1">
        <f t="array" ref="N20">_xlfn.IFS(I20="AEX",H20/400,I20="RP",H20/200)</f>
        <v>100</v>
      </c>
      <c r="O20" s="3">
        <v>288</v>
      </c>
      <c r="P20" s="75">
        <f t="shared" si="0"/>
        <v>138.88888888888889</v>
      </c>
      <c r="Q20" s="3" t="str" cm="1">
        <f t="array" ref="Q20">_xlfn.IFS(P20&lt;200, "10", P20&lt;400, "12", P20&lt;600, "14", P20&gt;600, "16")</f>
        <v>10</v>
      </c>
      <c r="R20" s="75">
        <f t="shared" si="1"/>
        <v>30</v>
      </c>
      <c r="S20" s="75">
        <f t="shared" si="2"/>
        <v>0.10416666666666667</v>
      </c>
      <c r="T20" s="76">
        <v>15380</v>
      </c>
      <c r="U20" s="306">
        <f t="shared" si="3"/>
        <v>38.450000000000003</v>
      </c>
      <c r="V20" s="76">
        <v>455.72</v>
      </c>
      <c r="W20" s="3" t="s">
        <v>91</v>
      </c>
      <c r="X20" s="2">
        <v>45889</v>
      </c>
      <c r="Y20" s="3" t="s">
        <v>95</v>
      </c>
      <c r="Z20" s="3" t="s">
        <v>87</v>
      </c>
      <c r="AA20" s="76">
        <v>14936.2</v>
      </c>
      <c r="AB20" s="76">
        <v>184</v>
      </c>
    </row>
    <row r="21" spans="1:30" ht="16.5" customHeight="1" x14ac:dyDescent="0.35">
      <c r="A21" s="351">
        <v>45888</v>
      </c>
      <c r="B21" s="76" t="s">
        <v>189</v>
      </c>
      <c r="C21" s="71" t="s">
        <v>104</v>
      </c>
      <c r="D21" s="3"/>
      <c r="E21" s="3" t="s">
        <v>87</v>
      </c>
      <c r="F21" s="3">
        <v>0.1</v>
      </c>
      <c r="H21" s="76">
        <v>21526</v>
      </c>
      <c r="I21" s="3" t="s">
        <v>88</v>
      </c>
      <c r="J21" s="3" t="s">
        <v>89</v>
      </c>
      <c r="M21" s="3"/>
      <c r="N21" s="356" cm="1">
        <f t="array" ref="N21">_xlfn.IFS(I21="AEX",H21/400,I21="RP",H21/200)</f>
        <v>53.814999999999998</v>
      </c>
      <c r="O21" s="3">
        <v>78.5</v>
      </c>
      <c r="P21" s="75">
        <f t="shared" si="0"/>
        <v>274.21656050955414</v>
      </c>
      <c r="Q21" s="3" t="str" cm="1">
        <f t="array" ref="Q21">_xlfn.IFS(P21&lt;200, "10", P21&lt;400, "12", P21&lt;600, "14", P21&gt;600, "16")</f>
        <v>12</v>
      </c>
      <c r="R21" s="75">
        <f t="shared" si="1"/>
        <v>16.144500000000001</v>
      </c>
      <c r="S21" s="75">
        <f t="shared" si="2"/>
        <v>0.20566242038216562</v>
      </c>
      <c r="T21" s="76">
        <v>10792</v>
      </c>
      <c r="U21" s="306">
        <f t="shared" si="3"/>
        <v>50.134720802750167</v>
      </c>
      <c r="V21" s="76">
        <v>221.61</v>
      </c>
      <c r="W21" s="3" t="s">
        <v>91</v>
      </c>
      <c r="X21" s="2">
        <v>45889</v>
      </c>
      <c r="Y21" s="3" t="s">
        <v>215</v>
      </c>
      <c r="Z21" s="3" t="s">
        <v>87</v>
      </c>
    </row>
    <row r="22" spans="1:30" ht="16.5" customHeight="1" x14ac:dyDescent="0.35">
      <c r="A22" s="351">
        <v>45888</v>
      </c>
      <c r="B22" s="76" t="s">
        <v>190</v>
      </c>
      <c r="C22" s="71" t="s">
        <v>104</v>
      </c>
      <c r="D22" s="3"/>
      <c r="E22" s="3" t="s">
        <v>87</v>
      </c>
      <c r="F22" s="3">
        <v>0.1</v>
      </c>
      <c r="H22" s="76">
        <v>10400</v>
      </c>
      <c r="I22" s="3" t="s">
        <v>88</v>
      </c>
      <c r="J22" s="3" t="s">
        <v>89</v>
      </c>
      <c r="M22" s="3"/>
      <c r="N22" s="356" cm="1">
        <f t="array" ref="N22">_xlfn.IFS(I22="AEX",H22/400,I22="RP",H22/200)</f>
        <v>26</v>
      </c>
      <c r="O22" s="3">
        <v>78.5</v>
      </c>
      <c r="P22" s="75">
        <f t="shared" si="0"/>
        <v>132.48407643312103</v>
      </c>
      <c r="Q22" s="3" t="str" cm="1">
        <f t="array" ref="Q22">_xlfn.IFS(P22&lt;200, "10", P22&lt;400, "12", P22&lt;600, "14", P22&gt;600, "16")</f>
        <v>10</v>
      </c>
      <c r="R22" s="75">
        <f t="shared" si="1"/>
        <v>7.8</v>
      </c>
      <c r="S22" s="75">
        <f t="shared" si="2"/>
        <v>9.9363057324840756E-2</v>
      </c>
      <c r="T22" s="76">
        <v>3108</v>
      </c>
      <c r="U22" s="306">
        <f t="shared" si="3"/>
        <v>29.884615384615387</v>
      </c>
      <c r="V22" s="76">
        <v>56</v>
      </c>
      <c r="W22" s="3" t="s">
        <v>91</v>
      </c>
      <c r="X22" s="2"/>
      <c r="Y22" s="3" t="s">
        <v>172</v>
      </c>
      <c r="Z22" s="3" t="s">
        <v>87</v>
      </c>
    </row>
    <row r="23" spans="1:30" ht="16.5" customHeight="1" x14ac:dyDescent="0.35">
      <c r="A23" s="351">
        <v>45888</v>
      </c>
      <c r="B23" s="76" t="s">
        <v>205</v>
      </c>
      <c r="C23" s="71" t="s">
        <v>104</v>
      </c>
      <c r="D23" s="3"/>
      <c r="E23" s="3" t="s">
        <v>87</v>
      </c>
      <c r="F23" s="3">
        <v>0.1</v>
      </c>
      <c r="H23" s="76">
        <v>70000</v>
      </c>
      <c r="I23" s="3" t="s">
        <v>88</v>
      </c>
      <c r="J23" s="3" t="s">
        <v>90</v>
      </c>
      <c r="M23" s="3"/>
      <c r="N23" s="356" cm="1">
        <f t="array" ref="N23">_xlfn.IFS(I23="AEX",H23/400,I23="RP",H23/200)</f>
        <v>175</v>
      </c>
      <c r="O23" s="3">
        <v>288</v>
      </c>
      <c r="P23" s="75">
        <f t="shared" si="0"/>
        <v>243.05555555555554</v>
      </c>
      <c r="Q23" s="3" t="str" cm="1">
        <f t="array" ref="Q23">_xlfn.IFS(P23&lt;200, "10", P23&lt;400, "12", P23&lt;600, "14", P23&gt;600, "16")</f>
        <v>12</v>
      </c>
      <c r="R23" s="75">
        <v>45</v>
      </c>
      <c r="S23" s="75">
        <f t="shared" si="2"/>
        <v>0.15625</v>
      </c>
      <c r="T23" s="76">
        <v>13888</v>
      </c>
      <c r="U23" s="306">
        <f t="shared" si="3"/>
        <v>19.84</v>
      </c>
      <c r="V23" s="76">
        <v>314.14999999999998</v>
      </c>
      <c r="W23" s="3" t="s">
        <v>91</v>
      </c>
      <c r="X23" s="2">
        <v>45889</v>
      </c>
      <c r="Y23" s="3" t="s">
        <v>95</v>
      </c>
      <c r="Z23" s="3" t="s">
        <v>87</v>
      </c>
      <c r="AA23" s="76">
        <v>13126.41</v>
      </c>
      <c r="AB23" s="76">
        <v>204</v>
      </c>
    </row>
    <row r="24" spans="1:30" ht="16.5" customHeight="1" x14ac:dyDescent="0.35">
      <c r="A24" s="351">
        <v>45889</v>
      </c>
      <c r="B24" s="76" t="s">
        <v>207</v>
      </c>
      <c r="C24" s="71" t="s">
        <v>104</v>
      </c>
      <c r="D24" s="3"/>
      <c r="E24" s="3" t="s">
        <v>194</v>
      </c>
      <c r="F24" s="3" t="s">
        <v>87</v>
      </c>
      <c r="H24" s="76">
        <v>38236</v>
      </c>
      <c r="I24" s="3" t="s">
        <v>88</v>
      </c>
      <c r="J24" s="3" t="s">
        <v>90</v>
      </c>
      <c r="M24" s="3"/>
      <c r="N24" s="356" cm="1">
        <f t="array" ref="N24">_xlfn.IFS(I24="AEX",H24/400,I24="RP",H24/200)</f>
        <v>95.59</v>
      </c>
      <c r="O24" s="3">
        <v>298</v>
      </c>
      <c r="P24" s="75">
        <f t="shared" si="0"/>
        <v>128.30872483221478</v>
      </c>
      <c r="Q24" s="3" t="str" cm="1">
        <f t="array" ref="Q24">_xlfn.IFS(P24&lt;200, "10", P24&lt;400, "12", P24&lt;600, "14", P24&gt;600, "16")</f>
        <v>10</v>
      </c>
      <c r="R24" s="75">
        <f>IF(I24="AEX",H24*0.3/400,H24*0.3/200)</f>
        <v>28.677</v>
      </c>
      <c r="S24" s="75">
        <f t="shared" si="2"/>
        <v>9.6231543624161073E-2</v>
      </c>
      <c r="T24" s="76">
        <v>6124</v>
      </c>
      <c r="U24" s="306">
        <f t="shared" si="3"/>
        <v>16.016319698713254</v>
      </c>
      <c r="V24" s="76">
        <v>100.08</v>
      </c>
      <c r="W24" s="3" t="s">
        <v>91</v>
      </c>
      <c r="X24" s="2"/>
      <c r="Y24" s="3" t="s">
        <v>97</v>
      </c>
      <c r="Z24" s="3" t="s">
        <v>87</v>
      </c>
    </row>
    <row r="25" spans="1:30" ht="16.5" customHeight="1" x14ac:dyDescent="0.35">
      <c r="A25" s="351">
        <v>45890</v>
      </c>
      <c r="B25" s="76" t="s">
        <v>192</v>
      </c>
      <c r="C25" s="71" t="s">
        <v>104</v>
      </c>
      <c r="D25" s="3"/>
      <c r="E25" s="3" t="s">
        <v>87</v>
      </c>
      <c r="F25" s="3">
        <v>0.1</v>
      </c>
      <c r="H25" s="76">
        <v>10186</v>
      </c>
      <c r="I25" s="3" t="s">
        <v>88</v>
      </c>
      <c r="J25" s="3" t="s">
        <v>90</v>
      </c>
      <c r="M25" s="3"/>
      <c r="N25" s="356" cm="1">
        <f t="array" ref="N25">_xlfn.IFS(I25="AEX",H25/400,I25="RP",H25/200)</f>
        <v>25.465</v>
      </c>
      <c r="O25" s="3">
        <v>78.5</v>
      </c>
      <c r="P25" s="75">
        <f t="shared" si="0"/>
        <v>129.7579617834395</v>
      </c>
      <c r="Q25" s="3" t="str" cm="1">
        <f t="array" ref="Q25">_xlfn.IFS(P25&lt;200, "10", P25&lt;400, "12", P25&lt;600, "14", P25&gt;600, "16")</f>
        <v>10</v>
      </c>
      <c r="R25" s="75">
        <f>IF(I25="AEX",H25*0.3/400,H25*0.3/200)</f>
        <v>7.6394999999999991</v>
      </c>
      <c r="S25" s="75">
        <f t="shared" si="2"/>
        <v>9.7318471337579607E-2</v>
      </c>
      <c r="T25" s="76">
        <v>5677</v>
      </c>
      <c r="U25" s="306">
        <f t="shared" si="3"/>
        <v>55.733359513057138</v>
      </c>
      <c r="V25" s="76">
        <v>120</v>
      </c>
      <c r="W25" s="3" t="s">
        <v>91</v>
      </c>
      <c r="X25" s="2"/>
      <c r="Y25" s="3" t="s">
        <v>97</v>
      </c>
      <c r="Z25" s="3" t="s">
        <v>87</v>
      </c>
      <c r="AA25" s="76">
        <v>5511.93</v>
      </c>
      <c r="AB25" s="76">
        <v>175.26</v>
      </c>
    </row>
    <row r="26" spans="1:30" ht="16.5" customHeight="1" x14ac:dyDescent="0.35">
      <c r="A26" s="351">
        <v>45890</v>
      </c>
      <c r="B26" s="76" t="s">
        <v>208</v>
      </c>
      <c r="C26" s="71" t="s">
        <v>104</v>
      </c>
      <c r="D26" s="3"/>
      <c r="E26" s="3" t="s">
        <v>86</v>
      </c>
      <c r="F26" s="3">
        <v>0.01</v>
      </c>
      <c r="H26" s="76">
        <v>255721</v>
      </c>
      <c r="I26" s="3" t="s">
        <v>88</v>
      </c>
      <c r="J26" s="3" t="s">
        <v>89</v>
      </c>
      <c r="M26" s="3"/>
      <c r="N26" s="356" cm="1">
        <f t="array" ref="N26">_xlfn.IFS(I26="AEX",H26/400,I26="RP",H26/200)</f>
        <v>639.30250000000001</v>
      </c>
      <c r="O26" s="3">
        <v>760</v>
      </c>
      <c r="P26" s="75">
        <f t="shared" si="0"/>
        <v>336.47500000000002</v>
      </c>
      <c r="Q26" s="3" t="str" cm="1">
        <f t="array" ref="Q26">_xlfn.IFS(P26&lt;200, "10", P26&lt;400, "12", P26&lt;600, "14", P26&gt;600, "16")</f>
        <v>12</v>
      </c>
      <c r="R26" s="75">
        <v>45</v>
      </c>
      <c r="S26" s="75">
        <f t="shared" si="2"/>
        <v>5.921052631578947E-2</v>
      </c>
      <c r="T26" s="76">
        <v>216020</v>
      </c>
      <c r="U26" s="306">
        <f t="shared" si="3"/>
        <v>84.474876916639616</v>
      </c>
      <c r="V26" s="76">
        <v>3125</v>
      </c>
      <c r="W26" s="3" t="s">
        <v>91</v>
      </c>
      <c r="X26" s="2">
        <v>45891</v>
      </c>
      <c r="Y26" s="3" t="s">
        <v>94</v>
      </c>
      <c r="Z26" s="3" t="s">
        <v>87</v>
      </c>
    </row>
    <row r="27" spans="1:30" ht="16.5" customHeight="1" x14ac:dyDescent="0.35">
      <c r="A27" s="351">
        <v>45891</v>
      </c>
      <c r="B27" s="76" t="s">
        <v>227</v>
      </c>
      <c r="C27" s="71" t="s">
        <v>104</v>
      </c>
      <c r="D27" s="3"/>
      <c r="E27" s="3" t="s">
        <v>87</v>
      </c>
      <c r="F27" s="3">
        <v>0.25</v>
      </c>
      <c r="H27" s="76">
        <v>45821</v>
      </c>
      <c r="I27" s="3" t="s">
        <v>70</v>
      </c>
      <c r="J27" s="3" t="s">
        <v>209</v>
      </c>
      <c r="M27" s="3"/>
      <c r="N27" s="356" cm="1">
        <f t="array" ref="N27">_xlfn.IFS(I27="AEX",H27/400,I27="RP",H27/200)</f>
        <v>229.10499999999999</v>
      </c>
      <c r="O27" s="3">
        <v>251</v>
      </c>
      <c r="P27" s="75">
        <f t="shared" si="0"/>
        <v>182.55378486055776</v>
      </c>
      <c r="Q27" s="3" t="str" cm="1">
        <f t="array" ref="Q27">_xlfn.IFS(P27&lt;200, "10", P27&lt;400, "12", P27&lt;600, "14", P27&gt;600, "16")</f>
        <v>10</v>
      </c>
      <c r="R27" s="75">
        <f>IF(I27="AEX",H27*0.3/400,H27*0.3/200)</f>
        <v>68.731499999999997</v>
      </c>
      <c r="S27" s="75">
        <f t="shared" si="2"/>
        <v>0.27383067729083665</v>
      </c>
      <c r="U27" s="306">
        <f t="shared" si="3"/>
        <v>0</v>
      </c>
      <c r="X27" s="2"/>
      <c r="Y27" s="3" t="s">
        <v>88</v>
      </c>
      <c r="Z27" s="3" t="s">
        <v>91</v>
      </c>
      <c r="AD27" s="47" t="s">
        <v>312</v>
      </c>
    </row>
    <row r="28" spans="1:30" ht="16.5" customHeight="1" x14ac:dyDescent="0.35">
      <c r="A28" s="351">
        <v>45891</v>
      </c>
      <c r="B28" s="76" t="s">
        <v>223</v>
      </c>
      <c r="C28" s="71" t="s">
        <v>104</v>
      </c>
      <c r="D28" s="3"/>
      <c r="E28" s="3" t="s">
        <v>87</v>
      </c>
      <c r="F28" s="3">
        <v>0.25</v>
      </c>
      <c r="H28" s="76">
        <v>40038</v>
      </c>
      <c r="I28" s="3" t="s">
        <v>70</v>
      </c>
      <c r="J28" s="272" t="s">
        <v>209</v>
      </c>
      <c r="M28" s="3"/>
      <c r="N28" s="356" cm="1">
        <f t="array" ref="N28">_xlfn.IFS(I28="AEX",H28/400,I28="RP",H28/200)</f>
        <v>200.19</v>
      </c>
      <c r="O28" s="3">
        <v>251</v>
      </c>
      <c r="P28" s="75">
        <f t="shared" si="0"/>
        <v>159.51394422310756</v>
      </c>
      <c r="Q28" s="3" t="str" cm="1">
        <f t="array" ref="Q28">_xlfn.IFS(P28&lt;200, "10", P28&lt;400, "12", P28&lt;600, "14", P28&gt;600, "16")</f>
        <v>10</v>
      </c>
      <c r="R28" s="75">
        <v>45</v>
      </c>
      <c r="S28" s="75">
        <f t="shared" si="2"/>
        <v>0.17928286852589642</v>
      </c>
      <c r="T28" s="325">
        <v>14831.775</v>
      </c>
      <c r="U28" s="306">
        <f t="shared" si="3"/>
        <v>37.04424546680653</v>
      </c>
      <c r="V28" s="76">
        <v>483.75</v>
      </c>
      <c r="W28" s="3" t="s">
        <v>91</v>
      </c>
      <c r="X28" s="2">
        <v>45892</v>
      </c>
      <c r="Y28" s="3" t="s">
        <v>94</v>
      </c>
      <c r="Z28" s="3" t="s">
        <v>91</v>
      </c>
      <c r="AA28" s="325">
        <v>12082.5</v>
      </c>
      <c r="AB28" s="76">
        <v>45</v>
      </c>
    </row>
    <row r="29" spans="1:30" ht="16.5" customHeight="1" x14ac:dyDescent="0.35">
      <c r="A29" s="351">
        <v>45891</v>
      </c>
      <c r="B29" s="76" t="s">
        <v>216</v>
      </c>
      <c r="C29" s="71" t="s">
        <v>104</v>
      </c>
      <c r="D29" s="3"/>
      <c r="E29" s="3" t="s">
        <v>87</v>
      </c>
      <c r="F29" s="3" t="s">
        <v>87</v>
      </c>
      <c r="H29" s="76">
        <v>8100</v>
      </c>
      <c r="I29" s="3" t="s">
        <v>88</v>
      </c>
      <c r="J29" s="3" t="s">
        <v>90</v>
      </c>
      <c r="M29" s="3"/>
      <c r="N29" s="356" cm="1">
        <f t="array" ref="N29">_xlfn.IFS(I29="AEX",H29/400,I29="RP",H29/200)</f>
        <v>20.25</v>
      </c>
      <c r="O29" s="3">
        <v>23.5</v>
      </c>
      <c r="P29" s="75">
        <f t="shared" si="0"/>
        <v>344.68085106382978</v>
      </c>
      <c r="Q29" s="3" t="str" cm="1">
        <f t="array" ref="Q29">_xlfn.IFS(P29&lt;200, "10", P29&lt;400, "12", P29&lt;600, "14", P29&gt;600, "16")</f>
        <v>12</v>
      </c>
      <c r="R29" s="75">
        <f>IF(I29="AEX",H29*0.3/400,H29*0.3/200)</f>
        <v>6.0750000000000002</v>
      </c>
      <c r="S29" s="75">
        <f t="shared" si="2"/>
        <v>0.25851063829787235</v>
      </c>
      <c r="U29" s="306">
        <f t="shared" si="3"/>
        <v>0</v>
      </c>
      <c r="X29" s="2"/>
      <c r="Z29" s="3" t="s">
        <v>87</v>
      </c>
      <c r="AA29" s="76">
        <v>4533</v>
      </c>
    </row>
    <row r="30" spans="1:30" ht="16.5" customHeight="1" x14ac:dyDescent="0.35">
      <c r="A30" s="351">
        <v>45894</v>
      </c>
      <c r="B30" s="76" t="s">
        <v>228</v>
      </c>
      <c r="C30" s="71" t="s">
        <v>104</v>
      </c>
      <c r="D30" s="3"/>
      <c r="E30" s="3" t="s">
        <v>87</v>
      </c>
      <c r="F30" s="3">
        <v>0.25</v>
      </c>
      <c r="H30" s="76">
        <v>18265</v>
      </c>
      <c r="I30" s="3" t="s">
        <v>88</v>
      </c>
      <c r="J30" s="3" t="s">
        <v>90</v>
      </c>
      <c r="M30" s="3"/>
      <c r="N30" s="356" cm="1">
        <f t="array" ref="N30">_xlfn.IFS(I30="AEX",H30/400,I30="RP",H30/200)</f>
        <v>45.662500000000001</v>
      </c>
      <c r="O30" s="3">
        <v>288</v>
      </c>
      <c r="P30" s="75">
        <f t="shared" si="0"/>
        <v>63.420138888888886</v>
      </c>
      <c r="Q30" s="3" t="str" cm="1">
        <f t="array" ref="Q30">_xlfn.IFS(P30&lt;200, "10", P30&lt;400, "12", P30&lt;600, "14", P30&gt;600, "16")</f>
        <v>10</v>
      </c>
      <c r="R30" s="75">
        <f>IF(I30="AEX",H30*0.3/400,H30*0.3/200)</f>
        <v>13.69875</v>
      </c>
      <c r="S30" s="75">
        <f t="shared" si="2"/>
        <v>4.756510416666667E-2</v>
      </c>
      <c r="T30" s="76">
        <v>13620.35</v>
      </c>
      <c r="U30" s="306">
        <f t="shared" si="3"/>
        <v>74.57076375581714</v>
      </c>
      <c r="V30" s="76">
        <v>1062.43</v>
      </c>
      <c r="W30" s="3" t="s">
        <v>91</v>
      </c>
      <c r="X30" s="2">
        <v>45894</v>
      </c>
      <c r="Y30" s="3" t="s">
        <v>95</v>
      </c>
      <c r="Z30" s="3" t="s">
        <v>87</v>
      </c>
      <c r="AA30" s="76">
        <v>13493</v>
      </c>
      <c r="AB30" s="76">
        <v>224</v>
      </c>
      <c r="AD30" s="47" t="s">
        <v>313</v>
      </c>
    </row>
    <row r="31" spans="1:30" ht="16.5" customHeight="1" x14ac:dyDescent="0.35">
      <c r="A31" s="351">
        <v>45894</v>
      </c>
      <c r="B31" s="76" t="s">
        <v>222</v>
      </c>
      <c r="C31" s="71" t="s">
        <v>104</v>
      </c>
      <c r="D31" s="3"/>
      <c r="E31" s="3" t="s">
        <v>87</v>
      </c>
      <c r="F31" s="3" t="s">
        <v>87</v>
      </c>
      <c r="H31" s="76">
        <v>20700</v>
      </c>
      <c r="I31" s="3" t="s">
        <v>88</v>
      </c>
      <c r="J31" s="3" t="s">
        <v>90</v>
      </c>
      <c r="M31" s="3"/>
      <c r="N31" s="356" cm="1">
        <f t="array" ref="N31">_xlfn.IFS(I31="AEX",H31/400,I31="RP",H31/200)</f>
        <v>51.75</v>
      </c>
      <c r="O31" s="3">
        <v>78.5</v>
      </c>
      <c r="P31" s="75">
        <f t="shared" si="0"/>
        <v>263.69426751592357</v>
      </c>
      <c r="Q31" s="3" t="str" cm="1">
        <f t="array" ref="Q31">_xlfn.IFS(P31&lt;200, "10", P31&lt;400, "12", P31&lt;600, "14", P31&gt;600, "16")</f>
        <v>12</v>
      </c>
      <c r="R31" s="75">
        <f>IF(I31="AEX",H31*0.3/400,H31*0.3/200)</f>
        <v>15.525</v>
      </c>
      <c r="S31" s="75">
        <f t="shared" si="2"/>
        <v>0.19777070063694269</v>
      </c>
      <c r="T31" s="76">
        <v>9504</v>
      </c>
      <c r="U31" s="306">
        <f t="shared" si="3"/>
        <v>45.913043478260867</v>
      </c>
      <c r="V31" s="76">
        <v>152.9</v>
      </c>
      <c r="W31" s="3" t="s">
        <v>91</v>
      </c>
      <c r="X31" s="2">
        <v>45895</v>
      </c>
      <c r="Y31" s="3" t="s">
        <v>97</v>
      </c>
      <c r="Z31" s="3" t="s">
        <v>87</v>
      </c>
      <c r="AA31" s="76">
        <v>9391</v>
      </c>
      <c r="AB31" s="76">
        <v>203.27</v>
      </c>
      <c r="AD31" s="47" t="s">
        <v>233</v>
      </c>
    </row>
    <row r="32" spans="1:30" ht="16.5" customHeight="1" x14ac:dyDescent="0.35">
      <c r="A32" s="351">
        <v>45894</v>
      </c>
      <c r="B32" s="76" t="s">
        <v>229</v>
      </c>
      <c r="C32" s="71" t="s">
        <v>104</v>
      </c>
      <c r="D32" s="3"/>
      <c r="E32" s="3" t="s">
        <v>86</v>
      </c>
      <c r="F32" s="3">
        <v>0.2</v>
      </c>
      <c r="H32" s="76">
        <v>152483</v>
      </c>
      <c r="I32" s="3" t="s">
        <v>88</v>
      </c>
      <c r="J32" s="3" t="s">
        <v>89</v>
      </c>
      <c r="M32" s="3"/>
      <c r="N32" s="356" cm="1">
        <f t="array" ref="N32">_xlfn.IFS(I32="AEX",H32/400,I32="RP",H32/200)</f>
        <v>381.20749999999998</v>
      </c>
      <c r="O32" s="3">
        <v>400</v>
      </c>
      <c r="P32" s="75">
        <f t="shared" si="0"/>
        <v>381.20749999999998</v>
      </c>
      <c r="Q32" s="3" t="str" cm="1">
        <f t="array" ref="Q32">_xlfn.IFS(P32&lt;200, "10", P32&lt;400, "12", P32&lt;600, "14", P32&gt;600, "16")</f>
        <v>12</v>
      </c>
      <c r="R32" s="75">
        <v>45</v>
      </c>
      <c r="S32" s="75">
        <f t="shared" si="2"/>
        <v>0.1125</v>
      </c>
      <c r="T32" s="76">
        <v>90791.1</v>
      </c>
      <c r="U32" s="306">
        <f t="shared" si="3"/>
        <v>59.541784985867288</v>
      </c>
      <c r="V32" s="76">
        <v>1795</v>
      </c>
      <c r="W32" s="3" t="s">
        <v>91</v>
      </c>
      <c r="X32" s="2">
        <v>45895</v>
      </c>
      <c r="Y32" s="3" t="s">
        <v>95</v>
      </c>
      <c r="Z32" s="3" t="s">
        <v>87</v>
      </c>
      <c r="AA32" s="76">
        <v>89048.5</v>
      </c>
      <c r="AB32" s="76">
        <v>212.13</v>
      </c>
    </row>
    <row r="33" spans="1:29" ht="16.5" customHeight="1" x14ac:dyDescent="0.35">
      <c r="A33" s="351">
        <v>45895</v>
      </c>
      <c r="B33" s="76" t="s">
        <v>210</v>
      </c>
      <c r="C33" s="71" t="s">
        <v>104</v>
      </c>
      <c r="D33" s="3"/>
      <c r="E33" s="3" t="s">
        <v>86</v>
      </c>
      <c r="F33" s="3">
        <v>0.01</v>
      </c>
      <c r="H33" s="76">
        <v>242000</v>
      </c>
      <c r="I33" s="3" t="s">
        <v>88</v>
      </c>
      <c r="J33" s="3" t="s">
        <v>89</v>
      </c>
      <c r="M33" s="3"/>
      <c r="N33" s="356" cm="1">
        <f t="array" ref="N33">_xlfn.IFS(I33="AEX",H33/400,I33="RP",H33/200)</f>
        <v>605</v>
      </c>
      <c r="O33" s="3">
        <v>760</v>
      </c>
      <c r="P33" s="75">
        <f t="shared" si="0"/>
        <v>318.42105263157896</v>
      </c>
      <c r="Q33" s="3" t="str" cm="1">
        <f t="array" ref="Q33">_xlfn.IFS(P33&lt;200, "10", P33&lt;400, "12", P33&lt;600, "14", P33&gt;600, "16")</f>
        <v>12</v>
      </c>
      <c r="R33" s="75">
        <v>45</v>
      </c>
      <c r="S33" s="75">
        <f t="shared" si="2"/>
        <v>5.921052631578947E-2</v>
      </c>
      <c r="T33" s="76">
        <v>199653</v>
      </c>
      <c r="U33" s="306">
        <f t="shared" si="3"/>
        <v>82.501239669421494</v>
      </c>
      <c r="V33" s="76">
        <v>2888.5</v>
      </c>
      <c r="W33" s="3" t="s">
        <v>91</v>
      </c>
      <c r="X33" s="2">
        <v>45896</v>
      </c>
      <c r="Y33" s="3" t="s">
        <v>94</v>
      </c>
      <c r="Z33" s="3" t="s">
        <v>87</v>
      </c>
      <c r="AA33" s="76">
        <v>156822</v>
      </c>
      <c r="AB33" s="76">
        <v>242.2</v>
      </c>
      <c r="AC33" s="76" t="s">
        <v>242</v>
      </c>
    </row>
    <row r="34" spans="1:29" ht="16.5" customHeight="1" x14ac:dyDescent="0.35">
      <c r="A34" s="351">
        <v>45896</v>
      </c>
      <c r="B34" s="76" t="s">
        <v>218</v>
      </c>
      <c r="C34" s="71" t="s">
        <v>104</v>
      </c>
      <c r="D34" s="3"/>
      <c r="E34" s="3" t="s">
        <v>87</v>
      </c>
      <c r="F34" s="3" t="s">
        <v>87</v>
      </c>
      <c r="H34" s="76">
        <v>47937</v>
      </c>
      <c r="I34" s="3" t="s">
        <v>88</v>
      </c>
      <c r="J34" s="3" t="s">
        <v>89</v>
      </c>
      <c r="M34" s="3"/>
      <c r="N34" s="356" cm="1">
        <f t="array" ref="N34">_xlfn.IFS(I34="AEX",H34/400,I34="RP",H34/200)</f>
        <v>119.8425</v>
      </c>
      <c r="O34" s="3">
        <v>298</v>
      </c>
      <c r="P34" s="75">
        <f t="shared" ref="P34:P65" si="4">H34/O34</f>
        <v>160.86241610738256</v>
      </c>
      <c r="Q34" s="3" t="str" cm="1">
        <f t="array" ref="Q34">_xlfn.IFS(P34&lt;200, "10", P34&lt;400, "12", P34&lt;600, "14", P34&gt;600, "16")</f>
        <v>10</v>
      </c>
      <c r="R34" s="75">
        <f>IF(I34="AEX",H34*0.3/400,H34*0.3/200)</f>
        <v>35.952750000000002</v>
      </c>
      <c r="S34" s="75">
        <f t="shared" ref="S34:S65" si="5">R34/O34</f>
        <v>0.12064681208053692</v>
      </c>
      <c r="T34" s="76">
        <v>26112.18</v>
      </c>
      <c r="U34" s="306">
        <f t="shared" ref="U34:U65" si="6">T34/H34*100</f>
        <v>54.471869328493646</v>
      </c>
      <c r="V34" s="76">
        <v>450.21</v>
      </c>
      <c r="W34" s="3" t="s">
        <v>91</v>
      </c>
      <c r="X34" s="2">
        <v>45896</v>
      </c>
      <c r="Y34" s="3" t="s">
        <v>95</v>
      </c>
      <c r="Z34" s="3" t="s">
        <v>87</v>
      </c>
      <c r="AA34" s="76">
        <v>26361.599999999999</v>
      </c>
      <c r="AB34" s="76">
        <v>196.85</v>
      </c>
    </row>
    <row r="35" spans="1:29" ht="16.5" customHeight="1" x14ac:dyDescent="0.35">
      <c r="A35" s="351">
        <v>45896</v>
      </c>
      <c r="B35" s="76" t="s">
        <v>219</v>
      </c>
      <c r="C35" s="71" t="s">
        <v>104</v>
      </c>
      <c r="D35" s="3"/>
      <c r="E35" s="3" t="s">
        <v>87</v>
      </c>
      <c r="F35" s="3" t="s">
        <v>87</v>
      </c>
      <c r="H35" s="76">
        <v>103209</v>
      </c>
      <c r="I35" s="3" t="s">
        <v>88</v>
      </c>
      <c r="J35" s="3" t="s">
        <v>89</v>
      </c>
      <c r="M35" s="3"/>
      <c r="N35" s="356" cm="1">
        <f t="array" ref="N35">_xlfn.IFS(I35="AEX",H35/400,I35="RP",H35/200)</f>
        <v>258.02249999999998</v>
      </c>
      <c r="O35" s="3">
        <v>400</v>
      </c>
      <c r="P35" s="75">
        <f t="shared" si="4"/>
        <v>258.02249999999998</v>
      </c>
      <c r="Q35" s="3" t="str" cm="1">
        <f t="array" ref="Q35">_xlfn.IFS(P35&lt;200, "10", P35&lt;400, "12", P35&lt;600, "14", P35&gt;600, "16")</f>
        <v>12</v>
      </c>
      <c r="R35" s="75">
        <v>45</v>
      </c>
      <c r="S35" s="75">
        <f t="shared" si="5"/>
        <v>0.1125</v>
      </c>
      <c r="T35" s="76">
        <v>55705.91</v>
      </c>
      <c r="U35" s="306">
        <f t="shared" si="6"/>
        <v>53.973887936129607</v>
      </c>
      <c r="V35" s="76">
        <v>761.53</v>
      </c>
      <c r="W35" s="3" t="s">
        <v>91</v>
      </c>
      <c r="X35" s="2">
        <v>45897</v>
      </c>
      <c r="Y35" s="3" t="s">
        <v>94</v>
      </c>
      <c r="Z35" s="3" t="s">
        <v>87</v>
      </c>
      <c r="AA35" s="76">
        <v>53389.15</v>
      </c>
      <c r="AB35" s="76">
        <v>192.07</v>
      </c>
    </row>
    <row r="36" spans="1:29" ht="16.5" customHeight="1" x14ac:dyDescent="0.35">
      <c r="A36" s="351">
        <v>45896</v>
      </c>
      <c r="B36" s="76" t="s">
        <v>236</v>
      </c>
      <c r="C36" s="71" t="s">
        <v>104</v>
      </c>
      <c r="D36" s="3"/>
      <c r="E36" s="3" t="s">
        <v>87</v>
      </c>
      <c r="F36" s="3" t="s">
        <v>87</v>
      </c>
      <c r="H36" s="76">
        <v>146</v>
      </c>
      <c r="I36" s="3" t="s">
        <v>70</v>
      </c>
      <c r="J36" s="3" t="s">
        <v>195</v>
      </c>
      <c r="M36" s="3"/>
      <c r="N36" s="356" cm="1">
        <f t="array" ref="N36">_xlfn.IFS(I36="AEX",H36/400,I36="RP",H36/200)</f>
        <v>0.73</v>
      </c>
      <c r="O36" s="3">
        <v>24</v>
      </c>
      <c r="P36" s="75">
        <f t="shared" si="4"/>
        <v>6.083333333333333</v>
      </c>
      <c r="Q36" s="3" t="str" cm="1">
        <f t="array" ref="Q36">_xlfn.IFS(P36&lt;200, "10", P36&lt;400, "12", P36&lt;600, "14", P36&gt;600, "16")</f>
        <v>10</v>
      </c>
      <c r="R36" s="75">
        <f t="shared" ref="R36:R47" si="7">IF(I36="AEX",H36*0.3/400,H36*0.3/200)</f>
        <v>0.21899999999999997</v>
      </c>
      <c r="S36" s="75">
        <f t="shared" si="5"/>
        <v>9.1249999999999994E-3</v>
      </c>
      <c r="U36" s="306">
        <f t="shared" si="6"/>
        <v>0</v>
      </c>
      <c r="X36" s="2"/>
    </row>
    <row r="37" spans="1:29" ht="16.5" customHeight="1" x14ac:dyDescent="0.35">
      <c r="A37" s="351">
        <v>45896</v>
      </c>
      <c r="B37" s="76" t="s">
        <v>237</v>
      </c>
      <c r="C37" s="71" t="s">
        <v>104</v>
      </c>
      <c r="D37" s="3"/>
      <c r="E37" s="3" t="s">
        <v>87</v>
      </c>
      <c r="F37" s="3" t="s">
        <v>87</v>
      </c>
      <c r="H37" s="76">
        <v>162</v>
      </c>
      <c r="I37" s="3" t="s">
        <v>70</v>
      </c>
      <c r="J37" s="3" t="s">
        <v>195</v>
      </c>
      <c r="M37" s="3"/>
      <c r="N37" s="356" cm="1">
        <f t="array" ref="N37">_xlfn.IFS(I37="AEX",H37/400,I37="RP",H37/200)</f>
        <v>0.81</v>
      </c>
      <c r="O37" s="3">
        <v>24</v>
      </c>
      <c r="P37" s="75">
        <f t="shared" si="4"/>
        <v>6.75</v>
      </c>
      <c r="Q37" s="3" t="str" cm="1">
        <f t="array" ref="Q37">_xlfn.IFS(P37&lt;200, "10", P37&lt;400, "12", P37&lt;600, "14", P37&gt;600, "16")</f>
        <v>10</v>
      </c>
      <c r="R37" s="75">
        <f t="shared" si="7"/>
        <v>0.24299999999999999</v>
      </c>
      <c r="S37" s="75">
        <f t="shared" si="5"/>
        <v>1.0125E-2</v>
      </c>
      <c r="U37" s="306">
        <f t="shared" si="6"/>
        <v>0</v>
      </c>
      <c r="X37" s="2"/>
    </row>
    <row r="38" spans="1:29" ht="16.5" customHeight="1" x14ac:dyDescent="0.35">
      <c r="A38" s="351">
        <v>45896</v>
      </c>
      <c r="B38" s="76" t="s">
        <v>238</v>
      </c>
      <c r="C38" s="71" t="s">
        <v>104</v>
      </c>
      <c r="D38" s="3"/>
      <c r="E38" s="3" t="s">
        <v>87</v>
      </c>
      <c r="F38" s="3" t="s">
        <v>87</v>
      </c>
      <c r="I38" s="3" t="s">
        <v>70</v>
      </c>
      <c r="J38" s="3" t="s">
        <v>195</v>
      </c>
      <c r="M38" s="3"/>
      <c r="N38" s="356" cm="1">
        <f t="array" ref="N38">_xlfn.IFS(I38="AEX",H38/400,I38="RP",H38/200)</f>
        <v>0</v>
      </c>
      <c r="O38" s="3">
        <v>24</v>
      </c>
      <c r="P38" s="75">
        <f t="shared" si="4"/>
        <v>0</v>
      </c>
      <c r="Q38" s="3" t="str" cm="1">
        <f t="array" ref="Q38">_xlfn.IFS(P38&lt;200, "10", P38&lt;400, "12", P38&lt;600, "14", P38&gt;600, "16")</f>
        <v>10</v>
      </c>
      <c r="R38" s="75">
        <f t="shared" si="7"/>
        <v>0</v>
      </c>
      <c r="S38" s="75">
        <f t="shared" si="5"/>
        <v>0</v>
      </c>
      <c r="U38" s="306" t="e">
        <f t="shared" si="6"/>
        <v>#DIV/0!</v>
      </c>
      <c r="X38" s="2"/>
    </row>
    <row r="39" spans="1:29" ht="16.5" customHeight="1" x14ac:dyDescent="0.35">
      <c r="A39" s="351">
        <v>45896</v>
      </c>
      <c r="B39" s="76" t="s">
        <v>239</v>
      </c>
      <c r="C39" s="71" t="s">
        <v>104</v>
      </c>
      <c r="D39" s="3"/>
      <c r="E39" s="3" t="s">
        <v>87</v>
      </c>
      <c r="F39" s="3" t="s">
        <v>87</v>
      </c>
      <c r="I39" s="3" t="s">
        <v>70</v>
      </c>
      <c r="J39" s="3" t="s">
        <v>195</v>
      </c>
      <c r="M39" s="3"/>
      <c r="N39" s="356" cm="1">
        <f t="array" ref="N39">_xlfn.IFS(I39="AEX",H39/400,I39="RP",H39/200)</f>
        <v>0</v>
      </c>
      <c r="O39" s="3">
        <v>24</v>
      </c>
      <c r="P39" s="75">
        <f t="shared" si="4"/>
        <v>0</v>
      </c>
      <c r="Q39" s="3" t="str" cm="1">
        <f t="array" ref="Q39">_xlfn.IFS(P39&lt;200, "10", P39&lt;400, "12", P39&lt;600, "14", P39&gt;600, "16")</f>
        <v>10</v>
      </c>
      <c r="R39" s="75">
        <f t="shared" si="7"/>
        <v>0</v>
      </c>
      <c r="S39" s="75">
        <f t="shared" si="5"/>
        <v>0</v>
      </c>
      <c r="U39" s="306" t="e">
        <f t="shared" si="6"/>
        <v>#DIV/0!</v>
      </c>
      <c r="X39" s="2"/>
    </row>
    <row r="40" spans="1:29" ht="16.5" customHeight="1" x14ac:dyDescent="0.35">
      <c r="A40" s="351">
        <v>45897</v>
      </c>
      <c r="B40" s="76" t="s">
        <v>241</v>
      </c>
      <c r="C40" s="71" t="s">
        <v>104</v>
      </c>
      <c r="D40" s="3"/>
      <c r="E40" s="3" t="s">
        <v>86</v>
      </c>
      <c r="F40" s="3">
        <v>0.1</v>
      </c>
      <c r="H40" s="76">
        <v>5700</v>
      </c>
      <c r="I40" s="3" t="s">
        <v>88</v>
      </c>
      <c r="J40" s="3" t="s">
        <v>89</v>
      </c>
      <c r="L40" s="326" t="s">
        <v>454</v>
      </c>
      <c r="M40" s="3"/>
      <c r="N40" s="356" cm="1">
        <f t="array" ref="N40">_xlfn.IFS(I40="AEX",H40/400,I40="RP",H40/200)</f>
        <v>14.25</v>
      </c>
      <c r="O40" s="3">
        <v>23.5</v>
      </c>
      <c r="P40" s="75">
        <f t="shared" si="4"/>
        <v>242.55319148936169</v>
      </c>
      <c r="Q40" s="3" t="str" cm="1">
        <f t="array" ref="Q40">_xlfn.IFS(P40&lt;200, "10", P40&lt;400, "12", P40&lt;600, "14", P40&gt;600, "16")</f>
        <v>12</v>
      </c>
      <c r="R40" s="75">
        <f t="shared" si="7"/>
        <v>4.2750000000000004</v>
      </c>
      <c r="S40" s="75">
        <f t="shared" si="5"/>
        <v>0.18191489361702129</v>
      </c>
      <c r="T40" s="76">
        <v>3683</v>
      </c>
      <c r="U40" s="306">
        <f t="shared" si="6"/>
        <v>64.614035087719301</v>
      </c>
      <c r="W40" s="3" t="s">
        <v>91</v>
      </c>
      <c r="X40" s="2"/>
      <c r="Y40" s="3" t="s">
        <v>172</v>
      </c>
      <c r="Z40" s="3" t="s">
        <v>87</v>
      </c>
      <c r="AA40" s="76">
        <v>3683</v>
      </c>
    </row>
    <row r="41" spans="1:29" ht="16.5" customHeight="1" x14ac:dyDescent="0.35">
      <c r="A41" s="351">
        <v>45897</v>
      </c>
      <c r="B41" s="76" t="s">
        <v>243</v>
      </c>
      <c r="C41" s="71" t="s">
        <v>104</v>
      </c>
      <c r="D41" s="3"/>
      <c r="E41" s="3" t="s">
        <v>86</v>
      </c>
      <c r="F41" s="3">
        <v>0.1</v>
      </c>
      <c r="H41" s="76">
        <v>6700</v>
      </c>
      <c r="I41" s="3" t="s">
        <v>88</v>
      </c>
      <c r="J41" s="3" t="s">
        <v>89</v>
      </c>
      <c r="L41" s="326" t="s">
        <v>454</v>
      </c>
      <c r="M41" s="3"/>
      <c r="N41" s="356" cm="1">
        <f t="array" ref="N41">_xlfn.IFS(I41="AEX",H41/400,I41="RP",H41/200)</f>
        <v>16.75</v>
      </c>
      <c r="O41" s="3">
        <v>23.5</v>
      </c>
      <c r="P41" s="75">
        <f t="shared" si="4"/>
        <v>285.10638297872339</v>
      </c>
      <c r="Q41" s="3" t="str" cm="1">
        <f t="array" ref="Q41">_xlfn.IFS(P41&lt;200, "10", P41&lt;400, "12", P41&lt;600, "14", P41&gt;600, "16")</f>
        <v>12</v>
      </c>
      <c r="R41" s="75">
        <f t="shared" si="7"/>
        <v>5.0250000000000004</v>
      </c>
      <c r="S41" s="75">
        <f t="shared" si="5"/>
        <v>0.21382978723404256</v>
      </c>
      <c r="T41" s="76">
        <v>4020</v>
      </c>
      <c r="U41" s="306">
        <f t="shared" si="6"/>
        <v>60</v>
      </c>
      <c r="X41" s="2"/>
      <c r="Y41" s="3" t="s">
        <v>172</v>
      </c>
      <c r="AA41" s="76">
        <v>4020</v>
      </c>
    </row>
    <row r="42" spans="1:29" ht="16.5" customHeight="1" x14ac:dyDescent="0.35">
      <c r="A42" s="351">
        <v>45897</v>
      </c>
      <c r="B42" s="76" t="s">
        <v>244</v>
      </c>
      <c r="C42" s="71" t="s">
        <v>104</v>
      </c>
      <c r="D42" s="3"/>
      <c r="E42" s="3" t="s">
        <v>86</v>
      </c>
      <c r="F42" s="3">
        <v>0.1</v>
      </c>
      <c r="H42" s="76">
        <v>8680</v>
      </c>
      <c r="I42" s="3" t="s">
        <v>88</v>
      </c>
      <c r="J42" s="3" t="s">
        <v>90</v>
      </c>
      <c r="L42" s="326" t="s">
        <v>454</v>
      </c>
      <c r="M42" s="3"/>
      <c r="N42" s="356" cm="1">
        <f t="array" ref="N42">_xlfn.IFS(I42="AEX",H42/400,I42="RP",H42/200)</f>
        <v>21.7</v>
      </c>
      <c r="O42" s="3">
        <v>63.8</v>
      </c>
      <c r="P42" s="75">
        <f t="shared" si="4"/>
        <v>136.05015673981191</v>
      </c>
      <c r="Q42" s="3" t="str" cm="1">
        <f t="array" ref="Q42">_xlfn.IFS(P42&lt;200, "10", P42&lt;400, "12", P42&lt;600, "14", P42&gt;600, "16")</f>
        <v>10</v>
      </c>
      <c r="R42" s="75">
        <f t="shared" si="7"/>
        <v>6.51</v>
      </c>
      <c r="S42" s="75">
        <f t="shared" si="5"/>
        <v>0.10203761755485893</v>
      </c>
      <c r="T42" s="76">
        <v>4878</v>
      </c>
      <c r="U42" s="306">
        <f t="shared" si="6"/>
        <v>56.198156682027644</v>
      </c>
      <c r="V42" s="76">
        <v>90.15</v>
      </c>
      <c r="W42" s="3" t="s">
        <v>91</v>
      </c>
      <c r="X42" s="2"/>
      <c r="Y42" s="3" t="s">
        <v>172</v>
      </c>
      <c r="Z42" s="3" t="s">
        <v>87</v>
      </c>
    </row>
    <row r="43" spans="1:29" ht="16.5" customHeight="1" x14ac:dyDescent="0.35">
      <c r="A43" s="351">
        <v>45897</v>
      </c>
      <c r="B43" s="76" t="s">
        <v>245</v>
      </c>
      <c r="C43" s="71" t="s">
        <v>104</v>
      </c>
      <c r="D43" s="3"/>
      <c r="E43" s="3" t="s">
        <v>86</v>
      </c>
      <c r="F43" s="3">
        <v>0.1</v>
      </c>
      <c r="H43" s="76">
        <v>9200</v>
      </c>
      <c r="I43" s="3" t="s">
        <v>88</v>
      </c>
      <c r="J43" s="3" t="s">
        <v>90</v>
      </c>
      <c r="L43" s="326" t="s">
        <v>454</v>
      </c>
      <c r="M43" s="3"/>
      <c r="N43" s="356" cm="1">
        <f t="array" ref="N43">_xlfn.IFS(I43="AEX",H43/400,I43="RP",H43/200)</f>
        <v>23</v>
      </c>
      <c r="O43" s="3">
        <v>63.8</v>
      </c>
      <c r="P43" s="75">
        <f t="shared" si="4"/>
        <v>144.20062695924764</v>
      </c>
      <c r="Q43" s="3" t="str" cm="1">
        <f t="array" ref="Q43">_xlfn.IFS(P43&lt;200, "10", P43&lt;400, "12", P43&lt;600, "14", P43&gt;600, "16")</f>
        <v>10</v>
      </c>
      <c r="R43" s="75">
        <f t="shared" si="7"/>
        <v>6.9</v>
      </c>
      <c r="S43" s="75">
        <f t="shared" si="5"/>
        <v>0.10815047021943575</v>
      </c>
      <c r="T43" s="76">
        <v>4966</v>
      </c>
      <c r="U43" s="306">
        <f t="shared" si="6"/>
        <v>53.978260869565219</v>
      </c>
      <c r="W43" s="3" t="s">
        <v>91</v>
      </c>
      <c r="X43" s="2"/>
      <c r="Y43" s="3" t="s">
        <v>172</v>
      </c>
      <c r="Z43" s="3" t="s">
        <v>87</v>
      </c>
      <c r="AA43" s="76">
        <v>4966</v>
      </c>
    </row>
    <row r="44" spans="1:29" ht="16.5" customHeight="1" x14ac:dyDescent="0.35">
      <c r="A44" s="351">
        <v>45897</v>
      </c>
      <c r="B44" s="76" t="s">
        <v>248</v>
      </c>
      <c r="C44" s="71" t="s">
        <v>104</v>
      </c>
      <c r="D44" s="3"/>
      <c r="E44" s="3" t="s">
        <v>86</v>
      </c>
      <c r="F44" s="3">
        <v>0.1</v>
      </c>
      <c r="H44" s="76">
        <v>7744</v>
      </c>
      <c r="I44" s="3" t="s">
        <v>88</v>
      </c>
      <c r="J44" s="3" t="s">
        <v>90</v>
      </c>
      <c r="L44" s="326" t="s">
        <v>454</v>
      </c>
      <c r="M44" s="3"/>
      <c r="N44" s="356" cm="1">
        <f t="array" ref="N44">_xlfn.IFS(I44="AEX",H44/400,I44="RP",H44/200)</f>
        <v>19.36</v>
      </c>
      <c r="O44" s="3">
        <v>63.8</v>
      </c>
      <c r="P44" s="75">
        <f t="shared" si="4"/>
        <v>121.37931034482759</v>
      </c>
      <c r="Q44" s="3" t="str" cm="1">
        <f t="array" ref="Q44">_xlfn.IFS(P44&lt;200, "10", P44&lt;400, "12", P44&lt;600, "14", P44&gt;600, "16")</f>
        <v>10</v>
      </c>
      <c r="R44" s="75">
        <f t="shared" si="7"/>
        <v>5.8079999999999998</v>
      </c>
      <c r="S44" s="75">
        <f t="shared" si="5"/>
        <v>9.1034482758620694E-2</v>
      </c>
      <c r="T44" s="76">
        <v>4020</v>
      </c>
      <c r="U44" s="306">
        <f t="shared" si="6"/>
        <v>51.911157024793383</v>
      </c>
      <c r="X44" s="2"/>
      <c r="Y44" s="3" t="s">
        <v>172</v>
      </c>
      <c r="AA44" s="76">
        <v>4020</v>
      </c>
    </row>
    <row r="45" spans="1:29" ht="16.5" customHeight="1" x14ac:dyDescent="0.35">
      <c r="A45" s="351">
        <v>45897</v>
      </c>
      <c r="B45" s="76" t="s">
        <v>249</v>
      </c>
      <c r="C45" s="71" t="s">
        <v>104</v>
      </c>
      <c r="D45" s="3"/>
      <c r="E45" s="3" t="s">
        <v>86</v>
      </c>
      <c r="F45" s="3">
        <v>0.1</v>
      </c>
      <c r="H45" s="76">
        <v>7644</v>
      </c>
      <c r="I45" s="3" t="s">
        <v>88</v>
      </c>
      <c r="J45" s="3" t="s">
        <v>90</v>
      </c>
      <c r="L45" s="326" t="s">
        <v>454</v>
      </c>
      <c r="M45" s="3"/>
      <c r="N45" s="356" cm="1">
        <f t="array" ref="N45">_xlfn.IFS(I45="AEX",H45/400,I45="RP",H45/200)</f>
        <v>19.11</v>
      </c>
      <c r="O45" s="3">
        <v>23.5</v>
      </c>
      <c r="P45" s="75">
        <f t="shared" si="4"/>
        <v>325.27659574468083</v>
      </c>
      <c r="Q45" s="3" t="str" cm="1">
        <f t="array" ref="Q45">_xlfn.IFS(P45&lt;200, "10", P45&lt;400, "12", P45&lt;600, "14", P45&gt;600, "16")</f>
        <v>12</v>
      </c>
      <c r="R45" s="75">
        <f t="shared" si="7"/>
        <v>5.7329999999999997</v>
      </c>
      <c r="S45" s="75">
        <f t="shared" si="5"/>
        <v>0.24395744680851061</v>
      </c>
      <c r="T45" s="76">
        <v>3823</v>
      </c>
      <c r="U45" s="306">
        <f t="shared" si="6"/>
        <v>50.013082155939301</v>
      </c>
      <c r="X45" s="2"/>
      <c r="Y45" s="3" t="s">
        <v>172</v>
      </c>
      <c r="AA45" s="76">
        <v>3923</v>
      </c>
    </row>
    <row r="46" spans="1:29" ht="16.5" customHeight="1" x14ac:dyDescent="0.35">
      <c r="A46" s="351">
        <v>45897</v>
      </c>
      <c r="B46" s="76" t="s">
        <v>247</v>
      </c>
      <c r="C46" s="71" t="s">
        <v>104</v>
      </c>
      <c r="D46" s="3"/>
      <c r="E46" s="3" t="s">
        <v>86</v>
      </c>
      <c r="F46" s="3">
        <v>0.1</v>
      </c>
      <c r="H46" s="76">
        <v>7080</v>
      </c>
      <c r="I46" s="3" t="s">
        <v>88</v>
      </c>
      <c r="J46" s="3" t="s">
        <v>90</v>
      </c>
      <c r="L46" s="326" t="s">
        <v>454</v>
      </c>
      <c r="M46" s="3"/>
      <c r="N46" s="356" cm="1">
        <f t="array" ref="N46">_xlfn.IFS(I46="AEX",H46/400,I46="RP",H46/200)</f>
        <v>17.7</v>
      </c>
      <c r="O46" s="3">
        <v>23.5</v>
      </c>
      <c r="P46" s="75">
        <f t="shared" si="4"/>
        <v>301.27659574468083</v>
      </c>
      <c r="Q46" s="3" t="str" cm="1">
        <f t="array" ref="Q46">_xlfn.IFS(P46&lt;200, "10", P46&lt;400, "12", P46&lt;600, "14", P46&gt;600, "16")</f>
        <v>12</v>
      </c>
      <c r="R46" s="75">
        <f t="shared" si="7"/>
        <v>5.31</v>
      </c>
      <c r="S46" s="75">
        <f t="shared" si="5"/>
        <v>0.22595744680851063</v>
      </c>
      <c r="U46" s="306">
        <f t="shared" si="6"/>
        <v>0</v>
      </c>
      <c r="X46" s="2"/>
      <c r="Y46" s="3" t="s">
        <v>172</v>
      </c>
    </row>
    <row r="47" spans="1:29" ht="16.5" customHeight="1" x14ac:dyDescent="0.35">
      <c r="A47" s="351">
        <v>45898</v>
      </c>
      <c r="B47" s="76" t="s">
        <v>217</v>
      </c>
      <c r="C47" s="71" t="s">
        <v>104</v>
      </c>
      <c r="D47" s="3"/>
      <c r="E47" s="3" t="s">
        <v>257</v>
      </c>
      <c r="F47" s="3" t="s">
        <v>87</v>
      </c>
      <c r="H47" s="76">
        <v>83052</v>
      </c>
      <c r="I47" s="3" t="s">
        <v>88</v>
      </c>
      <c r="J47" s="3" t="s">
        <v>90</v>
      </c>
      <c r="M47" s="3"/>
      <c r="N47" s="356" cm="1">
        <f t="array" ref="N47">_xlfn.IFS(I47="AEX",H47/400,I47="RP",H47/200)</f>
        <v>207.63</v>
      </c>
      <c r="O47" s="3">
        <v>400</v>
      </c>
      <c r="P47" s="75">
        <f t="shared" si="4"/>
        <v>207.63</v>
      </c>
      <c r="Q47" s="3" t="str" cm="1">
        <f t="array" ref="Q47">_xlfn.IFS(P47&lt;200, "10", P47&lt;400, "12", P47&lt;600, "14", P47&gt;600, "16")</f>
        <v>12</v>
      </c>
      <c r="R47" s="75">
        <f t="shared" si="7"/>
        <v>62.288999999999994</v>
      </c>
      <c r="S47" s="75">
        <f t="shared" si="5"/>
        <v>0.15572249999999999</v>
      </c>
      <c r="T47" s="76">
        <v>50424</v>
      </c>
      <c r="U47" s="306">
        <f t="shared" si="6"/>
        <v>60.713769686461497</v>
      </c>
      <c r="V47" s="76">
        <v>720.3</v>
      </c>
      <c r="W47" s="3" t="s">
        <v>91</v>
      </c>
      <c r="X47" s="2">
        <v>45898</v>
      </c>
      <c r="Y47" s="3" t="s">
        <v>95</v>
      </c>
      <c r="Z47" s="3" t="s">
        <v>87</v>
      </c>
      <c r="AA47" s="76">
        <v>51282.64</v>
      </c>
      <c r="AB47" s="76">
        <v>186.05</v>
      </c>
    </row>
    <row r="48" spans="1:29" ht="16.5" customHeight="1" x14ac:dyDescent="0.35">
      <c r="A48" s="351">
        <v>45898</v>
      </c>
      <c r="B48" s="76" t="s">
        <v>220</v>
      </c>
      <c r="C48" s="71" t="s">
        <v>104</v>
      </c>
      <c r="D48" s="3"/>
      <c r="E48" s="3" t="s">
        <v>194</v>
      </c>
      <c r="F48" s="3" t="s">
        <v>87</v>
      </c>
      <c r="H48" s="76">
        <v>150000</v>
      </c>
      <c r="I48" s="3" t="s">
        <v>88</v>
      </c>
      <c r="J48" s="3" t="s">
        <v>89</v>
      </c>
      <c r="M48" s="3"/>
      <c r="N48" s="356" cm="1">
        <f t="array" ref="N48">_xlfn.IFS(I48="AEX",H48/400,I48="RP",H48/200)</f>
        <v>375</v>
      </c>
      <c r="O48" s="3">
        <v>760</v>
      </c>
      <c r="P48" s="75">
        <f t="shared" si="4"/>
        <v>197.36842105263159</v>
      </c>
      <c r="Q48" s="3" t="str" cm="1">
        <f t="array" ref="Q48">_xlfn.IFS(P48&lt;200, "10", P48&lt;400, "12", P48&lt;600, "14", P48&gt;600, "16")</f>
        <v>10</v>
      </c>
      <c r="R48" s="75">
        <v>45</v>
      </c>
      <c r="S48" s="75">
        <f t="shared" si="5"/>
        <v>5.921052631578947E-2</v>
      </c>
      <c r="T48" s="76">
        <v>59926</v>
      </c>
      <c r="U48" s="306">
        <f t="shared" si="6"/>
        <v>39.95066666666667</v>
      </c>
      <c r="V48" s="76">
        <v>730</v>
      </c>
      <c r="W48" s="3" t="s">
        <v>91</v>
      </c>
      <c r="X48" s="2">
        <v>45898</v>
      </c>
      <c r="Y48" s="3" t="s">
        <v>94</v>
      </c>
      <c r="Z48" s="3" t="s">
        <v>87</v>
      </c>
      <c r="AA48" s="76">
        <v>54558.68</v>
      </c>
      <c r="AB48" s="76">
        <v>425.1</v>
      </c>
    </row>
    <row r="49" spans="1:30" ht="16.5" customHeight="1" x14ac:dyDescent="0.35">
      <c r="A49" s="351">
        <v>45898</v>
      </c>
      <c r="B49" s="76" t="s">
        <v>246</v>
      </c>
      <c r="C49" s="71" t="s">
        <v>104</v>
      </c>
      <c r="D49" s="3"/>
      <c r="E49" s="3" t="s">
        <v>86</v>
      </c>
      <c r="F49" s="3">
        <v>0.1</v>
      </c>
      <c r="H49" s="76">
        <v>8000</v>
      </c>
      <c r="I49" s="3" t="s">
        <v>88</v>
      </c>
      <c r="J49" s="3" t="s">
        <v>90</v>
      </c>
      <c r="L49" s="326" t="s">
        <v>454</v>
      </c>
      <c r="M49" s="3"/>
      <c r="N49" s="356" cm="1">
        <f t="array" ref="N49">_xlfn.IFS(I49="AEX",H49/400,I49="RP",H49/200)</f>
        <v>20</v>
      </c>
      <c r="O49" s="3">
        <v>63.8</v>
      </c>
      <c r="P49" s="75">
        <f t="shared" si="4"/>
        <v>125.39184952978057</v>
      </c>
      <c r="Q49" s="3" t="str" cm="1">
        <f t="array" ref="Q49">_xlfn.IFS(P49&lt;200, "10", P49&lt;400, "12", P49&lt;600, "14", P49&gt;600, "16")</f>
        <v>10</v>
      </c>
      <c r="R49" s="75">
        <f t="shared" ref="R49:R58" si="8">IF(I49="AEX",H49*0.3/400,H49*0.3/200)</f>
        <v>6</v>
      </c>
      <c r="S49" s="75">
        <f t="shared" si="5"/>
        <v>9.4043887147335428E-2</v>
      </c>
      <c r="T49" s="76">
        <v>3508</v>
      </c>
      <c r="U49" s="306">
        <f t="shared" si="6"/>
        <v>43.85</v>
      </c>
      <c r="X49" s="2"/>
      <c r="Y49" s="3" t="s">
        <v>172</v>
      </c>
      <c r="AA49" s="76">
        <v>3508</v>
      </c>
    </row>
    <row r="50" spans="1:30" ht="16.5" customHeight="1" x14ac:dyDescent="0.35">
      <c r="A50" s="351">
        <v>45898</v>
      </c>
      <c r="B50" s="76" t="s">
        <v>258</v>
      </c>
      <c r="C50" s="286" t="s">
        <v>287</v>
      </c>
      <c r="D50" s="3"/>
      <c r="E50" s="3" t="s">
        <v>86</v>
      </c>
      <c r="F50" s="3">
        <v>0.1</v>
      </c>
      <c r="H50" s="76">
        <v>2727</v>
      </c>
      <c r="I50" s="3" t="s">
        <v>88</v>
      </c>
      <c r="J50" s="3" t="s">
        <v>90</v>
      </c>
      <c r="M50" s="3"/>
      <c r="N50" s="356" cm="1">
        <f t="array" ref="N50">_xlfn.IFS(I50="AEX",H50/400,I50="RP",H50/200)</f>
        <v>6.8174999999999999</v>
      </c>
      <c r="O50" s="3">
        <v>63.8</v>
      </c>
      <c r="P50" s="75">
        <f t="shared" si="4"/>
        <v>42.742946708463954</v>
      </c>
      <c r="Q50" s="3" t="str" cm="1">
        <f t="array" ref="Q50">_xlfn.IFS(P50&lt;200, "10", P50&lt;400, "12", P50&lt;600, "14", P50&gt;600, "16")</f>
        <v>10</v>
      </c>
      <c r="R50" s="75">
        <f t="shared" si="8"/>
        <v>2.0452500000000002</v>
      </c>
      <c r="S50" s="75">
        <f t="shared" si="5"/>
        <v>3.2057210031347969E-2</v>
      </c>
      <c r="U50" s="306">
        <f t="shared" si="6"/>
        <v>0</v>
      </c>
      <c r="X50" s="2"/>
      <c r="Y50" s="3" t="s">
        <v>172</v>
      </c>
    </row>
    <row r="51" spans="1:30" ht="16.5" customHeight="1" x14ac:dyDescent="0.35">
      <c r="A51" s="351">
        <v>45898</v>
      </c>
      <c r="B51" s="76" t="s">
        <v>250</v>
      </c>
      <c r="C51" s="71" t="s">
        <v>104</v>
      </c>
      <c r="D51" s="3"/>
      <c r="E51" s="3" t="s">
        <v>86</v>
      </c>
      <c r="F51" s="3">
        <v>0.1</v>
      </c>
      <c r="H51" s="76">
        <v>7572</v>
      </c>
      <c r="I51" s="3" t="s">
        <v>88</v>
      </c>
      <c r="J51" s="3" t="s">
        <v>90</v>
      </c>
      <c r="M51" s="3"/>
      <c r="N51" s="356" cm="1">
        <f t="array" ref="N51">_xlfn.IFS(I51="AEX",H51/400,I51="RP",H51/200)</f>
        <v>18.93</v>
      </c>
      <c r="O51" s="3">
        <v>63.8</v>
      </c>
      <c r="P51" s="75">
        <f t="shared" si="4"/>
        <v>118.68338557993731</v>
      </c>
      <c r="Q51" s="3" t="str" cm="1">
        <f t="array" ref="Q51">_xlfn.IFS(P51&lt;200, "10", P51&lt;400, "12", P51&lt;600, "14", P51&gt;600, "16")</f>
        <v>10</v>
      </c>
      <c r="R51" s="75">
        <f t="shared" si="8"/>
        <v>5.6789999999999994</v>
      </c>
      <c r="S51" s="75">
        <f t="shared" si="5"/>
        <v>8.9012539184952971E-2</v>
      </c>
      <c r="T51" s="76">
        <v>4551</v>
      </c>
      <c r="U51" s="306">
        <f t="shared" si="6"/>
        <v>60.103011093502381</v>
      </c>
      <c r="X51" s="2"/>
      <c r="Y51" s="3" t="s">
        <v>172</v>
      </c>
      <c r="AA51" s="76">
        <v>4551</v>
      </c>
    </row>
    <row r="52" spans="1:30" ht="16.5" customHeight="1" x14ac:dyDescent="0.35">
      <c r="A52" s="351">
        <v>45898</v>
      </c>
      <c r="B52" s="76" t="s">
        <v>251</v>
      </c>
      <c r="C52" s="71" t="s">
        <v>104</v>
      </c>
      <c r="D52" s="3"/>
      <c r="E52" s="3" t="s">
        <v>86</v>
      </c>
      <c r="F52" s="3">
        <v>0.1</v>
      </c>
      <c r="H52" s="76">
        <v>7930</v>
      </c>
      <c r="I52" s="3" t="s">
        <v>88</v>
      </c>
      <c r="J52" s="3" t="s">
        <v>90</v>
      </c>
      <c r="M52" s="3"/>
      <c r="N52" s="356" cm="1">
        <f t="array" ref="N52">_xlfn.IFS(I52="AEX",H52/400,I52="RP",H52/200)</f>
        <v>19.824999999999999</v>
      </c>
      <c r="O52" s="3">
        <v>64.7</v>
      </c>
      <c r="P52" s="75">
        <f t="shared" si="4"/>
        <v>122.56568778979907</v>
      </c>
      <c r="Q52" s="3" t="str" cm="1">
        <f t="array" ref="Q52">_xlfn.IFS(P52&lt;200, "10", P52&lt;400, "12", P52&lt;600, "14", P52&gt;600, "16")</f>
        <v>10</v>
      </c>
      <c r="R52" s="75">
        <f t="shared" si="8"/>
        <v>5.9474999999999998</v>
      </c>
      <c r="S52" s="75">
        <f t="shared" si="5"/>
        <v>9.1924265842349293E-2</v>
      </c>
      <c r="T52" s="76">
        <v>4085</v>
      </c>
      <c r="U52" s="306">
        <f t="shared" si="6"/>
        <v>51.513240857503149</v>
      </c>
      <c r="X52" s="2"/>
      <c r="Y52" s="3" t="s">
        <v>172</v>
      </c>
      <c r="AA52" s="76">
        <v>4085</v>
      </c>
    </row>
    <row r="53" spans="1:30" ht="16.5" customHeight="1" x14ac:dyDescent="0.35">
      <c r="A53" s="351">
        <v>45898</v>
      </c>
      <c r="B53" s="76" t="s">
        <v>252</v>
      </c>
      <c r="C53" s="71" t="s">
        <v>104</v>
      </c>
      <c r="D53" s="3"/>
      <c r="E53" s="3" t="s">
        <v>86</v>
      </c>
      <c r="F53" s="3">
        <v>0.1</v>
      </c>
      <c r="H53" s="76">
        <v>8000</v>
      </c>
      <c r="I53" s="3" t="s">
        <v>88</v>
      </c>
      <c r="J53" s="3" t="s">
        <v>90</v>
      </c>
      <c r="M53" s="3"/>
      <c r="N53" s="356" cm="1">
        <f t="array" ref="N53">_xlfn.IFS(I53="AEX",H53/400,I53="RP",H53/200)</f>
        <v>20</v>
      </c>
      <c r="O53" s="3">
        <v>64.7</v>
      </c>
      <c r="P53" s="75">
        <f t="shared" si="4"/>
        <v>123.64760432766614</v>
      </c>
      <c r="Q53" s="3" t="str" cm="1">
        <f t="array" ref="Q53">_xlfn.IFS(P53&lt;200, "10", P53&lt;400, "12", P53&lt;600, "14", P53&gt;600, "16")</f>
        <v>10</v>
      </c>
      <c r="R53" s="75">
        <f t="shared" si="8"/>
        <v>6</v>
      </c>
      <c r="S53" s="75">
        <f t="shared" si="5"/>
        <v>9.2735703245749604E-2</v>
      </c>
      <c r="T53" s="76">
        <v>4504.5</v>
      </c>
      <c r="U53" s="306">
        <f t="shared" si="6"/>
        <v>56.306250000000006</v>
      </c>
      <c r="V53" s="76">
        <v>107.25</v>
      </c>
      <c r="W53" s="3" t="s">
        <v>91</v>
      </c>
      <c r="X53" s="2">
        <v>45898</v>
      </c>
      <c r="Y53" s="3" t="s">
        <v>97</v>
      </c>
      <c r="Z53" s="3" t="s">
        <v>87</v>
      </c>
      <c r="AA53" s="76">
        <v>4158.08</v>
      </c>
      <c r="AB53" s="76">
        <v>159.07</v>
      </c>
    </row>
    <row r="54" spans="1:30" ht="16.5" customHeight="1" x14ac:dyDescent="0.35">
      <c r="A54" s="351">
        <v>45898</v>
      </c>
      <c r="B54" s="76" t="s">
        <v>253</v>
      </c>
      <c r="C54" s="71" t="s">
        <v>104</v>
      </c>
      <c r="D54" s="3"/>
      <c r="E54" s="3" t="s">
        <v>86</v>
      </c>
      <c r="F54" s="3">
        <v>0.1</v>
      </c>
      <c r="H54" s="76">
        <v>8000</v>
      </c>
      <c r="I54" s="3" t="s">
        <v>70</v>
      </c>
      <c r="J54" s="3" t="s">
        <v>209</v>
      </c>
      <c r="L54" s="326" t="s">
        <v>463</v>
      </c>
      <c r="M54" s="3"/>
      <c r="N54" s="356" cm="1">
        <f t="array" ref="N54">_xlfn.IFS(I54="AEX",H54/400,I54="RP",H54/200)</f>
        <v>40</v>
      </c>
      <c r="O54" s="3">
        <v>22</v>
      </c>
      <c r="P54" s="75">
        <f t="shared" si="4"/>
        <v>363.63636363636363</v>
      </c>
      <c r="Q54" s="3" t="str" cm="1">
        <f t="array" ref="Q54">_xlfn.IFS(P54&lt;200, "10", P54&lt;400, "12", P54&lt;600, "14", P54&gt;600, "16")</f>
        <v>12</v>
      </c>
      <c r="R54" s="75">
        <f t="shared" si="8"/>
        <v>12</v>
      </c>
      <c r="S54" s="75">
        <f t="shared" si="5"/>
        <v>0.54545454545454541</v>
      </c>
      <c r="T54" s="76">
        <v>3278</v>
      </c>
      <c r="U54" s="306">
        <f t="shared" si="6"/>
        <v>40.975000000000001</v>
      </c>
      <c r="X54" s="2"/>
      <c r="Y54" s="3" t="s">
        <v>172</v>
      </c>
      <c r="AA54" s="76">
        <v>3278</v>
      </c>
      <c r="AD54" s="47" t="s">
        <v>264</v>
      </c>
    </row>
    <row r="55" spans="1:30" ht="16.5" customHeight="1" x14ac:dyDescent="0.35">
      <c r="A55" s="351">
        <v>45898</v>
      </c>
      <c r="B55" s="76" t="s">
        <v>254</v>
      </c>
      <c r="C55" s="71" t="s">
        <v>104</v>
      </c>
      <c r="D55" s="3"/>
      <c r="E55" s="3" t="s">
        <v>86</v>
      </c>
      <c r="F55" s="3">
        <v>0.1</v>
      </c>
      <c r="H55" s="76">
        <v>8200</v>
      </c>
      <c r="I55" s="3" t="s">
        <v>88</v>
      </c>
      <c r="J55" s="3" t="s">
        <v>89</v>
      </c>
      <c r="M55" s="3"/>
      <c r="N55" s="356" cm="1">
        <f t="array" ref="N55">_xlfn.IFS(I55="AEX",H55/400,I55="RP",H55/200)</f>
        <v>20.5</v>
      </c>
      <c r="O55" s="3">
        <v>63.8</v>
      </c>
      <c r="P55" s="75">
        <f t="shared" si="4"/>
        <v>128.52664576802508</v>
      </c>
      <c r="Q55" s="3" t="str" cm="1">
        <f t="array" ref="Q55">_xlfn.IFS(P55&lt;200, "10", P55&lt;400, "12", P55&lt;600, "14", P55&gt;600, "16")</f>
        <v>10</v>
      </c>
      <c r="R55" s="75">
        <f t="shared" si="8"/>
        <v>6.15</v>
      </c>
      <c r="S55" s="75">
        <f t="shared" si="5"/>
        <v>9.6394984326018812E-2</v>
      </c>
      <c r="T55" s="76">
        <v>4374</v>
      </c>
      <c r="U55" s="306">
        <f t="shared" si="6"/>
        <v>53.341463414634148</v>
      </c>
      <c r="X55" s="2"/>
      <c r="Y55" s="3" t="s">
        <v>172</v>
      </c>
      <c r="AA55" s="76">
        <v>4374</v>
      </c>
    </row>
    <row r="56" spans="1:30" ht="16.5" customHeight="1" x14ac:dyDescent="0.35">
      <c r="A56" s="351">
        <v>45898</v>
      </c>
      <c r="B56" s="76" t="s">
        <v>255</v>
      </c>
      <c r="C56" s="71" t="s">
        <v>104</v>
      </c>
      <c r="D56" s="3"/>
      <c r="E56" s="3" t="s">
        <v>86</v>
      </c>
      <c r="F56" s="3">
        <v>0.1</v>
      </c>
      <c r="H56" s="76">
        <v>7400</v>
      </c>
      <c r="I56" s="3" t="s">
        <v>88</v>
      </c>
      <c r="J56" s="3" t="s">
        <v>89</v>
      </c>
      <c r="M56" s="3"/>
      <c r="N56" s="356" cm="1">
        <f t="array" ref="N56">_xlfn.IFS(I56="AEX",H56/400,I56="RP",H56/200)</f>
        <v>18.5</v>
      </c>
      <c r="O56" s="3">
        <v>64.7</v>
      </c>
      <c r="P56" s="75">
        <f t="shared" si="4"/>
        <v>114.37403400309118</v>
      </c>
      <c r="Q56" s="3" t="str" cm="1">
        <f t="array" ref="Q56">_xlfn.IFS(P56&lt;200, "10", P56&lt;400, "12", P56&lt;600, "14", P56&gt;600, "16")</f>
        <v>10</v>
      </c>
      <c r="R56" s="75">
        <f t="shared" si="8"/>
        <v>5.55</v>
      </c>
      <c r="S56" s="75">
        <f t="shared" si="5"/>
        <v>8.5780525502318392E-2</v>
      </c>
      <c r="T56" s="76">
        <v>3783</v>
      </c>
      <c r="U56" s="306">
        <f t="shared" si="6"/>
        <v>51.121621621621628</v>
      </c>
      <c r="X56" s="2"/>
      <c r="Y56" s="3" t="s">
        <v>172</v>
      </c>
      <c r="AA56" s="76">
        <v>3783</v>
      </c>
    </row>
    <row r="57" spans="1:30" ht="16.5" customHeight="1" x14ac:dyDescent="0.35">
      <c r="A57" s="351">
        <v>45902</v>
      </c>
      <c r="B57" s="76" t="s">
        <v>259</v>
      </c>
      <c r="C57" s="71" t="s">
        <v>104</v>
      </c>
      <c r="D57" s="3"/>
      <c r="E57" s="3" t="s">
        <v>86</v>
      </c>
      <c r="F57" s="3">
        <v>0.1</v>
      </c>
      <c r="H57" s="76">
        <v>4100</v>
      </c>
      <c r="I57" s="3" t="s">
        <v>88</v>
      </c>
      <c r="J57" s="3" t="s">
        <v>89</v>
      </c>
      <c r="M57" s="3"/>
      <c r="N57" s="356" cm="1">
        <f t="array" ref="N57">_xlfn.IFS(I57="AEX",H57/400,I57="RP",H57/200)</f>
        <v>10.25</v>
      </c>
      <c r="O57" s="3">
        <v>23.5</v>
      </c>
      <c r="P57" s="75">
        <f t="shared" si="4"/>
        <v>174.46808510638297</v>
      </c>
      <c r="Q57" s="3" t="str" cm="1">
        <f t="array" ref="Q57">_xlfn.IFS(P57&lt;200, "10", P57&lt;400, "12", P57&lt;600, "14", P57&gt;600, "16")</f>
        <v>10</v>
      </c>
      <c r="R57" s="75">
        <f t="shared" si="8"/>
        <v>3.0750000000000002</v>
      </c>
      <c r="S57" s="75">
        <f t="shared" si="5"/>
        <v>0.13085106382978723</v>
      </c>
      <c r="T57" s="76">
        <v>2761</v>
      </c>
      <c r="U57" s="306">
        <f t="shared" si="6"/>
        <v>67.341463414634148</v>
      </c>
      <c r="X57" s="2"/>
      <c r="Y57" s="3" t="s">
        <v>172</v>
      </c>
      <c r="AA57" s="76">
        <v>2761</v>
      </c>
    </row>
    <row r="58" spans="1:30" ht="16.5" customHeight="1" x14ac:dyDescent="0.35">
      <c r="A58" s="351">
        <v>45903</v>
      </c>
      <c r="B58" s="76" t="s">
        <v>288</v>
      </c>
      <c r="C58" s="286" t="s">
        <v>287</v>
      </c>
      <c r="D58" s="3"/>
      <c r="E58" s="3" t="s">
        <v>86</v>
      </c>
      <c r="F58" s="3">
        <v>0.1</v>
      </c>
      <c r="H58" s="76">
        <v>7270</v>
      </c>
      <c r="I58" s="3" t="s">
        <v>88</v>
      </c>
      <c r="J58" s="3" t="s">
        <v>89</v>
      </c>
      <c r="M58" s="3"/>
      <c r="N58" s="356" cm="1">
        <f t="array" ref="N58">_xlfn.IFS(I58="AEX",H58/400,I58="RP",H58/200)</f>
        <v>18.175000000000001</v>
      </c>
      <c r="O58" s="3">
        <v>23.5</v>
      </c>
      <c r="P58" s="75">
        <f t="shared" si="4"/>
        <v>309.36170212765956</v>
      </c>
      <c r="Q58" s="3" t="str" cm="1">
        <f t="array" ref="Q58">_xlfn.IFS(P58&lt;200, "10", P58&lt;400, "12", P58&lt;600, "14", P58&gt;600, "16")</f>
        <v>12</v>
      </c>
      <c r="R58" s="75">
        <f t="shared" si="8"/>
        <v>5.4524999999999997</v>
      </c>
      <c r="S58" s="75">
        <f t="shared" si="5"/>
        <v>0.23202127659574467</v>
      </c>
      <c r="U58" s="306">
        <f t="shared" si="6"/>
        <v>0</v>
      </c>
      <c r="X58" s="2"/>
      <c r="AD58" s="47" t="s">
        <v>265</v>
      </c>
    </row>
    <row r="59" spans="1:30" ht="16.5" customHeight="1" x14ac:dyDescent="0.35">
      <c r="A59" s="351">
        <v>45903</v>
      </c>
      <c r="B59" s="76" t="s">
        <v>221</v>
      </c>
      <c r="C59" s="71" t="s">
        <v>104</v>
      </c>
      <c r="D59" s="3"/>
      <c r="E59" s="3" t="s">
        <v>257</v>
      </c>
      <c r="F59" s="3" t="s">
        <v>87</v>
      </c>
      <c r="H59" s="76">
        <v>262233</v>
      </c>
      <c r="I59" s="3" t="s">
        <v>88</v>
      </c>
      <c r="J59" s="3" t="s">
        <v>89</v>
      </c>
      <c r="M59" s="3"/>
      <c r="N59" s="356" cm="1">
        <f t="array" ref="N59">_xlfn.IFS(I59="AEX",H59/400,I59="RP",H59/200)</f>
        <v>655.58249999999998</v>
      </c>
      <c r="O59" s="3">
        <v>760</v>
      </c>
      <c r="P59" s="75">
        <f t="shared" si="4"/>
        <v>345.04342105263157</v>
      </c>
      <c r="Q59" s="3" t="str" cm="1">
        <f t="array" ref="Q59">_xlfn.IFS(P59&lt;200, "10", P59&lt;400, "12", P59&lt;600, "14", P59&gt;600, "16")</f>
        <v>12</v>
      </c>
      <c r="R59" s="75">
        <v>45</v>
      </c>
      <c r="S59" s="75">
        <f t="shared" si="5"/>
        <v>5.921052631578947E-2</v>
      </c>
      <c r="T59" s="76">
        <v>135117.12</v>
      </c>
      <c r="U59" s="306">
        <f t="shared" si="6"/>
        <v>51.525597464849959</v>
      </c>
      <c r="V59" s="76">
        <v>2176.5</v>
      </c>
      <c r="W59" s="3" t="s">
        <v>91</v>
      </c>
      <c r="X59" s="2">
        <v>45904</v>
      </c>
      <c r="Y59" s="3" t="s">
        <v>95</v>
      </c>
      <c r="Z59" s="3" t="s">
        <v>87</v>
      </c>
      <c r="AA59" s="76">
        <v>128405</v>
      </c>
      <c r="AB59" s="76">
        <v>282</v>
      </c>
    </row>
    <row r="60" spans="1:30" ht="16.5" customHeight="1" x14ac:dyDescent="0.35">
      <c r="A60" s="351">
        <v>45903</v>
      </c>
      <c r="B60" s="76" t="s">
        <v>260</v>
      </c>
      <c r="C60" s="71" t="s">
        <v>104</v>
      </c>
      <c r="D60" s="3"/>
      <c r="E60" s="3" t="s">
        <v>86</v>
      </c>
      <c r="F60" s="3">
        <v>0.1</v>
      </c>
      <c r="H60" s="76">
        <v>3067</v>
      </c>
      <c r="I60" s="3" t="s">
        <v>70</v>
      </c>
      <c r="J60" s="3" t="s">
        <v>209</v>
      </c>
      <c r="L60" s="326" t="s">
        <v>463</v>
      </c>
      <c r="M60" s="3"/>
      <c r="N60" s="356" cm="1">
        <f t="array" ref="N60">_xlfn.IFS(I60="AEX",H60/400,I60="RP",H60/200)</f>
        <v>15.335000000000001</v>
      </c>
      <c r="O60" s="3">
        <v>22</v>
      </c>
      <c r="P60" s="75">
        <f t="shared" si="4"/>
        <v>139.40909090909091</v>
      </c>
      <c r="Q60" s="3" t="str" cm="1">
        <f t="array" ref="Q60">_xlfn.IFS(P60&lt;200, "10", P60&lt;400, "12", P60&lt;600, "14", P60&gt;600, "16")</f>
        <v>10</v>
      </c>
      <c r="R60" s="75">
        <f t="shared" ref="R60:R68" si="9">IF(I60="AEX",H60*0.3/400,H60*0.3/200)</f>
        <v>4.6005000000000003</v>
      </c>
      <c r="S60" s="75">
        <f t="shared" si="5"/>
        <v>0.20911363636363636</v>
      </c>
      <c r="T60" s="76">
        <v>2118</v>
      </c>
      <c r="U60" s="306">
        <f t="shared" si="6"/>
        <v>69.057711118356707</v>
      </c>
      <c r="X60" s="2"/>
      <c r="Y60" s="3" t="s">
        <v>172</v>
      </c>
      <c r="AA60" s="76">
        <v>2118</v>
      </c>
    </row>
    <row r="61" spans="1:30" ht="16.5" customHeight="1" x14ac:dyDescent="0.35">
      <c r="A61" s="351">
        <v>45903</v>
      </c>
      <c r="B61" s="76" t="s">
        <v>261</v>
      </c>
      <c r="C61" s="71" t="s">
        <v>104</v>
      </c>
      <c r="D61" s="3"/>
      <c r="E61" s="3" t="s">
        <v>86</v>
      </c>
      <c r="F61" s="3">
        <v>0.1</v>
      </c>
      <c r="H61" s="76">
        <v>3290</v>
      </c>
      <c r="I61" s="3" t="s">
        <v>70</v>
      </c>
      <c r="J61" s="3" t="s">
        <v>195</v>
      </c>
      <c r="L61" s="326" t="s">
        <v>463</v>
      </c>
      <c r="M61" s="3"/>
      <c r="N61" s="356" cm="1">
        <f t="array" ref="N61">_xlfn.IFS(I61="AEX",H61/400,I61="RP",H61/200)</f>
        <v>16.45</v>
      </c>
      <c r="O61" s="3">
        <v>24</v>
      </c>
      <c r="P61" s="75">
        <f t="shared" si="4"/>
        <v>137.08333333333334</v>
      </c>
      <c r="Q61" s="3" t="str" cm="1">
        <f t="array" ref="Q61">_xlfn.IFS(P61&lt;200, "10", P61&lt;400, "12", P61&lt;600, "14", P61&gt;600, "16")</f>
        <v>10</v>
      </c>
      <c r="R61" s="75">
        <f t="shared" si="9"/>
        <v>4.9349999999999996</v>
      </c>
      <c r="S61" s="75">
        <f t="shared" si="5"/>
        <v>0.20562499999999997</v>
      </c>
      <c r="T61" s="76">
        <v>1715</v>
      </c>
      <c r="U61" s="306">
        <f t="shared" si="6"/>
        <v>52.12765957446809</v>
      </c>
      <c r="X61" s="2"/>
      <c r="Y61" s="3" t="s">
        <v>172</v>
      </c>
      <c r="AA61" s="76">
        <v>1715</v>
      </c>
    </row>
    <row r="62" spans="1:30" ht="16.5" customHeight="1" x14ac:dyDescent="0.35">
      <c r="A62" s="351">
        <v>45903</v>
      </c>
      <c r="B62" s="76" t="s">
        <v>262</v>
      </c>
      <c r="C62" s="71" t="s">
        <v>104</v>
      </c>
      <c r="D62" s="3"/>
      <c r="E62" s="3" t="s">
        <v>86</v>
      </c>
      <c r="F62" s="3">
        <v>0.1</v>
      </c>
      <c r="H62" s="76">
        <v>3082</v>
      </c>
      <c r="I62" s="3" t="s">
        <v>88</v>
      </c>
      <c r="J62" s="3" t="s">
        <v>308</v>
      </c>
      <c r="L62" s="326" t="s">
        <v>454</v>
      </c>
      <c r="M62" s="3"/>
      <c r="N62" s="356" cm="1">
        <f t="array" ref="N62">_xlfn.IFS(I62="AEX",H62/400,I62="RP",H62/200)</f>
        <v>7.7050000000000001</v>
      </c>
      <c r="O62" s="3">
        <v>24</v>
      </c>
      <c r="P62" s="75">
        <f t="shared" si="4"/>
        <v>128.41666666666666</v>
      </c>
      <c r="Q62" s="3" t="str" cm="1">
        <f t="array" ref="Q62">_xlfn.IFS(P62&lt;200, "10", P62&lt;400, "12", P62&lt;600, "14", P62&gt;600, "16")</f>
        <v>10</v>
      </c>
      <c r="R62" s="75">
        <f t="shared" si="9"/>
        <v>2.3114999999999997</v>
      </c>
      <c r="S62" s="75">
        <f t="shared" si="5"/>
        <v>9.6312499999999981E-2</v>
      </c>
      <c r="T62" s="76">
        <v>2154</v>
      </c>
      <c r="U62" s="306">
        <f t="shared" si="6"/>
        <v>69.889682024659322</v>
      </c>
      <c r="X62" s="2"/>
      <c r="Y62" s="3" t="s">
        <v>172</v>
      </c>
      <c r="AA62" s="76">
        <v>2181</v>
      </c>
    </row>
    <row r="63" spans="1:30" ht="16.5" customHeight="1" x14ac:dyDescent="0.35">
      <c r="A63" s="351">
        <v>45903</v>
      </c>
      <c r="B63" s="76" t="s">
        <v>263</v>
      </c>
      <c r="C63" s="71" t="s">
        <v>104</v>
      </c>
      <c r="D63" s="3"/>
      <c r="E63" s="3" t="s">
        <v>86</v>
      </c>
      <c r="F63" s="3">
        <v>0.1</v>
      </c>
      <c r="H63" s="76">
        <v>3177</v>
      </c>
      <c r="I63" s="3" t="s">
        <v>88</v>
      </c>
      <c r="J63" s="3" t="s">
        <v>308</v>
      </c>
      <c r="L63" s="326" t="s">
        <v>454</v>
      </c>
      <c r="M63" s="3"/>
      <c r="N63" s="356" cm="1">
        <f t="array" ref="N63">_xlfn.IFS(I63="AEX",H63/400,I63="RP",H63/200)</f>
        <v>7.9424999999999999</v>
      </c>
      <c r="O63" s="3">
        <v>24</v>
      </c>
      <c r="P63" s="75">
        <f t="shared" si="4"/>
        <v>132.375</v>
      </c>
      <c r="Q63" s="3" t="str" cm="1">
        <f t="array" ref="Q63">_xlfn.IFS(P63&lt;200, "10", P63&lt;400, "12", P63&lt;600, "14", P63&gt;600, "16")</f>
        <v>10</v>
      </c>
      <c r="R63" s="75">
        <f t="shared" si="9"/>
        <v>2.3827499999999997</v>
      </c>
      <c r="S63" s="75">
        <f t="shared" si="5"/>
        <v>9.9281249999999988E-2</v>
      </c>
      <c r="T63" s="76">
        <v>1883</v>
      </c>
      <c r="U63" s="306">
        <f t="shared" si="6"/>
        <v>59.269751337740004</v>
      </c>
      <c r="V63" s="76">
        <v>1883</v>
      </c>
      <c r="X63" s="2"/>
      <c r="Y63" s="3" t="s">
        <v>172</v>
      </c>
      <c r="AA63" s="76">
        <v>1724</v>
      </c>
    </row>
    <row r="64" spans="1:30" ht="16.5" customHeight="1" x14ac:dyDescent="0.35">
      <c r="A64" s="351">
        <v>45903</v>
      </c>
      <c r="B64" s="76" t="s">
        <v>282</v>
      </c>
      <c r="C64" s="71" t="s">
        <v>104</v>
      </c>
      <c r="D64" s="3"/>
      <c r="E64" s="3" t="s">
        <v>86</v>
      </c>
      <c r="F64" s="3">
        <v>0.1</v>
      </c>
      <c r="H64" s="76">
        <v>3277</v>
      </c>
      <c r="I64" s="3" t="s">
        <v>88</v>
      </c>
      <c r="J64" s="3" t="s">
        <v>308</v>
      </c>
      <c r="L64" s="326" t="s">
        <v>454</v>
      </c>
      <c r="M64" s="3"/>
      <c r="N64" s="356" cm="1">
        <f t="array" ref="N64">_xlfn.IFS(I64="AEX",H64/400,I64="RP",H64/200)</f>
        <v>8.1925000000000008</v>
      </c>
      <c r="O64" s="3">
        <v>24</v>
      </c>
      <c r="P64" s="75">
        <f t="shared" si="4"/>
        <v>136.54166666666666</v>
      </c>
      <c r="Q64" s="3" t="str" cm="1">
        <f t="array" ref="Q64">_xlfn.IFS(P64&lt;200, "10", P64&lt;400, "12", P64&lt;600, "14", P64&gt;600, "16")</f>
        <v>10</v>
      </c>
      <c r="R64" s="75">
        <f t="shared" si="9"/>
        <v>2.4577499999999999</v>
      </c>
      <c r="S64" s="75">
        <f t="shared" si="5"/>
        <v>0.10240624999999999</v>
      </c>
      <c r="T64" s="76">
        <v>2131</v>
      </c>
      <c r="U64" s="306">
        <f t="shared" si="6"/>
        <v>65.028989929813847</v>
      </c>
      <c r="X64" s="2"/>
      <c r="Y64" s="3" t="s">
        <v>172</v>
      </c>
      <c r="AA64" s="76">
        <v>2131</v>
      </c>
    </row>
    <row r="65" spans="1:30" ht="16.5" customHeight="1" x14ac:dyDescent="0.35">
      <c r="A65" s="351">
        <v>45903</v>
      </c>
      <c r="B65" s="76" t="s">
        <v>266</v>
      </c>
      <c r="C65" s="71" t="s">
        <v>104</v>
      </c>
      <c r="D65" s="3"/>
      <c r="E65" s="3" t="s">
        <v>87</v>
      </c>
      <c r="F65" s="3">
        <v>0.05</v>
      </c>
      <c r="H65" s="76">
        <v>49977</v>
      </c>
      <c r="I65" s="3" t="s">
        <v>88</v>
      </c>
      <c r="J65" s="3" t="s">
        <v>89</v>
      </c>
      <c r="M65" s="3"/>
      <c r="N65" s="356" cm="1">
        <f t="array" ref="N65">_xlfn.IFS(I65="AEX",H65/400,I65="RP",H65/200)</f>
        <v>124.9425</v>
      </c>
      <c r="O65" s="3">
        <v>298</v>
      </c>
      <c r="P65" s="75">
        <f t="shared" si="4"/>
        <v>167.70805369127515</v>
      </c>
      <c r="Q65" s="3" t="str" cm="1">
        <f t="array" ref="Q65">_xlfn.IFS(P65&lt;200, "10", P65&lt;400, "12", P65&lt;600, "14", P65&gt;600, "16")</f>
        <v>10</v>
      </c>
      <c r="R65" s="75">
        <f t="shared" si="9"/>
        <v>37.482749999999996</v>
      </c>
      <c r="S65" s="75">
        <f t="shared" si="5"/>
        <v>0.12578104026845635</v>
      </c>
      <c r="T65" s="76">
        <v>36712</v>
      </c>
      <c r="U65" s="306">
        <f t="shared" si="6"/>
        <v>73.457790583668498</v>
      </c>
      <c r="V65" s="76">
        <v>798.8</v>
      </c>
      <c r="W65" s="3" t="s">
        <v>91</v>
      </c>
      <c r="X65" s="2">
        <v>45908</v>
      </c>
      <c r="Y65" s="3" t="s">
        <v>95</v>
      </c>
      <c r="Z65" s="3" t="s">
        <v>87</v>
      </c>
      <c r="AA65" s="76">
        <v>36403</v>
      </c>
      <c r="AB65" s="76">
        <v>227.39</v>
      </c>
    </row>
    <row r="66" spans="1:30" ht="16.5" customHeight="1" x14ac:dyDescent="0.35">
      <c r="A66" s="351">
        <v>45903</v>
      </c>
      <c r="B66" s="76" t="s">
        <v>283</v>
      </c>
      <c r="C66" s="71" t="s">
        <v>104</v>
      </c>
      <c r="D66" s="3"/>
      <c r="E66" s="3" t="s">
        <v>86</v>
      </c>
      <c r="F66" s="3">
        <v>0.1</v>
      </c>
      <c r="I66" s="3" t="s">
        <v>88</v>
      </c>
      <c r="J66" s="3" t="s">
        <v>308</v>
      </c>
      <c r="L66" s="326" t="s">
        <v>454</v>
      </c>
      <c r="M66" s="3"/>
      <c r="N66" s="356" cm="1">
        <f t="array" ref="N66">_xlfn.IFS(I66="AEX",H66/400,I66="RP",H66/200)</f>
        <v>0</v>
      </c>
      <c r="O66" s="3">
        <v>24</v>
      </c>
      <c r="P66" s="75">
        <f t="shared" ref="P66:P97" si="10">H66/O66</f>
        <v>0</v>
      </c>
      <c r="Q66" s="3" t="str" cm="1">
        <f t="array" ref="Q66">_xlfn.IFS(P66&lt;200, "10", P66&lt;400, "12", P66&lt;600, "14", P66&gt;600, "16")</f>
        <v>10</v>
      </c>
      <c r="R66" s="75">
        <f t="shared" si="9"/>
        <v>0</v>
      </c>
      <c r="S66" s="75">
        <f t="shared" ref="S66:S97" si="11">R66/O66</f>
        <v>0</v>
      </c>
      <c r="T66" s="76">
        <v>2983</v>
      </c>
      <c r="U66" s="306" t="e">
        <f t="shared" ref="U66:U97" si="12">T66/H66*100</f>
        <v>#DIV/0!</v>
      </c>
      <c r="X66" s="2"/>
      <c r="Y66" s="3" t="s">
        <v>172</v>
      </c>
      <c r="AA66" s="76">
        <v>2810</v>
      </c>
    </row>
    <row r="67" spans="1:30" ht="16.5" customHeight="1" x14ac:dyDescent="0.35">
      <c r="A67" s="351">
        <v>45903</v>
      </c>
      <c r="B67" s="76" t="s">
        <v>284</v>
      </c>
      <c r="C67" s="71" t="s">
        <v>104</v>
      </c>
      <c r="D67" s="3"/>
      <c r="E67" s="3" t="s">
        <v>86</v>
      </c>
      <c r="F67" s="3">
        <v>0.1</v>
      </c>
      <c r="I67" s="3" t="s">
        <v>88</v>
      </c>
      <c r="J67" s="3" t="s">
        <v>308</v>
      </c>
      <c r="L67" s="326" t="s">
        <v>454</v>
      </c>
      <c r="M67" s="3"/>
      <c r="N67" s="356" cm="1">
        <f t="array" ref="N67">_xlfn.IFS(I67="AEX",H67/400,I67="RP",H67/200)</f>
        <v>0</v>
      </c>
      <c r="O67" s="3">
        <v>24</v>
      </c>
      <c r="P67" s="75">
        <f t="shared" si="10"/>
        <v>0</v>
      </c>
      <c r="Q67" s="3" t="str" cm="1">
        <f t="array" ref="Q67">_xlfn.IFS(P67&lt;200, "10", P67&lt;400, "12", P67&lt;600, "14", P67&gt;600, "16")</f>
        <v>10</v>
      </c>
      <c r="R67" s="75">
        <f t="shared" si="9"/>
        <v>0</v>
      </c>
      <c r="S67" s="75">
        <f t="shared" si="11"/>
        <v>0</v>
      </c>
      <c r="T67" s="76">
        <v>2741</v>
      </c>
      <c r="U67" s="306" t="e">
        <f t="shared" si="12"/>
        <v>#DIV/0!</v>
      </c>
      <c r="X67" s="2"/>
      <c r="Y67" s="3" t="s">
        <v>172</v>
      </c>
      <c r="AA67" s="76">
        <v>2741</v>
      </c>
    </row>
    <row r="68" spans="1:30" ht="16.5" customHeight="1" x14ac:dyDescent="0.35">
      <c r="A68" s="351">
        <v>45903</v>
      </c>
      <c r="B68" s="76" t="s">
        <v>285</v>
      </c>
      <c r="C68" s="71" t="s">
        <v>104</v>
      </c>
      <c r="D68" s="3"/>
      <c r="E68" s="3" t="s">
        <v>86</v>
      </c>
      <c r="F68" s="3">
        <v>0.1</v>
      </c>
      <c r="I68" s="3" t="s">
        <v>88</v>
      </c>
      <c r="J68" s="3" t="s">
        <v>308</v>
      </c>
      <c r="L68" s="326" t="s">
        <v>454</v>
      </c>
      <c r="M68" s="3"/>
      <c r="N68" s="356" cm="1">
        <f t="array" ref="N68">_xlfn.IFS(I68="AEX",H68/400,I68="RP",H68/200)</f>
        <v>0</v>
      </c>
      <c r="O68" s="3">
        <v>24</v>
      </c>
      <c r="P68" s="75">
        <f t="shared" si="10"/>
        <v>0</v>
      </c>
      <c r="Q68" s="3" t="str" cm="1">
        <f t="array" ref="Q68">_xlfn.IFS(P68&lt;200, "10", P68&lt;400, "12", P68&lt;600, "14", P68&gt;600, "16")</f>
        <v>10</v>
      </c>
      <c r="R68" s="75">
        <f t="shared" si="9"/>
        <v>0</v>
      </c>
      <c r="S68" s="75">
        <f t="shared" si="11"/>
        <v>0</v>
      </c>
      <c r="T68" s="76">
        <v>2273</v>
      </c>
      <c r="U68" s="306" t="e">
        <f t="shared" si="12"/>
        <v>#DIV/0!</v>
      </c>
      <c r="X68" s="2"/>
      <c r="Y68" s="3" t="s">
        <v>172</v>
      </c>
      <c r="AA68" s="76">
        <v>2273</v>
      </c>
    </row>
    <row r="69" spans="1:30" ht="16.5" customHeight="1" x14ac:dyDescent="0.35">
      <c r="A69" s="351">
        <v>45908</v>
      </c>
      <c r="B69" s="76" t="s">
        <v>286</v>
      </c>
      <c r="C69" s="71" t="s">
        <v>104</v>
      </c>
      <c r="D69" s="3"/>
      <c r="E69" s="3" t="s">
        <v>86</v>
      </c>
      <c r="F69" s="3">
        <v>0.1</v>
      </c>
      <c r="H69" s="76">
        <v>2452</v>
      </c>
      <c r="I69" s="3" t="s">
        <v>88</v>
      </c>
      <c r="J69" s="3" t="s">
        <v>308</v>
      </c>
      <c r="L69" s="326" t="s">
        <v>454</v>
      </c>
      <c r="M69" s="3"/>
      <c r="N69" s="356" cm="1">
        <f t="array" ref="N69">_xlfn.IFS(I69="AEX",H69/400,I69="RP",H69/200)</f>
        <v>6.13</v>
      </c>
      <c r="O69" s="3">
        <v>16</v>
      </c>
      <c r="P69" s="75">
        <f t="shared" si="10"/>
        <v>153.25</v>
      </c>
      <c r="Q69" s="3" t="str" cm="1">
        <f t="array" ref="Q69">_xlfn.IFS(P69&lt;200, "10", P69&lt;400, "12", P69&lt;600, "14", P69&gt;600, "16")</f>
        <v>10</v>
      </c>
      <c r="R69" s="75">
        <v>5</v>
      </c>
      <c r="S69" s="75">
        <f t="shared" si="11"/>
        <v>0.3125</v>
      </c>
      <c r="T69" s="76">
        <v>1936</v>
      </c>
      <c r="U69" s="306">
        <f t="shared" si="12"/>
        <v>78.955954323001635</v>
      </c>
      <c r="X69" s="2"/>
      <c r="Y69" s="3" t="s">
        <v>172</v>
      </c>
      <c r="AA69" s="76">
        <v>1936</v>
      </c>
    </row>
    <row r="70" spans="1:30" ht="16.5" customHeight="1" x14ac:dyDescent="0.35">
      <c r="A70" s="351">
        <v>45909</v>
      </c>
      <c r="B70" s="76" t="s">
        <v>294</v>
      </c>
      <c r="C70" s="71" t="s">
        <v>104</v>
      </c>
      <c r="D70" s="3"/>
      <c r="E70" s="3" t="s">
        <v>86</v>
      </c>
      <c r="F70" s="3">
        <v>0.1</v>
      </c>
      <c r="I70" s="3" t="s">
        <v>88</v>
      </c>
      <c r="J70" s="3" t="s">
        <v>308</v>
      </c>
      <c r="L70" s="326" t="s">
        <v>454</v>
      </c>
      <c r="M70" s="3"/>
      <c r="N70" s="356" cm="1">
        <f t="array" ref="N70">_xlfn.IFS(I70="AEX",H70/400,I70="RP",H70/200)</f>
        <v>0</v>
      </c>
      <c r="O70" s="3">
        <v>16</v>
      </c>
      <c r="P70" s="75">
        <f t="shared" si="10"/>
        <v>0</v>
      </c>
      <c r="Q70" s="3" t="str" cm="1">
        <f t="array" ref="Q70">_xlfn.IFS(P70&lt;200, "10", P70&lt;400, "12", P70&lt;600, "14", P70&gt;600, "16")</f>
        <v>10</v>
      </c>
      <c r="R70" s="75">
        <v>5</v>
      </c>
      <c r="S70" s="75">
        <f t="shared" si="11"/>
        <v>0.3125</v>
      </c>
      <c r="T70" s="76">
        <v>2170</v>
      </c>
      <c r="U70" s="306" t="e">
        <f t="shared" si="12"/>
        <v>#DIV/0!</v>
      </c>
      <c r="X70" s="2"/>
      <c r="Y70" s="3" t="s">
        <v>172</v>
      </c>
      <c r="AA70" s="76">
        <v>2170</v>
      </c>
    </row>
    <row r="71" spans="1:30" ht="16.5" customHeight="1" x14ac:dyDescent="0.35">
      <c r="A71" s="351">
        <v>45908</v>
      </c>
      <c r="B71" s="76" t="s">
        <v>295</v>
      </c>
      <c r="C71" s="71" t="s">
        <v>104</v>
      </c>
      <c r="D71" s="3"/>
      <c r="E71" s="3" t="s">
        <v>86</v>
      </c>
      <c r="F71" s="3">
        <v>0.1</v>
      </c>
      <c r="I71" s="3" t="s">
        <v>88</v>
      </c>
      <c r="J71" s="3" t="s">
        <v>308</v>
      </c>
      <c r="L71" s="326" t="s">
        <v>454</v>
      </c>
      <c r="M71" s="3"/>
      <c r="N71" s="356" cm="1">
        <f t="array" ref="N71">_xlfn.IFS(I71="AEX",H71/400,I71="RP",H71/200)</f>
        <v>0</v>
      </c>
      <c r="O71" s="3">
        <v>16</v>
      </c>
      <c r="P71" s="75">
        <f t="shared" si="10"/>
        <v>0</v>
      </c>
      <c r="Q71" s="3" t="str" cm="1">
        <f t="array" ref="Q71">_xlfn.IFS(P71&lt;200, "10", P71&lt;400, "12", P71&lt;600, "14", P71&gt;600, "16")</f>
        <v>10</v>
      </c>
      <c r="R71" s="75">
        <v>5</v>
      </c>
      <c r="S71" s="75">
        <f t="shared" si="11"/>
        <v>0.3125</v>
      </c>
      <c r="T71" s="76">
        <v>2137</v>
      </c>
      <c r="U71" s="306" t="e">
        <f t="shared" si="12"/>
        <v>#DIV/0!</v>
      </c>
      <c r="X71" s="2"/>
      <c r="Y71" s="3" t="s">
        <v>172</v>
      </c>
      <c r="AA71" s="76">
        <v>2156</v>
      </c>
    </row>
    <row r="72" spans="1:30" ht="16.5" customHeight="1" x14ac:dyDescent="0.35">
      <c r="A72" s="351">
        <v>45908</v>
      </c>
      <c r="B72" s="76" t="s">
        <v>300</v>
      </c>
      <c r="C72" s="71" t="s">
        <v>104</v>
      </c>
      <c r="D72" s="3"/>
      <c r="E72" s="3" t="s">
        <v>86</v>
      </c>
      <c r="F72" s="3">
        <v>0.1</v>
      </c>
      <c r="H72" s="76">
        <v>3501</v>
      </c>
      <c r="I72" s="3" t="s">
        <v>70</v>
      </c>
      <c r="J72" s="3" t="s">
        <v>209</v>
      </c>
      <c r="L72" s="326" t="s">
        <v>459</v>
      </c>
      <c r="M72" s="3"/>
      <c r="N72" s="356" cm="1">
        <f t="array" ref="N72">_xlfn.IFS(I72="AEX",H72/400,I72="RP",H72/200)</f>
        <v>17.504999999999999</v>
      </c>
      <c r="O72" s="3">
        <v>55</v>
      </c>
      <c r="P72" s="75">
        <f t="shared" si="10"/>
        <v>63.654545454545456</v>
      </c>
      <c r="Q72" s="3" t="str" cm="1">
        <f t="array" ref="Q72">_xlfn.IFS(P72&lt;200, "10", P72&lt;400, "12", P72&lt;600, "14", P72&gt;600, "16")</f>
        <v>10</v>
      </c>
      <c r="R72" s="75">
        <v>5</v>
      </c>
      <c r="S72" s="75">
        <f t="shared" si="11"/>
        <v>9.0909090909090912E-2</v>
      </c>
      <c r="T72" s="76">
        <v>2971</v>
      </c>
      <c r="U72" s="306">
        <f t="shared" si="12"/>
        <v>84.861468151956586</v>
      </c>
      <c r="X72" s="2"/>
      <c r="Y72" s="3" t="s">
        <v>172</v>
      </c>
    </row>
    <row r="73" spans="1:30" ht="16.5" customHeight="1" x14ac:dyDescent="0.35">
      <c r="A73" s="351">
        <v>45909</v>
      </c>
      <c r="B73" s="76" t="s">
        <v>301</v>
      </c>
      <c r="C73" s="71" t="s">
        <v>104</v>
      </c>
      <c r="D73" s="3"/>
      <c r="E73" s="3" t="s">
        <v>86</v>
      </c>
      <c r="F73" s="3">
        <v>0.1</v>
      </c>
      <c r="H73" s="76">
        <v>3099</v>
      </c>
      <c r="I73" s="3" t="s">
        <v>70</v>
      </c>
      <c r="J73" s="3" t="s">
        <v>209</v>
      </c>
      <c r="L73" s="326" t="s">
        <v>459</v>
      </c>
      <c r="M73" s="3"/>
      <c r="N73" s="356" cm="1">
        <f t="array" ref="N73">_xlfn.IFS(I73="AEX",H73/400,I73="RP",H73/200)</f>
        <v>15.494999999999999</v>
      </c>
      <c r="O73" s="3">
        <v>55</v>
      </c>
      <c r="P73" s="75">
        <f t="shared" si="10"/>
        <v>56.345454545454544</v>
      </c>
      <c r="Q73" s="3" t="str" cm="1">
        <f t="array" ref="Q73">_xlfn.IFS(P73&lt;200, "10", P73&lt;400, "12", P73&lt;600, "14", P73&gt;600, "16")</f>
        <v>10</v>
      </c>
      <c r="R73" s="75">
        <f>IF(I73="AEX",H73*0.3/400,H73*0.3/200)</f>
        <v>4.6484999999999994</v>
      </c>
      <c r="S73" s="75">
        <f t="shared" si="11"/>
        <v>8.4518181818181812E-2</v>
      </c>
      <c r="T73" s="76">
        <v>1954</v>
      </c>
      <c r="U73" s="306">
        <f t="shared" si="12"/>
        <v>63.052597612132942</v>
      </c>
      <c r="X73" s="2"/>
      <c r="Y73" s="3" t="s">
        <v>172</v>
      </c>
      <c r="AA73" s="76">
        <v>1257</v>
      </c>
    </row>
    <row r="74" spans="1:30" ht="16.5" customHeight="1" x14ac:dyDescent="0.35">
      <c r="A74" s="351">
        <v>45908</v>
      </c>
      <c r="B74" s="76" t="s">
        <v>302</v>
      </c>
      <c r="C74" s="71" t="s">
        <v>104</v>
      </c>
      <c r="D74" s="3"/>
      <c r="E74" s="3" t="s">
        <v>86</v>
      </c>
      <c r="F74" s="3">
        <v>0.1</v>
      </c>
      <c r="H74" s="76">
        <v>3626</v>
      </c>
      <c r="I74" s="3" t="s">
        <v>70</v>
      </c>
      <c r="J74" s="3" t="s">
        <v>195</v>
      </c>
      <c r="L74" s="326" t="s">
        <v>459</v>
      </c>
      <c r="M74" s="3"/>
      <c r="N74" s="356" cm="1">
        <f t="array" ref="N74">_xlfn.IFS(I74="AEX",H74/400,I74="RP",H74/200)</f>
        <v>18.13</v>
      </c>
      <c r="O74" s="3">
        <v>55</v>
      </c>
      <c r="P74" s="75">
        <f t="shared" si="10"/>
        <v>65.927272727272722</v>
      </c>
      <c r="Q74" s="3" t="str" cm="1">
        <f t="array" ref="Q74">_xlfn.IFS(P74&lt;200, "10", P74&lt;400, "12", P74&lt;600, "14", P74&gt;600, "16")</f>
        <v>10</v>
      </c>
      <c r="R74" s="75">
        <v>5</v>
      </c>
      <c r="S74" s="75">
        <f t="shared" si="11"/>
        <v>9.0909090909090912E-2</v>
      </c>
      <c r="T74" s="76">
        <v>2760</v>
      </c>
      <c r="U74" s="306">
        <f t="shared" si="12"/>
        <v>76.1169332597904</v>
      </c>
      <c r="X74" s="2"/>
      <c r="Y74" s="3" t="s">
        <v>172</v>
      </c>
      <c r="AA74" s="76">
        <v>2776</v>
      </c>
    </row>
    <row r="75" spans="1:30" ht="16.5" customHeight="1" x14ac:dyDescent="0.35">
      <c r="A75" s="351">
        <v>45909</v>
      </c>
      <c r="B75" s="76" t="s">
        <v>303</v>
      </c>
      <c r="C75" s="71" t="s">
        <v>104</v>
      </c>
      <c r="D75" s="3"/>
      <c r="E75" s="3" t="s">
        <v>86</v>
      </c>
      <c r="F75" s="3">
        <v>0.1</v>
      </c>
      <c r="H75" s="76">
        <v>3271</v>
      </c>
      <c r="I75" s="3" t="s">
        <v>70</v>
      </c>
      <c r="J75" s="3" t="s">
        <v>209</v>
      </c>
      <c r="L75" s="326" t="s">
        <v>459</v>
      </c>
      <c r="M75" s="3"/>
      <c r="N75" s="356" cm="1">
        <f t="array" ref="N75">_xlfn.IFS(I75="AEX",H75/400,I75="RP",H75/200)</f>
        <v>16.355</v>
      </c>
      <c r="O75" s="3">
        <v>55</v>
      </c>
      <c r="P75" s="75">
        <f t="shared" si="10"/>
        <v>59.472727272727276</v>
      </c>
      <c r="Q75" s="3" t="str" cm="1">
        <f t="array" ref="Q75">_xlfn.IFS(P75&lt;200, "10", P75&lt;400, "12", P75&lt;600, "14", P75&gt;600, "16")</f>
        <v>10</v>
      </c>
      <c r="R75" s="75">
        <v>5</v>
      </c>
      <c r="S75" s="75">
        <f t="shared" si="11"/>
        <v>9.0909090909090912E-2</v>
      </c>
      <c r="T75" s="76">
        <v>3193</v>
      </c>
      <c r="U75" s="306">
        <f t="shared" si="12"/>
        <v>97.615408132069703</v>
      </c>
      <c r="X75" s="2"/>
      <c r="Y75" s="3" t="s">
        <v>172</v>
      </c>
      <c r="AA75" s="76">
        <v>2520</v>
      </c>
    </row>
    <row r="76" spans="1:30" ht="16.5" customHeight="1" x14ac:dyDescent="0.35">
      <c r="A76" s="351">
        <v>45904</v>
      </c>
      <c r="B76" s="76" t="s">
        <v>309</v>
      </c>
      <c r="C76" s="71" t="s">
        <v>104</v>
      </c>
      <c r="D76" s="3"/>
      <c r="E76" s="3" t="s">
        <v>257</v>
      </c>
      <c r="F76" s="3" t="s">
        <v>87</v>
      </c>
      <c r="H76" s="76">
        <v>250000</v>
      </c>
      <c r="I76" s="3" t="s">
        <v>88</v>
      </c>
      <c r="J76" s="3" t="s">
        <v>89</v>
      </c>
      <c r="M76" s="3"/>
      <c r="N76" s="356" cm="1">
        <f t="array" ref="N76">_xlfn.IFS(I76="AEX",H76/400,I76="RP",H76/200)</f>
        <v>625</v>
      </c>
      <c r="O76" s="3">
        <v>760</v>
      </c>
      <c r="P76" s="75">
        <f t="shared" si="10"/>
        <v>328.94736842105266</v>
      </c>
      <c r="Q76" s="3" t="str" cm="1">
        <f t="array" ref="Q76">_xlfn.IFS(P76&lt;200, "10", P76&lt;400, "12", P76&lt;600, "14", P76&gt;600, "16")</f>
        <v>12</v>
      </c>
      <c r="R76" s="75">
        <v>45</v>
      </c>
      <c r="S76" s="75">
        <f t="shared" si="11"/>
        <v>5.921052631578947E-2</v>
      </c>
      <c r="T76" s="76">
        <v>115749.32</v>
      </c>
      <c r="U76" s="306">
        <f t="shared" si="12"/>
        <v>46.299728000000002</v>
      </c>
      <c r="V76" s="76">
        <v>2531.6999999999998</v>
      </c>
      <c r="W76" s="3" t="s">
        <v>91</v>
      </c>
      <c r="X76" s="2">
        <v>45905</v>
      </c>
      <c r="Y76" s="3" t="s">
        <v>94</v>
      </c>
      <c r="Z76" s="3" t="s">
        <v>87</v>
      </c>
      <c r="AA76" s="76">
        <v>94713</v>
      </c>
      <c r="AB76" s="76">
        <v>251.81</v>
      </c>
      <c r="AD76" s="47" t="s">
        <v>310</v>
      </c>
    </row>
    <row r="77" spans="1:30" ht="16.5" customHeight="1" x14ac:dyDescent="0.35">
      <c r="A77" s="351">
        <v>45904</v>
      </c>
      <c r="B77" s="76" t="s">
        <v>288</v>
      </c>
      <c r="C77" s="286" t="s">
        <v>104</v>
      </c>
      <c r="D77" s="3"/>
      <c r="E77" s="3" t="s">
        <v>86</v>
      </c>
      <c r="F77" s="3">
        <v>0.1</v>
      </c>
      <c r="H77" s="76">
        <v>1800</v>
      </c>
      <c r="I77" s="3" t="s">
        <v>88</v>
      </c>
      <c r="J77" s="3" t="s">
        <v>90</v>
      </c>
      <c r="M77" s="3"/>
      <c r="N77" s="356" cm="1">
        <f t="array" ref="N77">_xlfn.IFS(I77="AEX",H77/400,I77="RP",H77/200)</f>
        <v>4.5</v>
      </c>
      <c r="O77" s="3">
        <v>23.5</v>
      </c>
      <c r="P77" s="75">
        <f t="shared" si="10"/>
        <v>76.59574468085107</v>
      </c>
      <c r="Q77" s="3" t="str" cm="1">
        <f t="array" ref="Q77">_xlfn.IFS(P77&lt;200, "10", P77&lt;400, "12", P77&lt;600, "14", P77&gt;600, "16")</f>
        <v>10</v>
      </c>
      <c r="R77" s="75">
        <f>IF(I77="AEX",H77*0.3/400,H77*0.3/200)</f>
        <v>1.35</v>
      </c>
      <c r="S77" s="75">
        <f t="shared" si="11"/>
        <v>5.7446808510638304E-2</v>
      </c>
      <c r="U77" s="306">
        <f t="shared" si="12"/>
        <v>0</v>
      </c>
      <c r="W77" s="3" t="s">
        <v>87</v>
      </c>
      <c r="X77" s="2"/>
      <c r="Y77" s="3" t="s">
        <v>172</v>
      </c>
    </row>
    <row r="78" spans="1:30" ht="16.5" customHeight="1" x14ac:dyDescent="0.35">
      <c r="A78" s="351">
        <v>45909</v>
      </c>
      <c r="B78" s="76" t="s">
        <v>292</v>
      </c>
      <c r="C78" s="71" t="s">
        <v>104</v>
      </c>
      <c r="D78" s="3"/>
      <c r="E78" s="3" t="s">
        <v>86</v>
      </c>
      <c r="F78" s="3" t="s">
        <v>87</v>
      </c>
      <c r="H78" s="76">
        <v>179825</v>
      </c>
      <c r="I78" s="3" t="s">
        <v>88</v>
      </c>
      <c r="J78" s="3" t="s">
        <v>89</v>
      </c>
      <c r="M78" s="3"/>
      <c r="N78" s="356" cm="1">
        <f t="array" ref="N78">_xlfn.IFS(I78="AEX",H78/400,I78="RP",H78/200)</f>
        <v>449.5625</v>
      </c>
      <c r="O78" s="3">
        <v>760</v>
      </c>
      <c r="P78" s="75">
        <f t="shared" si="10"/>
        <v>236.61184210526315</v>
      </c>
      <c r="Q78" s="3" t="str" cm="1">
        <f t="array" ref="Q78">_xlfn.IFS(P78&lt;200, "10", P78&lt;400, "12", P78&lt;600, "14", P78&gt;600, "16")</f>
        <v>12</v>
      </c>
      <c r="R78" s="75">
        <v>45</v>
      </c>
      <c r="S78" s="75">
        <f t="shared" si="11"/>
        <v>5.921052631578947E-2</v>
      </c>
      <c r="U78" s="306">
        <f t="shared" si="12"/>
        <v>0</v>
      </c>
      <c r="X78" s="2"/>
      <c r="AD78" s="47" t="s">
        <v>298</v>
      </c>
    </row>
    <row r="79" spans="1:30" ht="16.5" customHeight="1" x14ac:dyDescent="0.35">
      <c r="A79" s="351">
        <v>45908</v>
      </c>
      <c r="B79" s="76" t="s">
        <v>293</v>
      </c>
      <c r="C79" s="71" t="s">
        <v>104</v>
      </c>
      <c r="D79" s="3"/>
      <c r="E79" s="3" t="s">
        <v>194</v>
      </c>
      <c r="F79" s="3" t="s">
        <v>87</v>
      </c>
      <c r="H79" s="76">
        <v>169779</v>
      </c>
      <c r="I79" s="3" t="s">
        <v>88</v>
      </c>
      <c r="J79" s="3" t="s">
        <v>89</v>
      </c>
      <c r="M79" s="3"/>
      <c r="N79" s="356" cm="1">
        <f t="array" ref="N79">_xlfn.IFS(I79="AEX",H79/400,I79="RP",H79/200)</f>
        <v>424.44749999999999</v>
      </c>
      <c r="O79" s="3">
        <v>760</v>
      </c>
      <c r="P79" s="75">
        <f t="shared" si="10"/>
        <v>223.39342105263157</v>
      </c>
      <c r="Q79" s="3" t="str" cm="1">
        <f t="array" ref="Q79">_xlfn.IFS(P79&lt;200, "10", P79&lt;400, "12", P79&lt;600, "14", P79&gt;600, "16")</f>
        <v>12</v>
      </c>
      <c r="R79" s="75">
        <v>45</v>
      </c>
      <c r="S79" s="75">
        <f t="shared" si="11"/>
        <v>5.921052631578947E-2</v>
      </c>
      <c r="T79" s="76">
        <v>72333</v>
      </c>
      <c r="U79" s="306">
        <f t="shared" si="12"/>
        <v>42.604209001113212</v>
      </c>
      <c r="X79" s="2"/>
      <c r="AD79" s="47" t="s">
        <v>299</v>
      </c>
    </row>
    <row r="80" spans="1:30" ht="16.5" customHeight="1" x14ac:dyDescent="0.35">
      <c r="A80" s="351">
        <v>45908</v>
      </c>
      <c r="B80" s="76" t="s">
        <v>296</v>
      </c>
      <c r="C80" s="71" t="s">
        <v>104</v>
      </c>
      <c r="D80" s="3"/>
      <c r="E80" s="3" t="s">
        <v>86</v>
      </c>
      <c r="F80" s="3">
        <v>0.25</v>
      </c>
      <c r="H80" s="76">
        <v>39496</v>
      </c>
      <c r="I80" s="3" t="s">
        <v>70</v>
      </c>
      <c r="J80" s="3" t="s">
        <v>209</v>
      </c>
      <c r="M80" s="3"/>
      <c r="N80" s="356" cm="1">
        <f t="array" ref="N80">_xlfn.IFS(I80="AEX",H80/400,I80="RP",H80/200)</f>
        <v>197.48</v>
      </c>
      <c r="O80" s="3">
        <v>709</v>
      </c>
      <c r="P80" s="75">
        <f t="shared" si="10"/>
        <v>55.706629055007049</v>
      </c>
      <c r="Q80" s="3" t="str" cm="1">
        <f t="array" ref="Q80">_xlfn.IFS(P80&lt;200, "10", P80&lt;400, "12", P80&lt;600, "14", P80&gt;600, "16")</f>
        <v>10</v>
      </c>
      <c r="R80" s="75">
        <v>45</v>
      </c>
      <c r="S80" s="75">
        <f t="shared" si="11"/>
        <v>6.3469675599435824E-2</v>
      </c>
      <c r="T80" s="76">
        <v>15314</v>
      </c>
      <c r="U80" s="306">
        <f t="shared" si="12"/>
        <v>38.773546688272233</v>
      </c>
      <c r="V80" s="76">
        <v>403</v>
      </c>
      <c r="W80" s="3" t="s">
        <v>87</v>
      </c>
      <c r="X80" s="2">
        <v>45909</v>
      </c>
      <c r="Y80" s="3" t="s">
        <v>94</v>
      </c>
      <c r="Z80" s="3" t="s">
        <v>91</v>
      </c>
      <c r="AA80" s="76">
        <v>15169</v>
      </c>
      <c r="AB80" s="76">
        <v>193.5</v>
      </c>
    </row>
    <row r="81" spans="1:28" ht="16.5" customHeight="1" x14ac:dyDescent="0.35">
      <c r="A81" s="351">
        <v>45909</v>
      </c>
      <c r="B81" s="301" t="s">
        <v>311</v>
      </c>
      <c r="C81" s="71" t="s">
        <v>104</v>
      </c>
      <c r="D81" s="3"/>
      <c r="E81" s="3" t="s">
        <v>86</v>
      </c>
      <c r="F81" s="3" t="s">
        <v>87</v>
      </c>
      <c r="H81" s="76">
        <v>74024</v>
      </c>
      <c r="I81" s="3" t="s">
        <v>88</v>
      </c>
      <c r="J81" s="3" t="s">
        <v>90</v>
      </c>
      <c r="M81" s="3"/>
      <c r="N81" s="356" cm="1">
        <f t="array" ref="N81">_xlfn.IFS(I81="AEX",H81/400,I81="RP",H81/200)</f>
        <v>185.06</v>
      </c>
      <c r="O81" s="3">
        <v>298</v>
      </c>
      <c r="P81" s="75">
        <f t="shared" si="10"/>
        <v>248.40268456375838</v>
      </c>
      <c r="Q81" s="3" t="str" cm="1">
        <f t="array" ref="Q81">_xlfn.IFS(P81&lt;200, "10", P81&lt;400, "12", P81&lt;600, "14", P81&gt;600, "16")</f>
        <v>12</v>
      </c>
      <c r="R81" s="75">
        <v>45</v>
      </c>
      <c r="S81" s="75">
        <f t="shared" si="11"/>
        <v>0.15100671140939598</v>
      </c>
      <c r="T81" s="76">
        <v>36273.599999999999</v>
      </c>
      <c r="U81" s="306">
        <f t="shared" si="12"/>
        <v>49.002485680319893</v>
      </c>
      <c r="V81" s="76">
        <v>806.08</v>
      </c>
      <c r="W81" s="3" t="s">
        <v>91</v>
      </c>
      <c r="X81" s="2">
        <v>45910</v>
      </c>
      <c r="Y81" s="3" t="s">
        <v>95</v>
      </c>
      <c r="Z81" s="3" t="s">
        <v>87</v>
      </c>
      <c r="AA81" s="76">
        <v>33771.934999999998</v>
      </c>
      <c r="AB81" s="76">
        <v>219.97</v>
      </c>
    </row>
    <row r="82" spans="1:28" ht="16.5" customHeight="1" x14ac:dyDescent="0.35">
      <c r="A82" s="351">
        <v>45908</v>
      </c>
      <c r="B82" s="76" t="s">
        <v>304</v>
      </c>
      <c r="C82" s="71" t="s">
        <v>104</v>
      </c>
      <c r="D82" s="3"/>
      <c r="E82" s="3" t="s">
        <v>86</v>
      </c>
      <c r="F82" s="3">
        <v>0.1</v>
      </c>
      <c r="H82" s="76">
        <v>2971</v>
      </c>
      <c r="I82" s="3" t="s">
        <v>88</v>
      </c>
      <c r="J82" s="3" t="s">
        <v>90</v>
      </c>
      <c r="L82" s="326" t="s">
        <v>455</v>
      </c>
      <c r="M82" s="3"/>
      <c r="N82" s="356" cm="1">
        <f t="array" ref="N82">_xlfn.IFS(I82="AEX",H82/400,I82="RP",H82/200)</f>
        <v>7.4275000000000002</v>
      </c>
      <c r="O82" s="3">
        <v>63.8</v>
      </c>
      <c r="P82" s="75">
        <f t="shared" si="10"/>
        <v>46.567398119122259</v>
      </c>
      <c r="Q82" s="3">
        <v>5</v>
      </c>
      <c r="R82" s="75">
        <v>5</v>
      </c>
      <c r="S82" s="75">
        <f t="shared" si="11"/>
        <v>7.8369905956112859E-2</v>
      </c>
      <c r="T82" s="76">
        <v>2422</v>
      </c>
      <c r="U82" s="306">
        <f t="shared" si="12"/>
        <v>81.521373274991589</v>
      </c>
      <c r="X82" s="2"/>
      <c r="Y82" s="3" t="s">
        <v>172</v>
      </c>
    </row>
    <row r="83" spans="1:28" ht="16.5" customHeight="1" x14ac:dyDescent="0.35">
      <c r="A83" s="351">
        <v>45910</v>
      </c>
      <c r="B83" s="76" t="s">
        <v>305</v>
      </c>
      <c r="C83" s="71" t="s">
        <v>104</v>
      </c>
      <c r="D83" s="3"/>
      <c r="E83" s="3" t="s">
        <v>86</v>
      </c>
      <c r="F83" s="3">
        <v>0.1</v>
      </c>
      <c r="H83" s="76">
        <v>1954</v>
      </c>
      <c r="I83" s="3" t="s">
        <v>88</v>
      </c>
      <c r="J83" s="3" t="s">
        <v>89</v>
      </c>
      <c r="L83" s="326" t="s">
        <v>455</v>
      </c>
      <c r="M83" s="3"/>
      <c r="N83" s="356" cm="1">
        <f t="array" ref="N83">_xlfn.IFS(I83="AEX",H83/400,I83="RP",H83/200)</f>
        <v>4.8849999999999998</v>
      </c>
      <c r="O83" s="3">
        <v>63.8</v>
      </c>
      <c r="P83" s="75">
        <f t="shared" si="10"/>
        <v>30.626959247648905</v>
      </c>
      <c r="Q83" s="3">
        <v>5</v>
      </c>
      <c r="R83" s="75">
        <v>5</v>
      </c>
      <c r="S83" s="75">
        <f t="shared" si="11"/>
        <v>7.8369905956112859E-2</v>
      </c>
      <c r="T83" s="76">
        <v>1257</v>
      </c>
      <c r="U83" s="306">
        <f t="shared" si="12"/>
        <v>64.329580348004086</v>
      </c>
      <c r="X83" s="2"/>
      <c r="Y83" s="3" t="s">
        <v>172</v>
      </c>
      <c r="AA83" s="76">
        <v>1257</v>
      </c>
    </row>
    <row r="84" spans="1:28" ht="16.5" customHeight="1" x14ac:dyDescent="0.35">
      <c r="A84" s="351">
        <v>45909</v>
      </c>
      <c r="B84" s="76" t="s">
        <v>306</v>
      </c>
      <c r="C84" s="71" t="s">
        <v>104</v>
      </c>
      <c r="D84" s="3"/>
      <c r="E84" s="3" t="s">
        <v>86</v>
      </c>
      <c r="F84" s="3">
        <v>0.1</v>
      </c>
      <c r="H84" s="76">
        <v>3288</v>
      </c>
      <c r="I84" s="3" t="s">
        <v>88</v>
      </c>
      <c r="J84" s="3" t="s">
        <v>90</v>
      </c>
      <c r="L84" s="326" t="s">
        <v>455</v>
      </c>
      <c r="M84" s="3"/>
      <c r="N84" s="356" cm="1">
        <f t="array" ref="N84">_xlfn.IFS(I84="AEX",H84/400,I84="RP",H84/200)</f>
        <v>8.2200000000000006</v>
      </c>
      <c r="O84" s="3">
        <v>63.8</v>
      </c>
      <c r="P84" s="75">
        <f t="shared" si="10"/>
        <v>51.536050156739812</v>
      </c>
      <c r="Q84" s="3">
        <v>5</v>
      </c>
      <c r="R84" s="75">
        <v>5</v>
      </c>
      <c r="S84" s="75">
        <f t="shared" si="11"/>
        <v>7.8369905956112859E-2</v>
      </c>
      <c r="T84" s="76">
        <v>2776</v>
      </c>
      <c r="U84" s="306">
        <f t="shared" si="12"/>
        <v>84.428223844282229</v>
      </c>
      <c r="X84" s="2"/>
      <c r="Y84" s="3" t="s">
        <v>172</v>
      </c>
    </row>
    <row r="85" spans="1:28" ht="16.5" customHeight="1" x14ac:dyDescent="0.35">
      <c r="A85" s="351">
        <v>45910</v>
      </c>
      <c r="B85" s="76" t="s">
        <v>307</v>
      </c>
      <c r="C85" s="71" t="s">
        <v>104</v>
      </c>
      <c r="D85" s="3"/>
      <c r="E85" s="3" t="s">
        <v>86</v>
      </c>
      <c r="F85" s="3">
        <v>0.1</v>
      </c>
      <c r="H85" s="76">
        <v>3193</v>
      </c>
      <c r="I85" s="3" t="s">
        <v>88</v>
      </c>
      <c r="J85" s="3" t="s">
        <v>89</v>
      </c>
      <c r="L85" s="326" t="s">
        <v>455</v>
      </c>
      <c r="M85" s="3"/>
      <c r="N85" s="356" cm="1">
        <f t="array" ref="N85">_xlfn.IFS(I85="AEX",H85/400,I85="RP",H85/200)</f>
        <v>7.9824999999999999</v>
      </c>
      <c r="O85" s="3">
        <v>63.8</v>
      </c>
      <c r="P85" s="75">
        <f t="shared" si="10"/>
        <v>50.047021943573668</v>
      </c>
      <c r="Q85" s="3">
        <v>5</v>
      </c>
      <c r="R85" s="75">
        <v>5</v>
      </c>
      <c r="S85" s="75">
        <f t="shared" si="11"/>
        <v>7.8369905956112859E-2</v>
      </c>
      <c r="T85" s="76">
        <v>2520</v>
      </c>
      <c r="U85" s="306">
        <f t="shared" si="12"/>
        <v>78.922643282179777</v>
      </c>
      <c r="X85" s="2"/>
      <c r="Y85" s="3" t="s">
        <v>172</v>
      </c>
      <c r="AA85" s="76">
        <v>2520</v>
      </c>
    </row>
    <row r="86" spans="1:28" ht="16.5" customHeight="1" x14ac:dyDescent="0.35">
      <c r="A86" s="351">
        <v>45909</v>
      </c>
      <c r="B86" s="76" t="s">
        <v>267</v>
      </c>
      <c r="C86" s="71" t="s">
        <v>104</v>
      </c>
      <c r="D86" s="3"/>
      <c r="E86" s="3" t="s">
        <v>86</v>
      </c>
      <c r="F86" s="3">
        <v>0.05</v>
      </c>
      <c r="H86" s="76">
        <v>56117</v>
      </c>
      <c r="I86" s="3" t="s">
        <v>88</v>
      </c>
      <c r="J86" s="3" t="s">
        <v>90</v>
      </c>
      <c r="M86" s="3"/>
      <c r="N86" s="356" cm="1">
        <f t="array" ref="N86">_xlfn.IFS(I86="AEX",H86/400,I86="RP",H86/200)</f>
        <v>140.29249999999999</v>
      </c>
      <c r="O86" s="3">
        <v>298</v>
      </c>
      <c r="P86" s="75">
        <f t="shared" si="10"/>
        <v>188.31208053691276</v>
      </c>
      <c r="Q86" s="3" t="str" cm="1">
        <f t="array" ref="Q86">_xlfn.IFS(P86&lt;200, "10", P86&lt;400, "12", P86&lt;600, "14", P86&gt;600, "16")</f>
        <v>10</v>
      </c>
      <c r="R86" s="75">
        <f t="shared" ref="R86:R92" si="13">IF(I86="AEX",H86*0.3/400,H86*0.3/200)</f>
        <v>42.08775</v>
      </c>
      <c r="S86" s="75">
        <f t="shared" si="11"/>
        <v>0.14123406040268457</v>
      </c>
      <c r="T86" s="76">
        <v>26904</v>
      </c>
      <c r="U86" s="306">
        <f t="shared" si="12"/>
        <v>47.942691163105657</v>
      </c>
      <c r="V86" s="76">
        <v>560.5</v>
      </c>
      <c r="W86" s="3" t="s">
        <v>91</v>
      </c>
      <c r="X86" s="2">
        <v>45909</v>
      </c>
      <c r="Y86" s="3" t="s">
        <v>95</v>
      </c>
      <c r="Z86" s="3" t="s">
        <v>87</v>
      </c>
      <c r="AA86" s="76">
        <v>25975.59</v>
      </c>
      <c r="AB86" s="76">
        <v>223.64</v>
      </c>
    </row>
    <row r="87" spans="1:28" ht="16.5" customHeight="1" x14ac:dyDescent="0.35">
      <c r="A87" s="351">
        <v>45904</v>
      </c>
      <c r="B87" s="76" t="s">
        <v>268</v>
      </c>
      <c r="C87" s="71" t="s">
        <v>104</v>
      </c>
      <c r="D87" s="3"/>
      <c r="E87" s="3" t="s">
        <v>86</v>
      </c>
      <c r="F87" s="3">
        <v>0.05</v>
      </c>
      <c r="H87" s="76">
        <v>36363</v>
      </c>
      <c r="I87" s="3" t="s">
        <v>88</v>
      </c>
      <c r="J87" s="3" t="s">
        <v>90</v>
      </c>
      <c r="M87" s="3"/>
      <c r="N87" s="356" cm="1">
        <f t="array" ref="N87">_xlfn.IFS(I87="AEX",H87/400,I87="RP",H87/200)</f>
        <v>90.907499999999999</v>
      </c>
      <c r="O87" s="3">
        <v>298</v>
      </c>
      <c r="P87" s="75">
        <f t="shared" si="10"/>
        <v>122.02348993288591</v>
      </c>
      <c r="Q87" s="3" t="str" cm="1">
        <f t="array" ref="Q87">_xlfn.IFS(P87&lt;200, "10", P87&lt;400, "12", P87&lt;600, "14", P87&gt;600, "16")</f>
        <v>10</v>
      </c>
      <c r="R87" s="75">
        <f t="shared" si="13"/>
        <v>27.27225</v>
      </c>
      <c r="S87" s="75">
        <f t="shared" si="11"/>
        <v>9.1517617449664426E-2</v>
      </c>
      <c r="T87" s="76">
        <v>18786.580000000002</v>
      </c>
      <c r="U87" s="306">
        <f t="shared" si="12"/>
        <v>51.663999119984602</v>
      </c>
      <c r="V87" s="76">
        <v>390.98</v>
      </c>
      <c r="W87" s="3" t="s">
        <v>91</v>
      </c>
      <c r="X87" s="2">
        <v>45905</v>
      </c>
      <c r="Y87" s="3" t="s">
        <v>95</v>
      </c>
      <c r="Z87" s="3" t="s">
        <v>87</v>
      </c>
      <c r="AA87" s="76">
        <v>18008.96</v>
      </c>
      <c r="AB87" s="76">
        <v>201.6</v>
      </c>
    </row>
    <row r="88" spans="1:28" ht="16.5" customHeight="1" x14ac:dyDescent="0.35">
      <c r="A88" s="351">
        <v>45909</v>
      </c>
      <c r="B88" s="76" t="s">
        <v>269</v>
      </c>
      <c r="C88" s="71" t="s">
        <v>104</v>
      </c>
      <c r="D88" s="3"/>
      <c r="E88" s="3" t="s">
        <v>86</v>
      </c>
      <c r="F88" s="3">
        <v>0.05</v>
      </c>
      <c r="H88" s="76">
        <v>39038</v>
      </c>
      <c r="I88" s="3" t="s">
        <v>88</v>
      </c>
      <c r="J88" s="3" t="s">
        <v>89</v>
      </c>
      <c r="M88" s="3"/>
      <c r="N88" s="356" cm="1">
        <f t="array" ref="N88">_xlfn.IFS(I88="AEX",H88/400,I88="RP",H88/200)</f>
        <v>97.594999999999999</v>
      </c>
      <c r="O88" s="3">
        <v>288</v>
      </c>
      <c r="P88" s="75">
        <f t="shared" si="10"/>
        <v>135.54861111111111</v>
      </c>
      <c r="Q88" s="3" t="str" cm="1">
        <f t="array" ref="Q88">_xlfn.IFS(P88&lt;200, "10", P88&lt;400, "12", P88&lt;600, "14", P88&gt;600, "16")</f>
        <v>10</v>
      </c>
      <c r="R88" s="75">
        <f t="shared" si="13"/>
        <v>29.278499999999998</v>
      </c>
      <c r="S88" s="75">
        <f t="shared" si="11"/>
        <v>0.10166145833333333</v>
      </c>
      <c r="T88" s="76">
        <v>17005.48</v>
      </c>
      <c r="U88" s="306">
        <f t="shared" si="12"/>
        <v>43.56135047902044</v>
      </c>
      <c r="V88" s="76">
        <v>417.21</v>
      </c>
      <c r="W88" s="3" t="s">
        <v>91</v>
      </c>
      <c r="X88" s="2">
        <v>45910</v>
      </c>
      <c r="Y88" s="3" t="s">
        <v>318</v>
      </c>
      <c r="Z88" s="3" t="s">
        <v>87</v>
      </c>
      <c r="AA88" s="76">
        <v>16651.435000000001</v>
      </c>
      <c r="AB88" s="76">
        <v>203.2</v>
      </c>
    </row>
    <row r="89" spans="1:28" ht="16.5" customHeight="1" x14ac:dyDescent="0.35">
      <c r="A89" s="351">
        <v>45910</v>
      </c>
      <c r="B89" s="76" t="s">
        <v>270</v>
      </c>
      <c r="C89" s="71" t="s">
        <v>104</v>
      </c>
      <c r="D89" s="3"/>
      <c r="E89" s="3" t="s">
        <v>86</v>
      </c>
      <c r="F89" s="3">
        <v>0.05</v>
      </c>
      <c r="H89" s="76">
        <v>48068</v>
      </c>
      <c r="I89" s="3" t="s">
        <v>88</v>
      </c>
      <c r="J89" s="3" t="s">
        <v>90</v>
      </c>
      <c r="M89" s="3"/>
      <c r="N89" s="356" cm="1">
        <f t="array" ref="N89">_xlfn.IFS(I89="AEX",H89/400,I89="RP",H89/200)</f>
        <v>120.17</v>
      </c>
      <c r="O89" s="3">
        <v>298</v>
      </c>
      <c r="P89" s="75">
        <f t="shared" si="10"/>
        <v>161.30201342281879</v>
      </c>
      <c r="Q89" s="3" t="str" cm="1">
        <f t="array" ref="Q89">_xlfn.IFS(P89&lt;200, "10", P89&lt;400, "12", P89&lt;600, "14", P89&gt;600, "16")</f>
        <v>10</v>
      </c>
      <c r="R89" s="75">
        <f t="shared" si="13"/>
        <v>36.051000000000002</v>
      </c>
      <c r="S89" s="75">
        <f t="shared" si="11"/>
        <v>0.1209765100671141</v>
      </c>
      <c r="T89" s="76">
        <v>34162</v>
      </c>
      <c r="U89" s="306">
        <f t="shared" si="12"/>
        <v>71.070150619955058</v>
      </c>
      <c r="V89" s="76">
        <v>718.9</v>
      </c>
      <c r="W89" s="3" t="s">
        <v>91</v>
      </c>
      <c r="X89" s="2">
        <v>45910</v>
      </c>
      <c r="Y89" s="3" t="s">
        <v>318</v>
      </c>
      <c r="Z89" s="3" t="s">
        <v>87</v>
      </c>
      <c r="AA89" s="76">
        <v>32240.47</v>
      </c>
      <c r="AB89" s="76">
        <v>211.9</v>
      </c>
    </row>
    <row r="90" spans="1:28" ht="16.5" customHeight="1" x14ac:dyDescent="0.35">
      <c r="A90" s="351">
        <v>45905</v>
      </c>
      <c r="B90" s="76" t="s">
        <v>271</v>
      </c>
      <c r="C90" s="71" t="s">
        <v>104</v>
      </c>
      <c r="D90" s="3"/>
      <c r="E90" s="3" t="s">
        <v>86</v>
      </c>
      <c r="F90" s="3">
        <v>0.05</v>
      </c>
      <c r="H90" s="76">
        <v>52050</v>
      </c>
      <c r="I90" s="3" t="s">
        <v>88</v>
      </c>
      <c r="J90" s="3" t="s">
        <v>90</v>
      </c>
      <c r="M90" s="3"/>
      <c r="N90" s="356" cm="1">
        <f t="array" ref="N90">_xlfn.IFS(I90="AEX",H90/400,I90="RP",H90/200)</f>
        <v>130.125</v>
      </c>
      <c r="O90" s="3">
        <v>298</v>
      </c>
      <c r="P90" s="75">
        <f t="shared" si="10"/>
        <v>174.66442953020135</v>
      </c>
      <c r="Q90" s="3" t="str" cm="1">
        <f t="array" ref="Q90">_xlfn.IFS(P90&lt;200, "10", P90&lt;400, "12", P90&lt;600, "14", P90&gt;600, "16")</f>
        <v>10</v>
      </c>
      <c r="R90" s="75">
        <f t="shared" si="13"/>
        <v>39.037500000000001</v>
      </c>
      <c r="S90" s="75">
        <f t="shared" si="11"/>
        <v>0.130998322147651</v>
      </c>
      <c r="T90" s="76">
        <v>27780</v>
      </c>
      <c r="U90" s="306">
        <f t="shared" si="12"/>
        <v>53.371757925072046</v>
      </c>
      <c r="V90" s="76">
        <v>538.39</v>
      </c>
      <c r="W90" s="3" t="s">
        <v>91</v>
      </c>
      <c r="X90" s="2">
        <v>45905</v>
      </c>
      <c r="Y90" s="3" t="s">
        <v>94</v>
      </c>
      <c r="Z90" s="3" t="s">
        <v>87</v>
      </c>
      <c r="AA90" s="76">
        <v>26473.1</v>
      </c>
      <c r="AB90" s="76">
        <v>222.69</v>
      </c>
    </row>
    <row r="91" spans="1:28" ht="16.5" customHeight="1" x14ac:dyDescent="0.35">
      <c r="A91" s="351">
        <v>45905</v>
      </c>
      <c r="B91" s="76" t="s">
        <v>272</v>
      </c>
      <c r="C91" s="71" t="s">
        <v>104</v>
      </c>
      <c r="D91" s="3"/>
      <c r="E91" s="3" t="s">
        <v>86</v>
      </c>
      <c r="F91" s="3">
        <v>0.05</v>
      </c>
      <c r="H91" s="76">
        <v>31210</v>
      </c>
      <c r="I91" s="3" t="s">
        <v>88</v>
      </c>
      <c r="J91" s="3" t="s">
        <v>89</v>
      </c>
      <c r="M91" s="3"/>
      <c r="N91" s="356" cm="1">
        <f t="array" ref="N91">_xlfn.IFS(I91="AEX",H91/400,I91="RP",H91/200)</f>
        <v>78.025000000000006</v>
      </c>
      <c r="O91" s="3">
        <v>298</v>
      </c>
      <c r="P91" s="75">
        <f t="shared" si="10"/>
        <v>104.73154362416108</v>
      </c>
      <c r="Q91" s="3" t="str" cm="1">
        <f t="array" ref="Q91">_xlfn.IFS(P91&lt;200, "10", P91&lt;400, "12", P91&lt;600, "14", P91&gt;600, "16")</f>
        <v>10</v>
      </c>
      <c r="R91" s="75">
        <f t="shared" si="13"/>
        <v>23.407499999999999</v>
      </c>
      <c r="S91" s="75">
        <f t="shared" si="11"/>
        <v>7.8548657718120807E-2</v>
      </c>
      <c r="T91" s="76">
        <v>17837.82</v>
      </c>
      <c r="U91" s="306">
        <f t="shared" si="12"/>
        <v>57.154181352130728</v>
      </c>
      <c r="V91" s="76">
        <v>423.5</v>
      </c>
      <c r="W91" s="3" t="s">
        <v>91</v>
      </c>
      <c r="X91" s="2">
        <v>45908</v>
      </c>
      <c r="Y91" s="3" t="s">
        <v>95</v>
      </c>
      <c r="Z91" s="3" t="s">
        <v>87</v>
      </c>
      <c r="AA91" s="76">
        <v>17235.38</v>
      </c>
      <c r="AB91" s="76">
        <v>215.39</v>
      </c>
    </row>
    <row r="92" spans="1:28" ht="16.5" customHeight="1" x14ac:dyDescent="0.35">
      <c r="A92" s="351">
        <v>45908</v>
      </c>
      <c r="B92" s="76" t="s">
        <v>273</v>
      </c>
      <c r="C92" s="71" t="s">
        <v>104</v>
      </c>
      <c r="D92" s="3"/>
      <c r="E92" s="3" t="s">
        <v>86</v>
      </c>
      <c r="F92" s="3">
        <v>0.05</v>
      </c>
      <c r="H92" s="76">
        <v>34545</v>
      </c>
      <c r="I92" s="3" t="s">
        <v>88</v>
      </c>
      <c r="J92" s="3" t="s">
        <v>89</v>
      </c>
      <c r="M92" s="3"/>
      <c r="N92" s="356" cm="1">
        <f t="array" ref="N92">_xlfn.IFS(I92="AEX",H92/400,I92="RP",H92/200)</f>
        <v>86.362499999999997</v>
      </c>
      <c r="O92" s="3">
        <v>288</v>
      </c>
      <c r="P92" s="75">
        <f t="shared" si="10"/>
        <v>119.94791666666667</v>
      </c>
      <c r="Q92" s="3" t="str" cm="1">
        <f t="array" ref="Q92">_xlfn.IFS(P92&lt;200, "10", P92&lt;400, "12", P92&lt;600, "14", P92&gt;600, "16")</f>
        <v>10</v>
      </c>
      <c r="R92" s="75">
        <f t="shared" si="13"/>
        <v>25.908750000000001</v>
      </c>
      <c r="S92" s="75">
        <f t="shared" si="11"/>
        <v>8.9960937500000004E-2</v>
      </c>
      <c r="T92" s="76">
        <v>22991.3</v>
      </c>
      <c r="U92" s="306">
        <f t="shared" si="12"/>
        <v>66.554638876827326</v>
      </c>
      <c r="V92" s="76">
        <v>492.53</v>
      </c>
      <c r="W92" s="3" t="s">
        <v>91</v>
      </c>
      <c r="X92" s="2">
        <v>45909</v>
      </c>
      <c r="Y92" s="3" t="s">
        <v>95</v>
      </c>
      <c r="Z92" s="3" t="s">
        <v>87</v>
      </c>
      <c r="AA92" s="76">
        <v>22602.42</v>
      </c>
      <c r="AB92" s="76">
        <v>224.03</v>
      </c>
    </row>
    <row r="93" spans="1:28" ht="16.5" customHeight="1" x14ac:dyDescent="0.35">
      <c r="A93" s="351">
        <v>45910</v>
      </c>
      <c r="B93" s="76" t="s">
        <v>274</v>
      </c>
      <c r="C93" s="71" t="s">
        <v>104</v>
      </c>
      <c r="D93" s="3"/>
      <c r="E93" s="3" t="s">
        <v>86</v>
      </c>
      <c r="F93" s="3">
        <v>0.05</v>
      </c>
      <c r="H93" s="76">
        <v>28145</v>
      </c>
      <c r="I93" s="3" t="s">
        <v>88</v>
      </c>
      <c r="J93" s="3" t="s">
        <v>89</v>
      </c>
      <c r="M93" s="3"/>
      <c r="N93" s="356" cm="1">
        <f t="array" ref="N93">_xlfn.IFS(I93="AEX",H93/400,I93="RP",H93/200)</f>
        <v>70.362499999999997</v>
      </c>
      <c r="O93" s="3">
        <v>288</v>
      </c>
      <c r="P93" s="75">
        <f t="shared" si="10"/>
        <v>97.725694444444443</v>
      </c>
      <c r="Q93" s="3" t="str" cm="1">
        <f t="array" ref="Q93">_xlfn.IFS(P93&lt;200, "10", P93&lt;400, "12", P93&lt;600, "14", P93&gt;600, "16")</f>
        <v>10</v>
      </c>
      <c r="R93" s="75">
        <v>25</v>
      </c>
      <c r="S93" s="75">
        <f t="shared" si="11"/>
        <v>8.6805555555555552E-2</v>
      </c>
      <c r="T93" s="76">
        <v>18438</v>
      </c>
      <c r="U93" s="306">
        <f t="shared" si="12"/>
        <v>65.510747912595491</v>
      </c>
      <c r="V93" s="76">
        <v>447.33</v>
      </c>
      <c r="W93" s="3" t="s">
        <v>91</v>
      </c>
      <c r="X93" s="2">
        <v>45911</v>
      </c>
      <c r="Y93" s="3" t="s">
        <v>318</v>
      </c>
      <c r="Z93" s="3" t="s">
        <v>87</v>
      </c>
      <c r="AA93" s="76">
        <v>18167.939999999999</v>
      </c>
      <c r="AB93" s="76">
        <v>210.6</v>
      </c>
    </row>
    <row r="94" spans="1:28" ht="16.5" customHeight="1" x14ac:dyDescent="0.35">
      <c r="A94" s="351">
        <v>45911</v>
      </c>
      <c r="B94" s="76" t="s">
        <v>275</v>
      </c>
      <c r="C94" s="71" t="s">
        <v>104</v>
      </c>
      <c r="D94" s="3"/>
      <c r="E94" s="3" t="s">
        <v>86</v>
      </c>
      <c r="F94" s="3">
        <v>0.05</v>
      </c>
      <c r="H94" s="76">
        <v>47588</v>
      </c>
      <c r="I94" s="3" t="s">
        <v>88</v>
      </c>
      <c r="J94" s="3" t="s">
        <v>89</v>
      </c>
      <c r="M94" s="3"/>
      <c r="N94" s="356" cm="1">
        <f t="array" ref="N94">_xlfn.IFS(I94="AEX",H94/400,I94="RP",H94/200)</f>
        <v>118.97</v>
      </c>
      <c r="O94" s="3">
        <v>288</v>
      </c>
      <c r="P94" s="75">
        <f t="shared" si="10"/>
        <v>165.23611111111111</v>
      </c>
      <c r="Q94" s="3" t="str" cm="1">
        <f t="array" ref="Q94">_xlfn.IFS(P94&lt;200, "10", P94&lt;400, "12", P94&lt;600, "14", P94&gt;600, "16")</f>
        <v>10</v>
      </c>
      <c r="R94" s="75">
        <f>IF(I94="AEX",H94*0.3/400,H94*0.3/200)</f>
        <v>35.691000000000003</v>
      </c>
      <c r="S94" s="75">
        <f t="shared" si="11"/>
        <v>0.12392708333333334</v>
      </c>
      <c r="T94" s="76">
        <v>22503</v>
      </c>
      <c r="U94" s="306">
        <f t="shared" si="12"/>
        <v>47.287131209548626</v>
      </c>
      <c r="V94" s="76">
        <v>628.41999999999996</v>
      </c>
      <c r="W94" s="3" t="s">
        <v>91</v>
      </c>
      <c r="X94" s="2">
        <v>45911</v>
      </c>
      <c r="Y94" s="3" t="s">
        <v>318</v>
      </c>
      <c r="Z94" s="3" t="s">
        <v>87</v>
      </c>
      <c r="AA94" s="76">
        <v>22983</v>
      </c>
      <c r="AB94" s="76">
        <v>228.19</v>
      </c>
    </row>
    <row r="95" spans="1:28" ht="16.5" customHeight="1" x14ac:dyDescent="0.35">
      <c r="A95" s="351">
        <v>45911</v>
      </c>
      <c r="B95" s="76" t="s">
        <v>276</v>
      </c>
      <c r="C95" s="71" t="s">
        <v>104</v>
      </c>
      <c r="D95" s="3"/>
      <c r="E95" s="3" t="s">
        <v>86</v>
      </c>
      <c r="F95" s="3">
        <v>0.05</v>
      </c>
      <c r="H95" s="76">
        <v>61123</v>
      </c>
      <c r="I95" s="3" t="s">
        <v>88</v>
      </c>
      <c r="J95" s="3" t="s">
        <v>90</v>
      </c>
      <c r="M95" s="3"/>
      <c r="N95" s="356" cm="1">
        <f t="array" ref="N95">_xlfn.IFS(I95="AEX",H95/400,I95="RP",H95/200)</f>
        <v>152.8075</v>
      </c>
      <c r="O95" s="3">
        <v>298</v>
      </c>
      <c r="P95" s="75">
        <f t="shared" si="10"/>
        <v>205.11073825503357</v>
      </c>
      <c r="Q95" s="3" t="str" cm="1">
        <f t="array" ref="Q95">_xlfn.IFS(P95&lt;200, "10", P95&lt;400, "12", P95&lt;600, "14", P95&gt;600, "16")</f>
        <v>12</v>
      </c>
      <c r="R95" s="75">
        <f>IF(I95="AEX",H95*0.3/400,H95*0.3/200)</f>
        <v>45.842249999999993</v>
      </c>
      <c r="S95" s="75">
        <f t="shared" si="11"/>
        <v>0.15383305369127515</v>
      </c>
      <c r="T95" s="76">
        <v>38857</v>
      </c>
      <c r="U95" s="306">
        <f t="shared" si="12"/>
        <v>63.571814210689922</v>
      </c>
      <c r="V95" s="76">
        <v>898.45</v>
      </c>
      <c r="W95" s="3" t="s">
        <v>91</v>
      </c>
      <c r="X95" s="2">
        <v>45912</v>
      </c>
      <c r="Y95" s="3" t="s">
        <v>318</v>
      </c>
      <c r="Z95" s="3" t="s">
        <v>87</v>
      </c>
      <c r="AA95" s="76">
        <v>36828.769999999997</v>
      </c>
      <c r="AB95" s="76">
        <v>223.44</v>
      </c>
    </row>
    <row r="96" spans="1:28" ht="16.5" customHeight="1" x14ac:dyDescent="0.35">
      <c r="A96" s="351">
        <v>45912</v>
      </c>
      <c r="B96" s="76" t="s">
        <v>277</v>
      </c>
      <c r="C96" s="71" t="s">
        <v>104</v>
      </c>
      <c r="D96" s="3"/>
      <c r="E96" s="3" t="s">
        <v>86</v>
      </c>
      <c r="F96" s="3">
        <v>0.05</v>
      </c>
      <c r="H96" s="76">
        <v>31435</v>
      </c>
      <c r="I96" s="3" t="s">
        <v>88</v>
      </c>
      <c r="J96" s="3" t="s">
        <v>89</v>
      </c>
      <c r="M96" s="3"/>
      <c r="N96" s="356" cm="1">
        <f t="array" ref="N96">_xlfn.IFS(I96="AEX",H96/400,I96="RP",H96/200)</f>
        <v>78.587500000000006</v>
      </c>
      <c r="O96" s="3">
        <v>298</v>
      </c>
      <c r="P96" s="75">
        <f t="shared" si="10"/>
        <v>105.48657718120805</v>
      </c>
      <c r="Q96" s="3" t="str" cm="1">
        <f t="array" ref="Q96">_xlfn.IFS(P96&lt;200, "10", P96&lt;400, "12", P96&lt;600, "14", P96&gt;600, "16")</f>
        <v>10</v>
      </c>
      <c r="R96" s="75">
        <f>IF(I96="AEX",H96*0.3/400,H96*0.3/200)</f>
        <v>23.576250000000002</v>
      </c>
      <c r="S96" s="75">
        <f t="shared" si="11"/>
        <v>7.9114932885906042E-2</v>
      </c>
      <c r="T96" s="76">
        <v>17158</v>
      </c>
      <c r="U96" s="306">
        <f t="shared" si="12"/>
        <v>54.582471767138543</v>
      </c>
      <c r="V96" s="76">
        <v>586.20000000000005</v>
      </c>
      <c r="W96" s="3" t="s">
        <v>91</v>
      </c>
      <c r="X96" s="2">
        <v>45915</v>
      </c>
      <c r="Y96" s="3" t="s">
        <v>318</v>
      </c>
      <c r="Z96" s="3" t="s">
        <v>87</v>
      </c>
      <c r="AA96" s="76">
        <v>15633.64</v>
      </c>
      <c r="AB96" s="76">
        <v>218.74</v>
      </c>
    </row>
    <row r="97" spans="1:30" ht="16.5" customHeight="1" x14ac:dyDescent="0.35">
      <c r="A97" s="351">
        <v>45911</v>
      </c>
      <c r="B97" s="76" t="s">
        <v>278</v>
      </c>
      <c r="C97" s="71" t="s">
        <v>104</v>
      </c>
      <c r="D97" s="3"/>
      <c r="E97" s="3" t="s">
        <v>87</v>
      </c>
      <c r="F97" s="3">
        <v>0.01</v>
      </c>
      <c r="H97" s="76">
        <v>115000</v>
      </c>
      <c r="I97" s="3" t="s">
        <v>88</v>
      </c>
      <c r="J97" s="3" t="s">
        <v>90</v>
      </c>
      <c r="M97" s="3"/>
      <c r="N97" s="356" cm="1">
        <f t="array" ref="N97">_xlfn.IFS(I97="AEX",H97/400,I97="RP",H97/200)</f>
        <v>287.5</v>
      </c>
      <c r="O97" s="3">
        <v>383</v>
      </c>
      <c r="P97" s="75">
        <f t="shared" si="10"/>
        <v>300.26109660574411</v>
      </c>
      <c r="Q97" s="3" t="str" cm="1">
        <f t="array" ref="Q97">_xlfn.IFS(P97&lt;200, "10", P97&lt;400, "12", P97&lt;600, "14", P97&gt;600, "16")</f>
        <v>12</v>
      </c>
      <c r="R97" s="75">
        <v>45</v>
      </c>
      <c r="S97" s="75">
        <f t="shared" si="11"/>
        <v>0.1174934725848564</v>
      </c>
      <c r="T97" s="76">
        <v>81338</v>
      </c>
      <c r="U97" s="306">
        <f t="shared" si="12"/>
        <v>70.728695652173911</v>
      </c>
      <c r="V97" s="76">
        <v>1158.5</v>
      </c>
      <c r="W97" s="3" t="s">
        <v>91</v>
      </c>
      <c r="X97" s="2">
        <v>45911</v>
      </c>
      <c r="Y97" s="3" t="s">
        <v>95</v>
      </c>
      <c r="Z97" s="3" t="s">
        <v>87</v>
      </c>
      <c r="AA97" s="76">
        <v>81580</v>
      </c>
      <c r="AB97" s="76">
        <v>231</v>
      </c>
    </row>
    <row r="98" spans="1:30" ht="16.5" customHeight="1" x14ac:dyDescent="0.35">
      <c r="A98" s="351">
        <v>45916</v>
      </c>
      <c r="B98" s="76" t="s">
        <v>279</v>
      </c>
      <c r="C98" s="71" t="s">
        <v>104</v>
      </c>
      <c r="D98" s="3"/>
      <c r="E98" s="3" t="s">
        <v>87</v>
      </c>
      <c r="F98" s="3">
        <v>0.01</v>
      </c>
      <c r="H98" s="76">
        <v>173263</v>
      </c>
      <c r="I98" s="3" t="s">
        <v>88</v>
      </c>
      <c r="J98" s="3" t="s">
        <v>89</v>
      </c>
      <c r="M98" s="3"/>
      <c r="N98" s="356" cm="1">
        <f t="array" ref="N98">_xlfn.IFS(I98="AEX",H98/400,I98="RP",H98/200)</f>
        <v>433.15750000000003</v>
      </c>
      <c r="O98" s="3">
        <v>760</v>
      </c>
      <c r="P98" s="75">
        <f t="shared" ref="P98:P129" si="14">H98/O98</f>
        <v>227.97763157894738</v>
      </c>
      <c r="Q98" s="3" t="str" cm="1">
        <f t="array" ref="Q98">_xlfn.IFS(P98&lt;200, "10", P98&lt;400, "12", P98&lt;600, "14", P98&gt;600, "16")</f>
        <v>12</v>
      </c>
      <c r="R98" s="75">
        <v>45</v>
      </c>
      <c r="S98" s="75">
        <f t="shared" ref="S98:S129" si="15">R98/O98</f>
        <v>5.921052631578947E-2</v>
      </c>
      <c r="T98" s="76">
        <v>124381</v>
      </c>
      <c r="U98" s="306">
        <f t="shared" ref="U98:U129" si="16">T98/H98*100</f>
        <v>71.787398348175884</v>
      </c>
      <c r="V98" s="76">
        <v>1900.7</v>
      </c>
      <c r="W98" s="3" t="s">
        <v>91</v>
      </c>
      <c r="X98" s="2">
        <v>45917</v>
      </c>
      <c r="Y98" s="3" t="s">
        <v>95</v>
      </c>
      <c r="Z98" s="3" t="s">
        <v>87</v>
      </c>
      <c r="AA98" s="76">
        <v>124086</v>
      </c>
      <c r="AB98" s="76">
        <v>275.10000000000002</v>
      </c>
      <c r="AC98" s="76" t="s">
        <v>242</v>
      </c>
    </row>
    <row r="99" spans="1:30" ht="16.5" customHeight="1" x14ac:dyDescent="0.35">
      <c r="A99" s="351">
        <v>45911</v>
      </c>
      <c r="B99" s="76" t="s">
        <v>316</v>
      </c>
      <c r="C99" s="71" t="s">
        <v>104</v>
      </c>
      <c r="D99" s="3"/>
      <c r="E99" s="3" t="s">
        <v>87</v>
      </c>
      <c r="F99" s="3" t="s">
        <v>87</v>
      </c>
      <c r="H99" s="76">
        <v>9451</v>
      </c>
      <c r="I99" s="3" t="s">
        <v>88</v>
      </c>
      <c r="J99" s="3" t="s">
        <v>89</v>
      </c>
      <c r="M99" s="3"/>
      <c r="N99" s="356" cm="1">
        <f t="array" ref="N99">_xlfn.IFS(I99="AEX",H99/400,I99="RP",H99/200)</f>
        <v>23.627500000000001</v>
      </c>
      <c r="O99" s="3">
        <v>64.7</v>
      </c>
      <c r="P99" s="75">
        <f t="shared" si="14"/>
        <v>146.07418856259659</v>
      </c>
      <c r="Q99" s="3" t="str" cm="1">
        <f t="array" ref="Q99">_xlfn.IFS(P99&lt;200, "10", P99&lt;400, "12", P99&lt;600, "14", P99&gt;600, "16")</f>
        <v>10</v>
      </c>
      <c r="R99" s="75">
        <f>IF(I99="AEX",H99*0.3/400,H99*0.3/200)</f>
        <v>7.0882499999999995</v>
      </c>
      <c r="S99" s="75">
        <f t="shared" si="15"/>
        <v>0.10955564142194743</v>
      </c>
      <c r="T99" s="76">
        <v>4637</v>
      </c>
      <c r="U99" s="306">
        <f t="shared" si="16"/>
        <v>49.063591154375196</v>
      </c>
      <c r="X99" s="2"/>
      <c r="Y99" s="3" t="s">
        <v>172</v>
      </c>
      <c r="AA99" s="76">
        <v>4637</v>
      </c>
    </row>
    <row r="100" spans="1:30" ht="16.5" customHeight="1" x14ac:dyDescent="0.35">
      <c r="A100" s="351">
        <v>45912</v>
      </c>
      <c r="B100" s="76" t="s">
        <v>281</v>
      </c>
      <c r="C100" s="71" t="s">
        <v>104</v>
      </c>
      <c r="D100" s="3"/>
      <c r="E100" s="3" t="s">
        <v>87</v>
      </c>
      <c r="F100" s="3" t="s">
        <v>87</v>
      </c>
      <c r="G100" s="3" t="s">
        <v>640</v>
      </c>
      <c r="H100" s="76">
        <v>51114</v>
      </c>
      <c r="I100" s="3" t="s">
        <v>88</v>
      </c>
      <c r="J100" s="3" t="s">
        <v>90</v>
      </c>
      <c r="M100" s="3"/>
      <c r="N100" s="356" cm="1">
        <f t="array" ref="N100">_xlfn.IFS(I100="AEX",H100/400,I100="RP",H100/200)</f>
        <v>127.785</v>
      </c>
      <c r="O100" s="3">
        <v>288</v>
      </c>
      <c r="P100" s="75">
        <f t="shared" si="14"/>
        <v>177.47916666666666</v>
      </c>
      <c r="Q100" s="3" t="str" cm="1">
        <f t="array" ref="Q100">_xlfn.IFS(P100&lt;200, "10", P100&lt;400, "12", P100&lt;600, "14", P100&gt;600, "16")</f>
        <v>10</v>
      </c>
      <c r="R100" s="75">
        <f>IF(I100="AEX",H100*0.3/400,H100*0.3/200)</f>
        <v>38.335499999999996</v>
      </c>
      <c r="S100" s="75">
        <f t="shared" si="15"/>
        <v>0.13310937499999997</v>
      </c>
      <c r="T100" s="76">
        <v>26646</v>
      </c>
      <c r="U100" s="306">
        <f t="shared" si="16"/>
        <v>52.130531752553125</v>
      </c>
      <c r="V100" s="76">
        <v>454.55</v>
      </c>
      <c r="W100" s="3" t="s">
        <v>91</v>
      </c>
      <c r="X100" s="2">
        <v>45912</v>
      </c>
      <c r="Y100" s="3" t="s">
        <v>95</v>
      </c>
      <c r="Z100" s="3" t="s">
        <v>87</v>
      </c>
      <c r="AA100" s="76">
        <v>26624.85</v>
      </c>
      <c r="AB100" s="76">
        <v>222.59</v>
      </c>
    </row>
    <row r="101" spans="1:30" ht="16.5" customHeight="1" x14ac:dyDescent="0.35">
      <c r="A101" s="351">
        <v>45912</v>
      </c>
      <c r="B101" s="76" t="s">
        <v>356</v>
      </c>
      <c r="C101" s="71" t="s">
        <v>104</v>
      </c>
      <c r="D101" s="3"/>
      <c r="E101" s="3" t="s">
        <v>87</v>
      </c>
      <c r="F101" s="3" t="s">
        <v>87</v>
      </c>
      <c r="H101" s="76">
        <v>6000</v>
      </c>
      <c r="I101" s="3" t="s">
        <v>70</v>
      </c>
      <c r="J101" s="3" t="s">
        <v>209</v>
      </c>
      <c r="M101" s="3"/>
      <c r="N101" s="356" cm="1">
        <f t="array" ref="N101">_xlfn.IFS(I101="AEX",H101/400,I101="RP",H101/200)</f>
        <v>30</v>
      </c>
      <c r="O101" s="3">
        <v>55</v>
      </c>
      <c r="P101" s="75">
        <f t="shared" si="14"/>
        <v>109.09090909090909</v>
      </c>
      <c r="Q101" s="3" t="str" cm="1">
        <f t="array" ref="Q101">_xlfn.IFS(P101&lt;200, "10", P101&lt;400, "12", P101&lt;600, "14", P101&gt;600, "16")</f>
        <v>10</v>
      </c>
      <c r="R101" s="75">
        <f>IF(I101="AEX",H101*0.3/400,H101*0.3/200)</f>
        <v>9</v>
      </c>
      <c r="S101" s="75">
        <f t="shared" si="15"/>
        <v>0.16363636363636364</v>
      </c>
      <c r="T101" s="76">
        <v>3813</v>
      </c>
      <c r="U101" s="306">
        <f t="shared" si="16"/>
        <v>63.55</v>
      </c>
      <c r="X101" s="2"/>
      <c r="Y101" s="3" t="s">
        <v>172</v>
      </c>
    </row>
    <row r="102" spans="1:30" ht="16.5" customHeight="1" x14ac:dyDescent="0.35">
      <c r="A102" s="351">
        <v>45912</v>
      </c>
      <c r="B102" s="76" t="s">
        <v>323</v>
      </c>
      <c r="C102" s="71" t="s">
        <v>104</v>
      </c>
      <c r="D102" s="3"/>
      <c r="E102" s="3" t="s">
        <v>87</v>
      </c>
      <c r="F102" s="3" t="s">
        <v>87</v>
      </c>
      <c r="H102" s="76">
        <v>22860</v>
      </c>
      <c r="I102" s="3" t="s">
        <v>70</v>
      </c>
      <c r="J102" s="3" t="s">
        <v>209</v>
      </c>
      <c r="M102" s="3"/>
      <c r="N102" s="356" cm="1">
        <f t="array" ref="N102">_xlfn.IFS(I102="AEX",H102/400,I102="RP",H102/200)</f>
        <v>114.3</v>
      </c>
      <c r="O102" s="3">
        <v>251</v>
      </c>
      <c r="P102" s="75">
        <f t="shared" si="14"/>
        <v>91.075697211155372</v>
      </c>
      <c r="Q102" s="3" t="str" cm="1">
        <f t="array" ref="Q102">_xlfn.IFS(P102&lt;200, "10", P102&lt;400, "12", P102&lt;600, "14", P102&gt;600, "16")</f>
        <v>10</v>
      </c>
      <c r="R102" s="75">
        <f>IF(I102="AEX",H102*0.3/400,H102*0.3/200)</f>
        <v>34.29</v>
      </c>
      <c r="S102" s="75">
        <f t="shared" si="15"/>
        <v>0.13661354581673307</v>
      </c>
      <c r="T102" s="76">
        <v>7985</v>
      </c>
      <c r="U102" s="306">
        <f t="shared" si="16"/>
        <v>34.930008748906388</v>
      </c>
      <c r="X102" s="2"/>
    </row>
    <row r="103" spans="1:30" ht="16.5" customHeight="1" x14ac:dyDescent="0.35">
      <c r="A103" s="351">
        <v>45912</v>
      </c>
      <c r="B103" s="76" t="s">
        <v>322</v>
      </c>
      <c r="C103" s="71" t="s">
        <v>321</v>
      </c>
      <c r="D103" s="3"/>
      <c r="E103" s="3" t="s">
        <v>87</v>
      </c>
      <c r="F103" s="3" t="s">
        <v>87</v>
      </c>
      <c r="H103" s="76">
        <v>22860</v>
      </c>
      <c r="I103" s="3" t="s">
        <v>88</v>
      </c>
      <c r="J103" s="3" t="s">
        <v>89</v>
      </c>
      <c r="M103" s="3"/>
      <c r="N103" s="356" cm="1">
        <f t="array" ref="N103">_xlfn.IFS(I103="AEX",H103/400,I103="RP",H103/200)</f>
        <v>57.15</v>
      </c>
      <c r="O103" s="3">
        <v>288</v>
      </c>
      <c r="P103" s="75">
        <f t="shared" si="14"/>
        <v>79.375</v>
      </c>
      <c r="Q103" s="3" t="str" cm="1">
        <f t="array" ref="Q103">_xlfn.IFS(P103&lt;200, "10", P103&lt;400, "12", P103&lt;600, "14", P103&gt;600, "16")</f>
        <v>10</v>
      </c>
      <c r="R103" s="75">
        <v>20</v>
      </c>
      <c r="S103" s="75">
        <f t="shared" si="15"/>
        <v>6.9444444444444448E-2</v>
      </c>
      <c r="T103" s="76">
        <v>4063</v>
      </c>
      <c r="U103" s="306">
        <f t="shared" si="16"/>
        <v>17.773403324584429</v>
      </c>
      <c r="V103" s="76">
        <v>178.63</v>
      </c>
      <c r="W103" s="3" t="s">
        <v>91</v>
      </c>
      <c r="X103" s="2">
        <v>45915</v>
      </c>
      <c r="Y103" s="3" t="s">
        <v>172</v>
      </c>
    </row>
    <row r="104" spans="1:30" ht="16.5" customHeight="1" x14ac:dyDescent="0.35">
      <c r="A104" s="351">
        <v>45915</v>
      </c>
      <c r="B104" s="76" t="s">
        <v>324</v>
      </c>
      <c r="C104" s="71" t="s">
        <v>104</v>
      </c>
      <c r="D104" s="3"/>
      <c r="E104" s="3" t="s">
        <v>86</v>
      </c>
      <c r="F104" s="3" t="s">
        <v>87</v>
      </c>
      <c r="H104" s="76">
        <v>128893</v>
      </c>
      <c r="I104" s="3" t="s">
        <v>88</v>
      </c>
      <c r="J104" s="3" t="s">
        <v>90</v>
      </c>
      <c r="M104" s="3"/>
      <c r="N104" s="356" cm="1">
        <f t="array" ref="N104">_xlfn.IFS(I104="AEX",H104/400,I104="RP",H104/200)</f>
        <v>322.23250000000002</v>
      </c>
      <c r="O104" s="3">
        <v>383</v>
      </c>
      <c r="P104" s="75">
        <f t="shared" si="14"/>
        <v>336.53524804177545</v>
      </c>
      <c r="Q104" s="3" t="str" cm="1">
        <f t="array" ref="Q104">_xlfn.IFS(P104&lt;200, "10", P104&lt;400, "12", P104&lt;600, "14", P104&gt;600, "16")</f>
        <v>12</v>
      </c>
      <c r="R104" s="75">
        <v>45</v>
      </c>
      <c r="S104" s="75">
        <f t="shared" si="15"/>
        <v>0.1174934725848564</v>
      </c>
      <c r="T104" s="76">
        <v>68801</v>
      </c>
      <c r="U104" s="306">
        <f t="shared" si="16"/>
        <v>53.378383620522449</v>
      </c>
      <c r="V104" s="76">
        <v>1477.7</v>
      </c>
      <c r="W104" s="3" t="s">
        <v>91</v>
      </c>
      <c r="X104" s="2">
        <v>45915</v>
      </c>
      <c r="Y104" s="3" t="s">
        <v>95</v>
      </c>
      <c r="Z104" s="3" t="s">
        <v>87</v>
      </c>
      <c r="AA104" s="76">
        <v>172195.51</v>
      </c>
      <c r="AB104" s="76">
        <v>330.2</v>
      </c>
      <c r="AD104" s="47" t="s">
        <v>346</v>
      </c>
    </row>
    <row r="105" spans="1:30" ht="16.5" customHeight="1" x14ac:dyDescent="0.35">
      <c r="A105" s="351">
        <v>45915</v>
      </c>
      <c r="B105" s="76" t="s">
        <v>325</v>
      </c>
      <c r="C105" s="71" t="s">
        <v>104</v>
      </c>
      <c r="D105" s="3"/>
      <c r="E105" s="3" t="s">
        <v>257</v>
      </c>
      <c r="F105" s="3" t="s">
        <v>87</v>
      </c>
      <c r="H105" s="76">
        <v>4063</v>
      </c>
      <c r="I105" s="3" t="s">
        <v>88</v>
      </c>
      <c r="J105" s="3" t="s">
        <v>89</v>
      </c>
      <c r="M105" s="3"/>
      <c r="N105" s="356" cm="1">
        <f t="array" ref="N105">_xlfn.IFS(I105="AEX",H105/400,I105="RP",H105/200)</f>
        <v>10.157500000000001</v>
      </c>
      <c r="O105" s="3">
        <v>23.5</v>
      </c>
      <c r="P105" s="75">
        <f t="shared" si="14"/>
        <v>172.89361702127658</v>
      </c>
      <c r="Q105" s="3" t="str" cm="1">
        <f t="array" ref="Q105">_xlfn.IFS(P105&lt;200, "10", P105&lt;400, "12", P105&lt;600, "14", P105&gt;600, "16")</f>
        <v>10</v>
      </c>
      <c r="R105" s="75">
        <f>IF(I105="AEX",H105*0.3/400,H105*0.3/200)</f>
        <v>3.0472499999999996</v>
      </c>
      <c r="S105" s="75">
        <f t="shared" si="15"/>
        <v>0.12967021276595742</v>
      </c>
      <c r="T105" s="76">
        <v>3058</v>
      </c>
      <c r="U105" s="306">
        <f t="shared" si="16"/>
        <v>75.264582820575924</v>
      </c>
      <c r="X105" s="2"/>
      <c r="Y105" s="3" t="s">
        <v>172</v>
      </c>
      <c r="AA105" s="76">
        <v>2861</v>
      </c>
    </row>
    <row r="106" spans="1:30" ht="16.5" customHeight="1" x14ac:dyDescent="0.35">
      <c r="A106" s="351">
        <v>45915</v>
      </c>
      <c r="B106" s="76" t="s">
        <v>328</v>
      </c>
      <c r="C106" s="71" t="s">
        <v>104</v>
      </c>
      <c r="D106" s="3"/>
      <c r="E106" s="3" t="s">
        <v>87</v>
      </c>
      <c r="F106" s="3" t="s">
        <v>87</v>
      </c>
      <c r="H106" s="76">
        <v>200</v>
      </c>
      <c r="I106" s="3" t="s">
        <v>70</v>
      </c>
      <c r="J106" s="3" t="s">
        <v>209</v>
      </c>
      <c r="M106" s="3"/>
      <c r="N106" s="356" cm="1">
        <f t="array" ref="N106">_xlfn.IFS(I106="AEX",H106/400,I106="RP",H106/200)</f>
        <v>1</v>
      </c>
      <c r="O106" s="3">
        <v>55</v>
      </c>
      <c r="P106" s="75">
        <f t="shared" si="14"/>
        <v>3.6363636363636362</v>
      </c>
      <c r="Q106" s="3" t="str" cm="1">
        <f t="array" ref="Q106">_xlfn.IFS(P106&lt;200, "10", P106&lt;400, "12", P106&lt;600, "14", P106&gt;600, "16")</f>
        <v>10</v>
      </c>
      <c r="R106" s="75">
        <v>1</v>
      </c>
      <c r="S106" s="75">
        <f t="shared" si="15"/>
        <v>1.8181818181818181E-2</v>
      </c>
      <c r="U106" s="306">
        <f t="shared" si="16"/>
        <v>0</v>
      </c>
      <c r="X106" s="2"/>
    </row>
    <row r="107" spans="1:30" ht="16.5" customHeight="1" x14ac:dyDescent="0.35">
      <c r="A107" s="351">
        <v>45915</v>
      </c>
      <c r="B107" s="76" t="s">
        <v>329</v>
      </c>
      <c r="C107" s="71" t="s">
        <v>104</v>
      </c>
      <c r="D107" s="3"/>
      <c r="E107" s="3" t="s">
        <v>87</v>
      </c>
      <c r="F107" s="3" t="s">
        <v>87</v>
      </c>
      <c r="H107" s="76">
        <v>200</v>
      </c>
      <c r="I107" s="3" t="s">
        <v>70</v>
      </c>
      <c r="J107" s="3" t="s">
        <v>209</v>
      </c>
      <c r="M107" s="3"/>
      <c r="N107" s="356" cm="1">
        <f t="array" ref="N107">_xlfn.IFS(I107="AEX",H107/400,I107="RP",H107/200)</f>
        <v>1</v>
      </c>
      <c r="O107" s="3">
        <v>55</v>
      </c>
      <c r="P107" s="75">
        <f t="shared" si="14"/>
        <v>3.6363636363636362</v>
      </c>
      <c r="Q107" s="3" t="str" cm="1">
        <f t="array" ref="Q107">_xlfn.IFS(P107&lt;200, "10", P107&lt;400, "12", P107&lt;600, "14", P107&gt;600, "16")</f>
        <v>10</v>
      </c>
      <c r="R107" s="75">
        <v>1</v>
      </c>
      <c r="S107" s="75">
        <f t="shared" si="15"/>
        <v>1.8181818181818181E-2</v>
      </c>
      <c r="U107" s="306">
        <f t="shared" si="16"/>
        <v>0</v>
      </c>
      <c r="X107" s="2"/>
    </row>
    <row r="108" spans="1:30" ht="16.5" customHeight="1" x14ac:dyDescent="0.35">
      <c r="A108" s="351">
        <v>45915</v>
      </c>
      <c r="B108" s="76" t="s">
        <v>330</v>
      </c>
      <c r="C108" s="71" t="s">
        <v>104</v>
      </c>
      <c r="D108" s="3"/>
      <c r="E108" s="3" t="s">
        <v>87</v>
      </c>
      <c r="F108" s="3" t="s">
        <v>87</v>
      </c>
      <c r="H108" s="76">
        <v>200</v>
      </c>
      <c r="I108" s="3" t="s">
        <v>70</v>
      </c>
      <c r="J108" s="3" t="s">
        <v>209</v>
      </c>
      <c r="M108" s="3"/>
      <c r="N108" s="356" cm="1">
        <f t="array" ref="N108">_xlfn.IFS(I108="AEX",H108/400,I108="RP",H108/200)</f>
        <v>1</v>
      </c>
      <c r="O108" s="3">
        <v>55</v>
      </c>
      <c r="P108" s="75">
        <f t="shared" si="14"/>
        <v>3.6363636363636362</v>
      </c>
      <c r="Q108" s="3" t="str" cm="1">
        <f t="array" ref="Q108">_xlfn.IFS(P108&lt;200, "10", P108&lt;400, "12", P108&lt;600, "14", P108&gt;600, "16")</f>
        <v>10</v>
      </c>
      <c r="R108" s="75">
        <v>1</v>
      </c>
      <c r="S108" s="75">
        <f t="shared" si="15"/>
        <v>1.8181818181818181E-2</v>
      </c>
      <c r="U108" s="306">
        <f t="shared" si="16"/>
        <v>0</v>
      </c>
      <c r="X108" s="2"/>
    </row>
    <row r="109" spans="1:30" ht="17.149999999999999" customHeight="1" x14ac:dyDescent="0.35">
      <c r="A109" s="351">
        <v>45917</v>
      </c>
      <c r="B109" s="76" t="s">
        <v>327</v>
      </c>
      <c r="C109" s="71" t="s">
        <v>104</v>
      </c>
      <c r="D109" s="3"/>
      <c r="E109" s="3" t="s">
        <v>257</v>
      </c>
      <c r="F109" s="3" t="s">
        <v>87</v>
      </c>
      <c r="H109" s="76">
        <v>4000</v>
      </c>
      <c r="I109" s="3" t="s">
        <v>70</v>
      </c>
      <c r="J109" s="3" t="s">
        <v>209</v>
      </c>
      <c r="M109" s="3"/>
      <c r="N109" s="356" cm="1">
        <f t="array" ref="N109">_xlfn.IFS(I109="AEX",H109/400,I109="RP",H109/200)</f>
        <v>20</v>
      </c>
      <c r="O109" s="3">
        <v>55</v>
      </c>
      <c r="P109" s="75">
        <f t="shared" si="14"/>
        <v>72.727272727272734</v>
      </c>
      <c r="Q109" s="3" t="str" cm="1">
        <f t="array" ref="Q109">_xlfn.IFS(P109&lt;200, "10", P109&lt;400, "12", P109&lt;600, "14", P109&gt;600, "16")</f>
        <v>10</v>
      </c>
      <c r="R109" s="75">
        <v>5</v>
      </c>
      <c r="S109" s="75">
        <f t="shared" si="15"/>
        <v>9.0909090909090912E-2</v>
      </c>
      <c r="U109" s="306">
        <f t="shared" si="16"/>
        <v>0</v>
      </c>
      <c r="X109" s="2"/>
    </row>
    <row r="110" spans="1:30" ht="16.5" customHeight="1" x14ac:dyDescent="0.35">
      <c r="A110" s="351">
        <v>45917</v>
      </c>
      <c r="B110" s="76" t="s">
        <v>314</v>
      </c>
      <c r="C110" s="71" t="s">
        <v>104</v>
      </c>
      <c r="D110" s="3"/>
      <c r="E110" s="3" t="s">
        <v>257</v>
      </c>
      <c r="F110" s="3" t="s">
        <v>87</v>
      </c>
      <c r="G110" s="3" t="s">
        <v>640</v>
      </c>
      <c r="H110" s="76">
        <v>113517</v>
      </c>
      <c r="I110" s="3" t="s">
        <v>88</v>
      </c>
      <c r="J110" s="3" t="s">
        <v>90</v>
      </c>
      <c r="M110" s="3"/>
      <c r="N110" s="356" cm="1">
        <f t="array" ref="N110">_xlfn.IFS(I110="AEX",H110/400,I110="RP",H110/200)</f>
        <v>283.79250000000002</v>
      </c>
      <c r="O110" s="3">
        <v>400</v>
      </c>
      <c r="P110" s="75">
        <f t="shared" si="14"/>
        <v>283.79250000000002</v>
      </c>
      <c r="Q110" s="3" t="str" cm="1">
        <f t="array" ref="Q110">_xlfn.IFS(P110&lt;200, "10", P110&lt;400, "12", P110&lt;600, "14", P110&gt;600, "16")</f>
        <v>12</v>
      </c>
      <c r="R110" s="75">
        <v>45</v>
      </c>
      <c r="S110" s="75">
        <f t="shared" si="15"/>
        <v>0.1125</v>
      </c>
      <c r="T110" s="76">
        <v>34715</v>
      </c>
      <c r="U110" s="306">
        <f t="shared" si="16"/>
        <v>30.581322621281394</v>
      </c>
      <c r="V110" s="76">
        <v>669.65</v>
      </c>
      <c r="W110" s="3" t="s">
        <v>91</v>
      </c>
      <c r="X110" s="2">
        <v>45917</v>
      </c>
      <c r="Y110" s="3" t="s">
        <v>318</v>
      </c>
      <c r="Z110" s="3" t="s">
        <v>87</v>
      </c>
      <c r="AA110" s="76">
        <v>35795.550000000003</v>
      </c>
      <c r="AB110" s="76">
        <v>235.29</v>
      </c>
    </row>
    <row r="111" spans="1:30" ht="16.5" customHeight="1" x14ac:dyDescent="0.35">
      <c r="A111" s="351">
        <v>45917</v>
      </c>
      <c r="B111" s="76" t="s">
        <v>331</v>
      </c>
      <c r="C111" s="71" t="s">
        <v>104</v>
      </c>
      <c r="D111" s="3"/>
      <c r="E111" s="3" t="s">
        <v>257</v>
      </c>
      <c r="F111" s="3" t="s">
        <v>87</v>
      </c>
      <c r="H111" s="76">
        <v>503</v>
      </c>
      <c r="I111" s="3" t="s">
        <v>70</v>
      </c>
      <c r="J111" s="3" t="s">
        <v>195</v>
      </c>
      <c r="M111" s="3"/>
      <c r="N111" s="356" cm="1">
        <f t="array" ref="N111">_xlfn.IFS(I111="AEX",H111/400,I111="RP",H111/200)</f>
        <v>2.5150000000000001</v>
      </c>
      <c r="O111" s="3">
        <v>24</v>
      </c>
      <c r="P111" s="75">
        <f t="shared" si="14"/>
        <v>20.958333333333332</v>
      </c>
      <c r="Q111" s="3" t="str" cm="1">
        <f t="array" ref="Q111">_xlfn.IFS(P111&lt;200, "10", P111&lt;400, "12", P111&lt;600, "14", P111&gt;600, "16")</f>
        <v>10</v>
      </c>
      <c r="R111" s="75">
        <v>1.5</v>
      </c>
      <c r="S111" s="75">
        <f t="shared" si="15"/>
        <v>6.25E-2</v>
      </c>
      <c r="T111" s="76">
        <v>149</v>
      </c>
      <c r="U111" s="306">
        <f t="shared" si="16"/>
        <v>29.622266401590458</v>
      </c>
      <c r="V111" s="76">
        <v>7.5</v>
      </c>
      <c r="X111" s="2"/>
    </row>
    <row r="112" spans="1:30" ht="16.5" customHeight="1" x14ac:dyDescent="0.35">
      <c r="A112" s="351">
        <v>45917</v>
      </c>
      <c r="B112" s="76" t="s">
        <v>334</v>
      </c>
      <c r="C112" s="71" t="s">
        <v>104</v>
      </c>
      <c r="D112" s="3"/>
      <c r="E112" s="3" t="s">
        <v>86</v>
      </c>
      <c r="F112" s="3">
        <v>0.01</v>
      </c>
      <c r="H112" s="76">
        <v>17205</v>
      </c>
      <c r="I112" s="3" t="s">
        <v>70</v>
      </c>
      <c r="J112" s="3" t="s">
        <v>195</v>
      </c>
      <c r="M112" s="3"/>
      <c r="N112" s="356" cm="1">
        <f t="array" ref="N112">_xlfn.IFS(I112="AEX",H112/400,I112="RP",H112/200)</f>
        <v>86.025000000000006</v>
      </c>
      <c r="O112" s="3">
        <v>178</v>
      </c>
      <c r="P112" s="75">
        <f t="shared" si="14"/>
        <v>96.657303370786522</v>
      </c>
      <c r="Q112" s="3" t="str" cm="1">
        <f t="array" ref="Q112">_xlfn.IFS(P112&lt;200, "10", P112&lt;400, "12", P112&lt;600, "14", P112&gt;600, "16")</f>
        <v>10</v>
      </c>
      <c r="R112" s="75">
        <v>15</v>
      </c>
      <c r="S112" s="75">
        <f t="shared" si="15"/>
        <v>8.4269662921348312E-2</v>
      </c>
      <c r="U112" s="306">
        <f t="shared" si="16"/>
        <v>0</v>
      </c>
      <c r="X112" s="2"/>
    </row>
    <row r="113" spans="1:30" ht="16.5" customHeight="1" x14ac:dyDescent="0.35">
      <c r="A113" s="351">
        <v>45917</v>
      </c>
      <c r="B113" s="76" t="s">
        <v>332</v>
      </c>
      <c r="C113" s="71" t="s">
        <v>321</v>
      </c>
      <c r="D113" s="3"/>
      <c r="E113" s="3" t="s">
        <v>257</v>
      </c>
      <c r="F113" s="3" t="s">
        <v>87</v>
      </c>
      <c r="H113" s="76">
        <v>149</v>
      </c>
      <c r="I113" s="3" t="s">
        <v>88</v>
      </c>
      <c r="J113" s="3" t="s">
        <v>89</v>
      </c>
      <c r="M113" s="3"/>
      <c r="N113" s="356" cm="1">
        <f t="array" ref="N113">_xlfn.IFS(I113="AEX",H113/400,I113="RP",H113/200)</f>
        <v>0.3725</v>
      </c>
      <c r="O113" s="3">
        <v>23.5</v>
      </c>
      <c r="P113" s="75">
        <f t="shared" si="14"/>
        <v>6.3404255319148932</v>
      </c>
      <c r="Q113" s="3">
        <v>5</v>
      </c>
      <c r="R113" s="75">
        <v>1.5</v>
      </c>
      <c r="S113" s="75">
        <f t="shared" si="15"/>
        <v>6.3829787234042548E-2</v>
      </c>
      <c r="U113" s="306">
        <f t="shared" si="16"/>
        <v>0</v>
      </c>
      <c r="X113" s="2"/>
    </row>
    <row r="114" spans="1:30" ht="16.5" customHeight="1" x14ac:dyDescent="0.35">
      <c r="A114" s="351">
        <v>45918</v>
      </c>
      <c r="B114" s="76" t="s">
        <v>333</v>
      </c>
      <c r="C114" s="71" t="s">
        <v>104</v>
      </c>
      <c r="D114" s="3"/>
      <c r="E114" s="3" t="s">
        <v>86</v>
      </c>
      <c r="F114" s="3">
        <v>0.01</v>
      </c>
      <c r="H114" s="76">
        <v>3393</v>
      </c>
      <c r="I114" s="3" t="s">
        <v>70</v>
      </c>
      <c r="J114" s="3" t="s">
        <v>209</v>
      </c>
      <c r="M114" s="3"/>
      <c r="N114" s="356" cm="1">
        <f t="array" ref="N114">_xlfn.IFS(I114="AEX",H114/400,I114="RP",H114/200)</f>
        <v>16.965</v>
      </c>
      <c r="O114" s="3">
        <v>22</v>
      </c>
      <c r="P114" s="75">
        <f t="shared" si="14"/>
        <v>154.22727272727272</v>
      </c>
      <c r="Q114" s="3" t="str" cm="1">
        <f t="array" ref="Q114">_xlfn.IFS(P114&lt;200, "10", P114&lt;400, "12", P114&lt;600, "14", P114&gt;600, "16")</f>
        <v>10</v>
      </c>
      <c r="R114" s="75">
        <f>IF(I114="AEX",H114*0.3/400,H114*0.3/200)</f>
        <v>5.0895000000000001</v>
      </c>
      <c r="S114" s="75">
        <f t="shared" si="15"/>
        <v>0.2313409090909091</v>
      </c>
      <c r="T114" s="76">
        <v>1829</v>
      </c>
      <c r="U114" s="306">
        <f t="shared" si="16"/>
        <v>53.905098732684941</v>
      </c>
      <c r="X114" s="2"/>
    </row>
    <row r="115" spans="1:30" ht="16.5" customHeight="1" x14ac:dyDescent="0.35">
      <c r="A115" s="351">
        <v>45918</v>
      </c>
      <c r="B115" s="76" t="s">
        <v>335</v>
      </c>
      <c r="C115" s="71" t="s">
        <v>104</v>
      </c>
      <c r="D115" s="3"/>
      <c r="E115" s="3" t="s">
        <v>86</v>
      </c>
      <c r="F115" s="3">
        <v>0.01</v>
      </c>
      <c r="H115" s="76">
        <v>8640</v>
      </c>
      <c r="I115" s="3" t="s">
        <v>88</v>
      </c>
      <c r="J115" s="3" t="s">
        <v>90</v>
      </c>
      <c r="M115" s="3"/>
      <c r="N115" s="356" cm="1">
        <f t="array" ref="N115">_xlfn.IFS(I115="AEX",H115/400,I115="RP",H115/200)</f>
        <v>21.6</v>
      </c>
      <c r="O115" s="3">
        <v>63.8</v>
      </c>
      <c r="P115" s="75">
        <f t="shared" si="14"/>
        <v>135.42319749216301</v>
      </c>
      <c r="Q115" s="3" t="str" cm="1">
        <f t="array" ref="Q115">_xlfn.IFS(P115&lt;200, "10", P115&lt;400, "12", P115&lt;600, "14", P115&gt;600, "16")</f>
        <v>10</v>
      </c>
      <c r="R115" s="75">
        <f>IF(I115="AEX",H115*0.3/400,H115*0.3/200)</f>
        <v>6.48</v>
      </c>
      <c r="S115" s="75">
        <f t="shared" si="15"/>
        <v>0.10156739811912227</v>
      </c>
      <c r="T115" s="76">
        <v>4401</v>
      </c>
      <c r="U115" s="306">
        <f t="shared" si="16"/>
        <v>50.9375</v>
      </c>
      <c r="V115" s="76">
        <v>120</v>
      </c>
      <c r="W115" s="3" t="s">
        <v>91</v>
      </c>
      <c r="X115" s="2">
        <v>45922</v>
      </c>
      <c r="Y115" s="3" t="s">
        <v>95</v>
      </c>
      <c r="Z115" s="3" t="s">
        <v>87</v>
      </c>
      <c r="AA115" s="76">
        <v>4452.8100000000004</v>
      </c>
      <c r="AB115" s="76">
        <v>181.5</v>
      </c>
    </row>
    <row r="116" spans="1:30" ht="16.5" customHeight="1" x14ac:dyDescent="0.35">
      <c r="A116" s="351">
        <v>45918</v>
      </c>
      <c r="B116" s="76" t="s">
        <v>336</v>
      </c>
      <c r="C116" s="71" t="s">
        <v>104</v>
      </c>
      <c r="D116" s="3"/>
      <c r="E116" s="3" t="s">
        <v>87</v>
      </c>
      <c r="F116" s="3" t="s">
        <v>87</v>
      </c>
      <c r="H116" s="76">
        <v>8333</v>
      </c>
      <c r="I116" s="3" t="s">
        <v>70</v>
      </c>
      <c r="J116" s="3" t="s">
        <v>195</v>
      </c>
      <c r="M116" s="3"/>
      <c r="N116" s="356" cm="1">
        <f t="array" ref="N116">_xlfn.IFS(I116="AEX",H116/400,I116="RP",H116/200)</f>
        <v>41.664999999999999</v>
      </c>
      <c r="O116" s="3">
        <v>178</v>
      </c>
      <c r="P116" s="75">
        <f t="shared" si="14"/>
        <v>46.814606741573037</v>
      </c>
      <c r="Q116" s="3" t="str" cm="1">
        <f t="array" ref="Q116">_xlfn.IFS(P116&lt;200, "10", P116&lt;400, "12", P116&lt;600, "14", P116&gt;600, "16")</f>
        <v>10</v>
      </c>
      <c r="R116" s="75">
        <v>10</v>
      </c>
      <c r="S116" s="75">
        <f t="shared" si="15"/>
        <v>5.6179775280898875E-2</v>
      </c>
      <c r="T116" s="76">
        <v>4428</v>
      </c>
      <c r="U116" s="306">
        <f t="shared" si="16"/>
        <v>53.138125525020996</v>
      </c>
      <c r="V116" s="76">
        <v>321.35000000000002</v>
      </c>
      <c r="X116" s="2"/>
    </row>
    <row r="117" spans="1:30" ht="16.5" customHeight="1" x14ac:dyDescent="0.35">
      <c r="A117" s="351">
        <v>45918</v>
      </c>
      <c r="B117" s="76" t="s">
        <v>337</v>
      </c>
      <c r="C117" s="71" t="s">
        <v>104</v>
      </c>
      <c r="D117" s="3"/>
      <c r="E117" s="3" t="s">
        <v>87</v>
      </c>
      <c r="F117" s="3" t="s">
        <v>87</v>
      </c>
      <c r="H117" s="76">
        <v>528</v>
      </c>
      <c r="I117" s="3" t="s">
        <v>88</v>
      </c>
      <c r="J117" s="3" t="s">
        <v>89</v>
      </c>
      <c r="M117" s="3"/>
      <c r="N117" s="356" cm="1">
        <f t="array" ref="N117">_xlfn.IFS(I117="AEX",H117/400,I117="RP",H117/200)</f>
        <v>1.32</v>
      </c>
      <c r="O117" s="3">
        <v>23.5</v>
      </c>
      <c r="P117" s="75">
        <f t="shared" si="14"/>
        <v>22.468085106382979</v>
      </c>
      <c r="Q117" s="3">
        <v>5</v>
      </c>
      <c r="R117" s="75">
        <v>1</v>
      </c>
      <c r="S117" s="75">
        <f t="shared" si="15"/>
        <v>4.2553191489361701E-2</v>
      </c>
      <c r="T117" s="76">
        <v>50.16</v>
      </c>
      <c r="U117" s="306">
        <f t="shared" si="16"/>
        <v>9.4999999999999982</v>
      </c>
      <c r="X117" s="2"/>
    </row>
    <row r="118" spans="1:30" ht="16.5" customHeight="1" x14ac:dyDescent="0.35">
      <c r="A118" s="351">
        <v>45919</v>
      </c>
      <c r="B118" s="76" t="s">
        <v>338</v>
      </c>
      <c r="C118" s="71" t="s">
        <v>104</v>
      </c>
      <c r="D118" s="3"/>
      <c r="E118" s="3" t="s">
        <v>87</v>
      </c>
      <c r="F118" s="3" t="s">
        <v>87</v>
      </c>
      <c r="H118" s="76">
        <v>31577</v>
      </c>
      <c r="I118" s="3" t="s">
        <v>88</v>
      </c>
      <c r="J118" s="3" t="s">
        <v>90</v>
      </c>
      <c r="M118" s="3"/>
      <c r="N118" s="356" cm="1">
        <f t="array" ref="N118">_xlfn.IFS(I118="AEX",H118/400,I118="RP",H118/200)</f>
        <v>78.942499999999995</v>
      </c>
      <c r="O118" s="3">
        <v>298</v>
      </c>
      <c r="P118" s="75">
        <f t="shared" si="14"/>
        <v>105.96308724832215</v>
      </c>
      <c r="Q118" s="3" t="str" cm="1">
        <f t="array" ref="Q118">_xlfn.IFS(P118&lt;200, "10", P118&lt;400, "12", P118&lt;600, "14", P118&gt;600, "16")</f>
        <v>10</v>
      </c>
      <c r="R118" s="75">
        <f>IF(I118="AEX",H118*0.3/400,H118*0.3/200)</f>
        <v>23.682750000000002</v>
      </c>
      <c r="S118" s="75">
        <f t="shared" si="15"/>
        <v>7.9472315436241614E-2</v>
      </c>
      <c r="T118" s="76">
        <v>7830</v>
      </c>
      <c r="U118" s="306">
        <f t="shared" si="16"/>
        <v>24.796529119295691</v>
      </c>
      <c r="V118" s="76">
        <v>148.94999999999999</v>
      </c>
      <c r="W118" s="3" t="s">
        <v>91</v>
      </c>
      <c r="X118" s="2">
        <v>45919</v>
      </c>
      <c r="Y118" s="3" t="s">
        <v>97</v>
      </c>
      <c r="Z118" s="3" t="s">
        <v>87</v>
      </c>
      <c r="AA118" s="76">
        <v>6904.75</v>
      </c>
      <c r="AB118" s="76">
        <v>236.06</v>
      </c>
    </row>
    <row r="119" spans="1:30" ht="16.5" customHeight="1" x14ac:dyDescent="0.35">
      <c r="A119" s="351">
        <v>45918</v>
      </c>
      <c r="B119" s="76" t="s">
        <v>319</v>
      </c>
      <c r="C119" s="71" t="s">
        <v>104</v>
      </c>
      <c r="D119" s="3"/>
      <c r="E119" s="3" t="s">
        <v>87</v>
      </c>
      <c r="F119" s="3" t="s">
        <v>87</v>
      </c>
      <c r="H119" s="76">
        <v>6248</v>
      </c>
      <c r="I119" s="3" t="s">
        <v>88</v>
      </c>
      <c r="J119" s="3" t="s">
        <v>89</v>
      </c>
      <c r="M119" s="3"/>
      <c r="N119" s="356" cm="1">
        <f t="array" ref="N119">_xlfn.IFS(I119="AEX",H119/400,I119="RP",H119/200)</f>
        <v>15.62</v>
      </c>
      <c r="O119" s="3">
        <v>23.5</v>
      </c>
      <c r="P119" s="75">
        <f t="shared" si="14"/>
        <v>265.87234042553189</v>
      </c>
      <c r="Q119" s="3" t="str" cm="1">
        <f t="array" ref="Q119">_xlfn.IFS(P119&lt;200, "10", P119&lt;400, "12", P119&lt;600, "14", P119&gt;600, "16")</f>
        <v>12</v>
      </c>
      <c r="R119" s="75">
        <f>IF(I119="AEX",H119*0.3/400,H119*0.3/200)</f>
        <v>4.6859999999999999</v>
      </c>
      <c r="S119" s="75">
        <f t="shared" si="15"/>
        <v>0.19940425531914893</v>
      </c>
      <c r="T119" s="76">
        <v>3125</v>
      </c>
      <c r="U119" s="306">
        <f t="shared" si="16"/>
        <v>50.016005121638926</v>
      </c>
      <c r="W119" s="3" t="s">
        <v>91</v>
      </c>
      <c r="X119" s="2">
        <v>45918</v>
      </c>
      <c r="Y119" s="3" t="s">
        <v>172</v>
      </c>
      <c r="AA119" s="76">
        <v>3125</v>
      </c>
    </row>
    <row r="120" spans="1:30" ht="16.5" customHeight="1" x14ac:dyDescent="0.35">
      <c r="A120" s="351">
        <v>45919</v>
      </c>
      <c r="B120" s="76" t="s">
        <v>342</v>
      </c>
      <c r="C120" s="71" t="s">
        <v>104</v>
      </c>
      <c r="D120" s="3"/>
      <c r="E120" s="3" t="s">
        <v>87</v>
      </c>
      <c r="F120" s="3" t="s">
        <v>87</v>
      </c>
      <c r="H120" s="76">
        <v>4428</v>
      </c>
      <c r="I120" s="3" t="s">
        <v>88</v>
      </c>
      <c r="J120" s="3" t="s">
        <v>89</v>
      </c>
      <c r="M120" s="3"/>
      <c r="N120" s="356" cm="1">
        <f t="array" ref="N120">_xlfn.IFS(I120="AEX",H120/400,I120="RP",H120/200)</f>
        <v>11.07</v>
      </c>
      <c r="O120" s="3">
        <v>63.8</v>
      </c>
      <c r="P120" s="75">
        <f t="shared" si="14"/>
        <v>69.404388714733543</v>
      </c>
      <c r="Q120" s="3" t="str" cm="1">
        <f t="array" ref="Q120">_xlfn.IFS(P120&lt;200, "10", P120&lt;400, "12", P120&lt;600, "14", P120&gt;600, "16")</f>
        <v>10</v>
      </c>
      <c r="R120" s="75">
        <v>5</v>
      </c>
      <c r="S120" s="75">
        <f t="shared" si="15"/>
        <v>7.8369905956112859E-2</v>
      </c>
      <c r="T120" s="76">
        <v>2019</v>
      </c>
      <c r="U120" s="306">
        <f t="shared" si="16"/>
        <v>45.596205962059621</v>
      </c>
      <c r="X120" s="2"/>
    </row>
    <row r="121" spans="1:30" ht="16.5" customHeight="1" x14ac:dyDescent="0.35">
      <c r="A121" s="351">
        <v>45919</v>
      </c>
      <c r="B121" s="76" t="s">
        <v>345</v>
      </c>
      <c r="C121" s="71" t="s">
        <v>104</v>
      </c>
      <c r="D121" s="3"/>
      <c r="E121" s="3" t="s">
        <v>87</v>
      </c>
      <c r="F121" s="3" t="s">
        <v>87</v>
      </c>
      <c r="H121" s="76">
        <v>20656</v>
      </c>
      <c r="I121" s="3" t="s">
        <v>88</v>
      </c>
      <c r="J121" s="3" t="s">
        <v>90</v>
      </c>
      <c r="M121" s="3"/>
      <c r="N121" s="356" cm="1">
        <f t="array" ref="N121">_xlfn.IFS(I121="AEX",H121/400,I121="RP",H121/200)</f>
        <v>51.64</v>
      </c>
      <c r="O121" s="3">
        <v>298</v>
      </c>
      <c r="P121" s="75">
        <f t="shared" si="14"/>
        <v>69.31543624161074</v>
      </c>
      <c r="Q121" s="3" t="str" cm="1">
        <f t="array" ref="Q121">_xlfn.IFS(P121&lt;200, "10", P121&lt;400, "12", P121&lt;600, "14", P121&gt;600, "16")</f>
        <v>10</v>
      </c>
      <c r="R121" s="75">
        <f>IF(I121="AEX",H121*0.3/400,H121*0.3/200)</f>
        <v>15.492000000000001</v>
      </c>
      <c r="S121" s="75">
        <f t="shared" si="15"/>
        <v>5.1986577181208055E-2</v>
      </c>
      <c r="T121" s="76">
        <v>6000</v>
      </c>
      <c r="U121" s="306">
        <f t="shared" si="16"/>
        <v>29.047250193648331</v>
      </c>
      <c r="V121" s="76">
        <v>180</v>
      </c>
      <c r="W121" s="3" t="s">
        <v>91</v>
      </c>
      <c r="X121" s="2">
        <v>45919</v>
      </c>
      <c r="Y121" s="3" t="s">
        <v>97</v>
      </c>
      <c r="Z121" s="3" t="s">
        <v>87</v>
      </c>
      <c r="AA121" s="76">
        <v>6148.92</v>
      </c>
      <c r="AB121" s="76">
        <v>264.47000000000003</v>
      </c>
    </row>
    <row r="122" spans="1:30" ht="16.5" customHeight="1" x14ac:dyDescent="0.35">
      <c r="A122" s="351">
        <v>45919</v>
      </c>
      <c r="B122" s="76" t="s">
        <v>347</v>
      </c>
      <c r="C122" s="71" t="s">
        <v>104</v>
      </c>
      <c r="D122" s="3"/>
      <c r="E122" s="3" t="s">
        <v>87</v>
      </c>
      <c r="F122" s="3" t="s">
        <v>87</v>
      </c>
      <c r="H122" s="76">
        <v>12665</v>
      </c>
      <c r="I122" s="3" t="s">
        <v>70</v>
      </c>
      <c r="J122" s="3" t="s">
        <v>195</v>
      </c>
      <c r="M122" s="3"/>
      <c r="N122" s="356" cm="1">
        <f t="array" ref="N122">_xlfn.IFS(I122="AEX",H122/400,I122="RP",H122/200)</f>
        <v>63.325000000000003</v>
      </c>
      <c r="O122" s="3">
        <v>178</v>
      </c>
      <c r="P122" s="75">
        <f t="shared" si="14"/>
        <v>71.151685393258433</v>
      </c>
      <c r="Q122" s="3" t="str" cm="1">
        <f t="array" ref="Q122">_xlfn.IFS(P122&lt;200, "10", P122&lt;400, "12", P122&lt;600, "14", P122&gt;600, "16")</f>
        <v>10</v>
      </c>
      <c r="R122" s="75">
        <f>IF(I122="AEX",H122*0.3/400,H122*0.3/200)</f>
        <v>18.997499999999999</v>
      </c>
      <c r="S122" s="75">
        <f t="shared" si="15"/>
        <v>0.10672752808988763</v>
      </c>
      <c r="U122" s="306">
        <f t="shared" si="16"/>
        <v>0</v>
      </c>
      <c r="X122" s="2"/>
    </row>
    <row r="123" spans="1:30" ht="16.5" customHeight="1" x14ac:dyDescent="0.35">
      <c r="A123" s="351">
        <v>45922</v>
      </c>
      <c r="B123" s="76" t="s">
        <v>348</v>
      </c>
      <c r="C123" s="71" t="s">
        <v>104</v>
      </c>
      <c r="D123" s="3"/>
      <c r="E123" s="3" t="s">
        <v>87</v>
      </c>
      <c r="F123" s="3" t="s">
        <v>87</v>
      </c>
      <c r="H123" s="76">
        <v>489</v>
      </c>
      <c r="I123" s="3" t="s">
        <v>88</v>
      </c>
      <c r="J123" s="3" t="s">
        <v>89</v>
      </c>
      <c r="M123" s="3"/>
      <c r="N123" s="356" cm="1">
        <f t="array" ref="N123">_xlfn.IFS(I123="AEX",H123/400,I123="RP",H123/200)</f>
        <v>1.2224999999999999</v>
      </c>
      <c r="O123" s="3">
        <v>23.5</v>
      </c>
      <c r="P123" s="75">
        <f t="shared" si="14"/>
        <v>20.808510638297872</v>
      </c>
      <c r="Q123" s="3">
        <v>5</v>
      </c>
      <c r="R123" s="75">
        <v>1</v>
      </c>
      <c r="S123" s="75">
        <f t="shared" si="15"/>
        <v>4.2553191489361701E-2</v>
      </c>
      <c r="T123" s="76">
        <v>120</v>
      </c>
      <c r="U123" s="306">
        <f t="shared" si="16"/>
        <v>24.539877300613497</v>
      </c>
      <c r="X123" s="2"/>
      <c r="Y123" s="3" t="s">
        <v>172</v>
      </c>
      <c r="AA123" s="76">
        <v>130</v>
      </c>
    </row>
    <row r="124" spans="1:30" ht="16.5" customHeight="1" x14ac:dyDescent="0.35">
      <c r="A124" s="351">
        <v>45923</v>
      </c>
      <c r="B124" s="76" t="s">
        <v>349</v>
      </c>
      <c r="C124" s="71" t="s">
        <v>104</v>
      </c>
      <c r="D124" s="3"/>
      <c r="E124" s="3" t="s">
        <v>87</v>
      </c>
      <c r="F124" s="3" t="s">
        <v>87</v>
      </c>
      <c r="H124" s="76">
        <v>235</v>
      </c>
      <c r="I124" s="3" t="s">
        <v>88</v>
      </c>
      <c r="J124" s="3" t="s">
        <v>89</v>
      </c>
      <c r="M124" s="3"/>
      <c r="N124" s="356" cm="1">
        <f t="array" ref="N124">_xlfn.IFS(I124="AEX",H124/400,I124="RP",H124/200)</f>
        <v>0.58750000000000002</v>
      </c>
      <c r="O124" s="3">
        <v>23.5</v>
      </c>
      <c r="P124" s="75">
        <f t="shared" si="14"/>
        <v>10</v>
      </c>
      <c r="Q124" s="3">
        <v>5</v>
      </c>
      <c r="R124" s="75">
        <v>1</v>
      </c>
      <c r="S124" s="75">
        <f t="shared" si="15"/>
        <v>4.2553191489361701E-2</v>
      </c>
      <c r="U124" s="306">
        <f t="shared" si="16"/>
        <v>0</v>
      </c>
      <c r="X124" s="2"/>
      <c r="Y124" s="3" t="s">
        <v>172</v>
      </c>
      <c r="AD124" s="47" t="s">
        <v>351</v>
      </c>
    </row>
    <row r="125" spans="1:30" ht="16.5" customHeight="1" x14ac:dyDescent="0.35">
      <c r="A125" s="351">
        <v>45923</v>
      </c>
      <c r="B125" s="76" t="s">
        <v>350</v>
      </c>
      <c r="C125" s="71" t="s">
        <v>104</v>
      </c>
      <c r="D125" s="3"/>
      <c r="E125" s="3" t="s">
        <v>87</v>
      </c>
      <c r="F125" s="3" t="s">
        <v>87</v>
      </c>
      <c r="H125" s="76">
        <v>186</v>
      </c>
      <c r="I125" s="3" t="s">
        <v>88</v>
      </c>
      <c r="J125" s="3" t="s">
        <v>90</v>
      </c>
      <c r="M125" s="3"/>
      <c r="N125" s="356" cm="1">
        <f t="array" ref="N125">_xlfn.IFS(I125="AEX",H125/400,I125="RP",H125/200)</f>
        <v>0.46500000000000002</v>
      </c>
      <c r="O125" s="3">
        <v>23.5</v>
      </c>
      <c r="P125" s="75">
        <f t="shared" si="14"/>
        <v>7.9148936170212769</v>
      </c>
      <c r="Q125" s="3">
        <v>5</v>
      </c>
      <c r="R125" s="75">
        <v>1</v>
      </c>
      <c r="S125" s="75">
        <f t="shared" si="15"/>
        <v>4.2553191489361701E-2</v>
      </c>
      <c r="T125" s="76">
        <v>105</v>
      </c>
      <c r="U125" s="306">
        <f t="shared" si="16"/>
        <v>56.451612903225815</v>
      </c>
      <c r="X125" s="2"/>
      <c r="Y125" s="3" t="s">
        <v>172</v>
      </c>
      <c r="AA125" s="76">
        <v>105</v>
      </c>
    </row>
    <row r="126" spans="1:30" ht="16.5" customHeight="1" x14ac:dyDescent="0.35">
      <c r="A126" s="351">
        <v>45924</v>
      </c>
      <c r="B126" s="76" t="s">
        <v>352</v>
      </c>
      <c r="C126" s="71" t="s">
        <v>104</v>
      </c>
      <c r="D126" s="3"/>
      <c r="E126" s="3" t="s">
        <v>87</v>
      </c>
      <c r="F126" s="3" t="s">
        <v>87</v>
      </c>
      <c r="H126" s="76">
        <v>3331</v>
      </c>
      <c r="I126" s="3" t="s">
        <v>70</v>
      </c>
      <c r="J126" s="3" t="s">
        <v>209</v>
      </c>
      <c r="M126" s="3"/>
      <c r="N126" s="356" cm="1">
        <f t="array" ref="N126">_xlfn.IFS(I126="AEX",H126/400,I126="RP",H126/200)</f>
        <v>16.655000000000001</v>
      </c>
      <c r="O126" s="3">
        <v>55</v>
      </c>
      <c r="P126" s="75">
        <f t="shared" si="14"/>
        <v>60.563636363636363</v>
      </c>
      <c r="Q126" s="3" t="str" cm="1">
        <f t="array" ref="Q126">_xlfn.IFS(P126&lt;200, "10", P126&lt;400, "12", P126&lt;600, "14", P126&gt;600, "16")</f>
        <v>10</v>
      </c>
      <c r="R126" s="75">
        <f>IF(I126="AEX",H126*0.3/400,H126*0.3/200)</f>
        <v>4.9965000000000002</v>
      </c>
      <c r="S126" s="75">
        <f t="shared" si="15"/>
        <v>9.0845454545454549E-2</v>
      </c>
      <c r="T126" s="76">
        <v>370</v>
      </c>
      <c r="U126" s="306">
        <f t="shared" si="16"/>
        <v>11.107775442809967</v>
      </c>
      <c r="X126" s="2"/>
      <c r="AD126" s="47" t="s">
        <v>355</v>
      </c>
    </row>
    <row r="127" spans="1:30" ht="16.5" customHeight="1" x14ac:dyDescent="0.35">
      <c r="A127" s="351">
        <v>45924</v>
      </c>
      <c r="B127" s="76" t="s">
        <v>353</v>
      </c>
      <c r="C127" s="71" t="s">
        <v>104</v>
      </c>
      <c r="D127" s="3"/>
      <c r="E127" s="3" t="s">
        <v>87</v>
      </c>
      <c r="F127" s="3" t="s">
        <v>87</v>
      </c>
      <c r="H127" s="76">
        <v>308</v>
      </c>
      <c r="I127" s="3" t="s">
        <v>70</v>
      </c>
      <c r="J127" s="3" t="s">
        <v>209</v>
      </c>
      <c r="M127" s="3"/>
      <c r="N127" s="356" cm="1">
        <f t="array" ref="N127">_xlfn.IFS(I127="AEX",H127/400,I127="RP",H127/200)</f>
        <v>1.54</v>
      </c>
      <c r="O127" s="3">
        <v>22</v>
      </c>
      <c r="P127" s="75">
        <f t="shared" si="14"/>
        <v>14</v>
      </c>
      <c r="Q127" s="3" t="str" cm="1">
        <f t="array" ref="Q127">_xlfn.IFS(P127&lt;200, "10", P127&lt;400, "12", P127&lt;600, "14", P127&gt;600, "16")</f>
        <v>10</v>
      </c>
      <c r="R127" s="75">
        <v>1</v>
      </c>
      <c r="S127" s="75">
        <f t="shared" si="15"/>
        <v>4.5454545454545456E-2</v>
      </c>
      <c r="T127" s="76">
        <v>278</v>
      </c>
      <c r="U127" s="306">
        <f t="shared" si="16"/>
        <v>90.259740259740255</v>
      </c>
      <c r="X127" s="2"/>
      <c r="Y127" s="3" t="s">
        <v>172</v>
      </c>
      <c r="AA127" s="76">
        <v>245</v>
      </c>
      <c r="AD127" s="47" t="s">
        <v>354</v>
      </c>
    </row>
    <row r="128" spans="1:30" ht="16.5" customHeight="1" x14ac:dyDescent="0.35">
      <c r="A128" s="351">
        <v>45925</v>
      </c>
      <c r="B128" s="280" t="s">
        <v>357</v>
      </c>
      <c r="C128" s="71" t="s">
        <v>104</v>
      </c>
      <c r="D128" s="3"/>
      <c r="E128" s="3" t="s">
        <v>86</v>
      </c>
      <c r="F128" s="3" t="s">
        <v>87</v>
      </c>
      <c r="H128" s="76">
        <v>2861</v>
      </c>
      <c r="I128" s="3" t="s">
        <v>70</v>
      </c>
      <c r="J128" s="3" t="s">
        <v>209</v>
      </c>
      <c r="M128" s="3"/>
      <c r="N128" s="356" cm="1">
        <f t="array" ref="N128">_xlfn.IFS(I128="AEX",H128/400,I128="RP",H128/200)</f>
        <v>14.305</v>
      </c>
      <c r="O128" s="3">
        <v>22</v>
      </c>
      <c r="P128" s="75">
        <f t="shared" si="14"/>
        <v>130.04545454545453</v>
      </c>
      <c r="Q128" s="3" t="str" cm="1">
        <f t="array" ref="Q128">_xlfn.IFS(P128&lt;200, "10", P128&lt;400, "12", P128&lt;600, "14", P128&gt;600, "16")</f>
        <v>10</v>
      </c>
      <c r="R128" s="75">
        <f>IF(I128="AEX",H128*0.3/400,H128*0.3/200)</f>
        <v>4.2915000000000001</v>
      </c>
      <c r="S128" s="75">
        <f t="shared" si="15"/>
        <v>0.19506818181818183</v>
      </c>
      <c r="U128" s="306">
        <f t="shared" si="16"/>
        <v>0</v>
      </c>
      <c r="X128" s="2"/>
    </row>
    <row r="129" spans="1:30" ht="16.5" customHeight="1" x14ac:dyDescent="0.35">
      <c r="A129" s="351">
        <v>45925</v>
      </c>
      <c r="B129" s="76" t="s">
        <v>358</v>
      </c>
      <c r="C129" s="71" t="s">
        <v>104</v>
      </c>
      <c r="D129" s="3"/>
      <c r="E129" s="3" t="s">
        <v>194</v>
      </c>
      <c r="F129" s="3" t="s">
        <v>87</v>
      </c>
      <c r="H129" s="76">
        <v>359</v>
      </c>
      <c r="I129" s="3" t="s">
        <v>88</v>
      </c>
      <c r="J129" s="3" t="s">
        <v>90</v>
      </c>
      <c r="M129" s="3"/>
      <c r="N129" s="356" cm="1">
        <f t="array" ref="N129">_xlfn.IFS(I129="AEX",H129/400,I129="RP",H129/200)</f>
        <v>0.89749999999999996</v>
      </c>
      <c r="O129" s="3">
        <v>23.5</v>
      </c>
      <c r="P129" s="75">
        <f t="shared" si="14"/>
        <v>15.276595744680851</v>
      </c>
      <c r="Q129" s="3" t="str" cm="1">
        <f t="array" ref="Q129">_xlfn.IFS(P129&lt;200, "10", P129&lt;400, "12", P129&lt;600, "14", P129&gt;600, "16")</f>
        <v>10</v>
      </c>
      <c r="R129" s="75">
        <v>1</v>
      </c>
      <c r="S129" s="75">
        <f t="shared" si="15"/>
        <v>4.2553191489361701E-2</v>
      </c>
      <c r="T129" s="76">
        <v>170</v>
      </c>
      <c r="U129" s="306">
        <f t="shared" si="16"/>
        <v>47.353760445682454</v>
      </c>
      <c r="X129" s="2"/>
      <c r="Y129" s="3" t="s">
        <v>172</v>
      </c>
      <c r="AA129" s="76">
        <v>179</v>
      </c>
    </row>
    <row r="130" spans="1:30" ht="16.5" customHeight="1" x14ac:dyDescent="0.35">
      <c r="A130" s="351">
        <v>45926</v>
      </c>
      <c r="B130" s="76" t="s">
        <v>359</v>
      </c>
      <c r="C130" s="71" t="s">
        <v>104</v>
      </c>
      <c r="D130" s="3"/>
      <c r="E130" s="3" t="s">
        <v>86</v>
      </c>
      <c r="F130" s="3" t="s">
        <v>87</v>
      </c>
      <c r="H130" s="76">
        <v>14323</v>
      </c>
      <c r="I130" s="3" t="s">
        <v>70</v>
      </c>
      <c r="J130" s="3" t="s">
        <v>195</v>
      </c>
      <c r="M130" s="3"/>
      <c r="N130" s="356" cm="1">
        <f t="array" ref="N130">_xlfn.IFS(I130="AEX",H130/400,I130="RP",H130/200)</f>
        <v>71.614999999999995</v>
      </c>
      <c r="O130" s="3">
        <v>178</v>
      </c>
      <c r="P130" s="75">
        <f t="shared" ref="P130:P161" si="17">H130/O130</f>
        <v>80.466292134831463</v>
      </c>
      <c r="Q130" s="3">
        <v>12</v>
      </c>
      <c r="R130" s="75">
        <f>IF(I130="AEX",H130*0.3/400,H130*0.3/200)</f>
        <v>21.484499999999997</v>
      </c>
      <c r="S130" s="75">
        <f t="shared" ref="S130:S161" si="18">R130/O130</f>
        <v>0.12069943820224717</v>
      </c>
      <c r="T130" s="76">
        <v>3620</v>
      </c>
      <c r="U130" s="306">
        <f t="shared" ref="U130:U161" si="19">T130/H130*100</f>
        <v>25.274034769252253</v>
      </c>
      <c r="V130" s="76">
        <v>113.36</v>
      </c>
      <c r="W130" s="3" t="s">
        <v>87</v>
      </c>
      <c r="X130" s="2">
        <v>45926</v>
      </c>
      <c r="Y130" s="3" t="s">
        <v>97</v>
      </c>
      <c r="Z130" s="3" t="s">
        <v>87</v>
      </c>
      <c r="AA130" s="76">
        <v>3479.66</v>
      </c>
      <c r="AB130" s="76">
        <v>209.24</v>
      </c>
    </row>
    <row r="131" spans="1:30" ht="16.5" customHeight="1" x14ac:dyDescent="0.35">
      <c r="A131" s="351">
        <v>45926</v>
      </c>
      <c r="B131" s="76" t="s">
        <v>343</v>
      </c>
      <c r="C131" s="71" t="s">
        <v>104</v>
      </c>
      <c r="D131" s="3"/>
      <c r="E131" s="3" t="s">
        <v>87</v>
      </c>
      <c r="F131" s="3" t="s">
        <v>87</v>
      </c>
      <c r="H131" s="76">
        <v>9975</v>
      </c>
      <c r="I131" s="3" t="s">
        <v>88</v>
      </c>
      <c r="J131" s="3" t="s">
        <v>89</v>
      </c>
      <c r="M131" s="3"/>
      <c r="N131" s="356" cm="1">
        <f t="array" ref="N131">_xlfn.IFS(I131="AEX",H131/400,I131="RP",H131/200)</f>
        <v>24.9375</v>
      </c>
      <c r="O131" s="3">
        <v>64.7</v>
      </c>
      <c r="P131" s="75">
        <f t="shared" si="17"/>
        <v>154.17310664605873</v>
      </c>
      <c r="Q131" s="3" t="str" cm="1">
        <f t="array" ref="Q131">_xlfn.IFS(P131&lt;200, "10", P131&lt;400, "12", P131&lt;600, "14", P131&gt;600, "16")</f>
        <v>10</v>
      </c>
      <c r="R131" s="75">
        <f>IF(I131="AEX",H131*0.3/400,H131*0.3/200)</f>
        <v>7.4812500000000002</v>
      </c>
      <c r="S131" s="75">
        <f t="shared" si="18"/>
        <v>0.11562982998454405</v>
      </c>
      <c r="T131" s="76">
        <v>5270</v>
      </c>
      <c r="U131" s="306">
        <f t="shared" si="19"/>
        <v>52.832080200501252</v>
      </c>
      <c r="V131" s="76">
        <v>104.82</v>
      </c>
      <c r="W131" s="3" t="s">
        <v>91</v>
      </c>
      <c r="X131" s="2">
        <v>45926</v>
      </c>
      <c r="Y131" s="3" t="s">
        <v>97</v>
      </c>
      <c r="Z131" s="3" t="s">
        <v>87</v>
      </c>
      <c r="AA131" s="76">
        <v>5145.03</v>
      </c>
      <c r="AB131" s="76">
        <v>188.67</v>
      </c>
    </row>
    <row r="132" spans="1:30" ht="16.5" customHeight="1" x14ac:dyDescent="0.35">
      <c r="A132" s="351">
        <v>45926</v>
      </c>
      <c r="B132" s="76" t="s">
        <v>370</v>
      </c>
      <c r="C132" s="71" t="s">
        <v>104</v>
      </c>
      <c r="D132" s="3"/>
      <c r="E132" s="3" t="s">
        <v>194</v>
      </c>
      <c r="F132" s="3" t="s">
        <v>87</v>
      </c>
      <c r="H132" s="76">
        <v>6300</v>
      </c>
      <c r="I132" s="3" t="s">
        <v>88</v>
      </c>
      <c r="J132" s="3" t="s">
        <v>90</v>
      </c>
      <c r="M132" s="3"/>
      <c r="N132" s="356" cm="1">
        <f t="array" ref="N132">_xlfn.IFS(I132="AEX",H132/400,I132="RP",H132/200)</f>
        <v>15.75</v>
      </c>
      <c r="O132" s="3">
        <v>23.5</v>
      </c>
      <c r="P132" s="75">
        <f t="shared" si="17"/>
        <v>268.08510638297872</v>
      </c>
      <c r="Q132" s="3" t="str" cm="1">
        <f t="array" ref="Q132">_xlfn.IFS(P132&lt;200, "10", P132&lt;400, "12", P132&lt;600, "14", P132&gt;600, "16")</f>
        <v>12</v>
      </c>
      <c r="R132" s="75">
        <v>5</v>
      </c>
      <c r="S132" s="75">
        <f t="shared" si="18"/>
        <v>0.21276595744680851</v>
      </c>
      <c r="T132" s="76">
        <v>3368</v>
      </c>
      <c r="U132" s="306">
        <f t="shared" si="19"/>
        <v>53.460317460317462</v>
      </c>
      <c r="V132" s="76">
        <v>55.19</v>
      </c>
      <c r="W132" s="3" t="s">
        <v>91</v>
      </c>
      <c r="X132" s="2">
        <v>45926</v>
      </c>
      <c r="Y132" s="3" t="s">
        <v>97</v>
      </c>
      <c r="Z132" s="3" t="s">
        <v>87</v>
      </c>
      <c r="AA132" s="76">
        <v>3320.35</v>
      </c>
      <c r="AB132" s="76">
        <v>131.76</v>
      </c>
    </row>
    <row r="133" spans="1:30" ht="16.5" customHeight="1" x14ac:dyDescent="0.35">
      <c r="A133" s="351">
        <v>45926</v>
      </c>
      <c r="B133" s="76" t="s">
        <v>371</v>
      </c>
      <c r="C133" s="71" t="s">
        <v>104</v>
      </c>
      <c r="D133" s="3"/>
      <c r="E133" s="3" t="s">
        <v>87</v>
      </c>
      <c r="F133" s="3" t="s">
        <v>87</v>
      </c>
      <c r="H133" s="76">
        <v>7418</v>
      </c>
      <c r="I133" s="3" t="s">
        <v>88</v>
      </c>
      <c r="J133" s="3" t="s">
        <v>90</v>
      </c>
      <c r="M133" s="3"/>
      <c r="N133" s="356" cm="1">
        <f t="array" ref="N133">_xlfn.IFS(I133="AEX",H133/400,I133="RP",H133/200)</f>
        <v>18.545000000000002</v>
      </c>
      <c r="O133" s="3">
        <v>63.8</v>
      </c>
      <c r="P133" s="75">
        <f t="shared" si="17"/>
        <v>116.26959247648904</v>
      </c>
      <c r="Q133" s="3" t="str" cm="1">
        <f t="array" ref="Q133">_xlfn.IFS(P133&lt;200, "10", P133&lt;400, "12", P133&lt;600, "14", P133&gt;600, "16")</f>
        <v>10</v>
      </c>
      <c r="R133" s="75">
        <f t="shared" ref="R133:R138" si="20">IF(I133="AEX",H133*0.3/400,H133*0.3/200)</f>
        <v>5.5635000000000003</v>
      </c>
      <c r="S133" s="75">
        <f t="shared" si="18"/>
        <v>8.7202194357366786E-2</v>
      </c>
      <c r="T133" s="76">
        <v>2475</v>
      </c>
      <c r="U133" s="306">
        <f t="shared" si="19"/>
        <v>33.364788352655701</v>
      </c>
      <c r="V133" s="76">
        <v>50</v>
      </c>
      <c r="X133" s="2"/>
      <c r="Y133" s="3" t="s">
        <v>172</v>
      </c>
      <c r="Z133" s="3" t="s">
        <v>87</v>
      </c>
      <c r="AA133" s="76">
        <v>2302</v>
      </c>
    </row>
    <row r="134" spans="1:30" ht="16.5" customHeight="1" x14ac:dyDescent="0.35">
      <c r="A134" s="351">
        <v>45929</v>
      </c>
      <c r="B134" s="76" t="s">
        <v>373</v>
      </c>
      <c r="C134" s="71" t="s">
        <v>104</v>
      </c>
      <c r="D134" s="3"/>
      <c r="E134" s="3" t="s">
        <v>87</v>
      </c>
      <c r="F134" s="3" t="s">
        <v>87</v>
      </c>
      <c r="G134" s="3" t="s">
        <v>640</v>
      </c>
      <c r="H134" s="76">
        <v>46938</v>
      </c>
      <c r="I134" s="3" t="s">
        <v>88</v>
      </c>
      <c r="J134" s="3" t="s">
        <v>89</v>
      </c>
      <c r="M134" s="3"/>
      <c r="N134" s="356" cm="1">
        <f t="array" ref="N134">_xlfn.IFS(I134="AEX",H134/400,I134="RP",H134/200)</f>
        <v>117.345</v>
      </c>
      <c r="O134" s="3">
        <v>288</v>
      </c>
      <c r="P134" s="75">
        <f t="shared" si="17"/>
        <v>162.97916666666666</v>
      </c>
      <c r="Q134" s="3" t="str" cm="1">
        <f t="array" ref="Q134">_xlfn.IFS(P134&lt;200, "10", P134&lt;400, "12", P134&lt;600, "14", P134&gt;600, "16")</f>
        <v>10</v>
      </c>
      <c r="R134" s="75">
        <f t="shared" si="20"/>
        <v>35.203499999999998</v>
      </c>
      <c r="S134" s="75">
        <f t="shared" si="18"/>
        <v>0.12223437499999999</v>
      </c>
      <c r="T134" s="76">
        <v>27197</v>
      </c>
      <c r="U134" s="306">
        <f t="shared" si="19"/>
        <v>57.942392091695424</v>
      </c>
      <c r="V134" s="76">
        <v>385</v>
      </c>
      <c r="W134" s="3" t="s">
        <v>91</v>
      </c>
      <c r="X134" s="2">
        <v>45930</v>
      </c>
      <c r="Y134" s="3" t="s">
        <v>95</v>
      </c>
      <c r="Z134" s="3" t="s">
        <v>87</v>
      </c>
    </row>
    <row r="135" spans="1:30" ht="16.5" customHeight="1" x14ac:dyDescent="0.35">
      <c r="A135" s="351">
        <v>45929</v>
      </c>
      <c r="B135" s="76" t="s">
        <v>360</v>
      </c>
      <c r="C135" s="71" t="s">
        <v>104</v>
      </c>
      <c r="D135" s="3"/>
      <c r="E135" s="3" t="s">
        <v>87</v>
      </c>
      <c r="F135" s="3" t="s">
        <v>87</v>
      </c>
      <c r="H135" s="76">
        <v>12003</v>
      </c>
      <c r="I135" s="3" t="s">
        <v>70</v>
      </c>
      <c r="J135" s="3" t="s">
        <v>195</v>
      </c>
      <c r="M135" s="3"/>
      <c r="N135" s="356" cm="1">
        <f t="array" ref="N135">_xlfn.IFS(I135="AEX",H135/400,I135="RP",H135/200)</f>
        <v>60.015000000000001</v>
      </c>
      <c r="O135" s="3">
        <v>178</v>
      </c>
      <c r="P135" s="75">
        <f t="shared" si="17"/>
        <v>67.432584269662925</v>
      </c>
      <c r="Q135" s="3" t="str" cm="1">
        <f t="array" ref="Q135">_xlfn.IFS(P135&lt;200, "10", P135&lt;400, "12", P135&lt;600, "14", P135&gt;600, "16")</f>
        <v>10</v>
      </c>
      <c r="R135" s="75">
        <f t="shared" si="20"/>
        <v>18.0045</v>
      </c>
      <c r="S135" s="75">
        <f t="shared" si="18"/>
        <v>0.10114887640449438</v>
      </c>
      <c r="T135" s="76">
        <v>1545</v>
      </c>
      <c r="U135" s="306">
        <f t="shared" si="19"/>
        <v>12.871782054486378</v>
      </c>
      <c r="X135" s="2"/>
      <c r="AD135" s="47" t="s">
        <v>355</v>
      </c>
    </row>
    <row r="136" spans="1:30" ht="16.5" customHeight="1" x14ac:dyDescent="0.35">
      <c r="A136" s="351">
        <v>45930</v>
      </c>
      <c r="B136" s="76" t="s">
        <v>344</v>
      </c>
      <c r="C136" s="71" t="s">
        <v>104</v>
      </c>
      <c r="D136" s="3"/>
      <c r="E136" s="3" t="s">
        <v>87</v>
      </c>
      <c r="F136" s="3" t="s">
        <v>87</v>
      </c>
      <c r="H136" s="76">
        <v>8941</v>
      </c>
      <c r="I136" s="3" t="s">
        <v>88</v>
      </c>
      <c r="J136" s="3" t="s">
        <v>90</v>
      </c>
      <c r="M136" s="3"/>
      <c r="N136" s="356" cm="1">
        <f t="array" ref="N136">_xlfn.IFS(I136="AEX",H136/400,I136="RP",H136/200)</f>
        <v>22.352499999999999</v>
      </c>
      <c r="O136" s="3">
        <v>63.8</v>
      </c>
      <c r="P136" s="75">
        <f t="shared" si="17"/>
        <v>140.141065830721</v>
      </c>
      <c r="Q136" s="3" t="str" cm="1">
        <f t="array" ref="Q136">_xlfn.IFS(P136&lt;200, "10", P136&lt;400, "12", P136&lt;600, "14", P136&gt;600, "16")</f>
        <v>10</v>
      </c>
      <c r="R136" s="75">
        <f t="shared" si="20"/>
        <v>6.7057499999999992</v>
      </c>
      <c r="S136" s="75">
        <f t="shared" si="18"/>
        <v>0.10510579937304075</v>
      </c>
      <c r="T136" s="76">
        <v>6103</v>
      </c>
      <c r="U136" s="306">
        <f t="shared" si="19"/>
        <v>68.258584051001009</v>
      </c>
      <c r="V136" s="76">
        <v>118.15</v>
      </c>
      <c r="W136" s="3" t="s">
        <v>91</v>
      </c>
      <c r="X136" s="2">
        <v>45930</v>
      </c>
      <c r="Y136" s="3" t="s">
        <v>97</v>
      </c>
      <c r="Z136" s="3" t="s">
        <v>87</v>
      </c>
    </row>
    <row r="137" spans="1:30" ht="16.5" customHeight="1" x14ac:dyDescent="0.35">
      <c r="A137" s="351">
        <v>45931</v>
      </c>
      <c r="B137" s="76" t="s">
        <v>368</v>
      </c>
      <c r="C137" s="71" t="s">
        <v>104</v>
      </c>
      <c r="D137" s="3"/>
      <c r="E137" s="3" t="s">
        <v>257</v>
      </c>
      <c r="F137" s="3" t="s">
        <v>87</v>
      </c>
      <c r="H137" s="76">
        <v>11542</v>
      </c>
      <c r="I137" s="3" t="s">
        <v>88</v>
      </c>
      <c r="J137" s="3" t="s">
        <v>89</v>
      </c>
      <c r="M137" s="3"/>
      <c r="N137" s="356" cm="1">
        <f t="array" ref="N137">_xlfn.IFS(I137="AEX",H137/400,I137="RP",H137/200)</f>
        <v>28.855</v>
      </c>
      <c r="O137" s="3">
        <v>64.7</v>
      </c>
      <c r="P137" s="75">
        <f t="shared" si="17"/>
        <v>178.39258114374033</v>
      </c>
      <c r="Q137" s="3" t="str" cm="1">
        <f t="array" ref="Q137">_xlfn.IFS(P137&lt;200, "10", P137&lt;400, "12", P137&lt;600, "14", P137&gt;600, "16")</f>
        <v>10</v>
      </c>
      <c r="R137" s="75">
        <f t="shared" si="20"/>
        <v>8.6564999999999994</v>
      </c>
      <c r="S137" s="75">
        <f t="shared" si="18"/>
        <v>0.13379443585780523</v>
      </c>
      <c r="T137" s="320">
        <v>4736.3599999999997</v>
      </c>
      <c r="U137" s="306">
        <f t="shared" si="19"/>
        <v>41.035869000173278</v>
      </c>
      <c r="V137" s="76">
        <v>94.5</v>
      </c>
      <c r="W137" s="3" t="s">
        <v>91</v>
      </c>
      <c r="X137" s="2">
        <v>45931</v>
      </c>
      <c r="Y137" s="3" t="s">
        <v>97</v>
      </c>
      <c r="Z137" s="3" t="s">
        <v>87</v>
      </c>
      <c r="AA137" s="76">
        <v>4628.6189999999997</v>
      </c>
      <c r="AB137" s="76">
        <v>168.62</v>
      </c>
    </row>
    <row r="138" spans="1:30" ht="16.5" customHeight="1" x14ac:dyDescent="0.35">
      <c r="A138" s="351">
        <v>45931</v>
      </c>
      <c r="B138" s="76" t="s">
        <v>369</v>
      </c>
      <c r="C138" s="71" t="s">
        <v>104</v>
      </c>
      <c r="D138" s="3"/>
      <c r="E138" s="3" t="s">
        <v>257</v>
      </c>
      <c r="F138" s="3" t="s">
        <v>87</v>
      </c>
      <c r="H138" s="76">
        <v>10212</v>
      </c>
      <c r="I138" s="3" t="s">
        <v>88</v>
      </c>
      <c r="J138" s="3" t="s">
        <v>90</v>
      </c>
      <c r="M138" s="3"/>
      <c r="N138" s="356" cm="1">
        <f t="array" ref="N138">_xlfn.IFS(I138="AEX",H138/400,I138="RP",H138/200)</f>
        <v>25.53</v>
      </c>
      <c r="O138" s="3">
        <v>63.8</v>
      </c>
      <c r="P138" s="75">
        <f t="shared" si="17"/>
        <v>160.06269592476491</v>
      </c>
      <c r="Q138" s="3" t="str" cm="1">
        <f t="array" ref="Q138">_xlfn.IFS(P138&lt;200, "10", P138&lt;400, "12", P138&lt;600, "14", P138&gt;600, "16")</f>
        <v>10</v>
      </c>
      <c r="R138" s="75">
        <f t="shared" si="20"/>
        <v>7.6589999999999998</v>
      </c>
      <c r="S138" s="75">
        <f t="shared" si="18"/>
        <v>0.12004702194357367</v>
      </c>
      <c r="T138" s="320">
        <v>4027.37</v>
      </c>
      <c r="U138" s="306">
        <f t="shared" si="19"/>
        <v>39.437622405013705</v>
      </c>
      <c r="V138" s="76">
        <v>74.900000000000006</v>
      </c>
      <c r="W138" s="3" t="s">
        <v>91</v>
      </c>
      <c r="X138" s="2">
        <v>45931</v>
      </c>
      <c r="Y138" s="3" t="s">
        <v>97</v>
      </c>
      <c r="Z138" s="3" t="s">
        <v>87</v>
      </c>
      <c r="AA138" s="76">
        <v>4251.95</v>
      </c>
      <c r="AB138" s="76">
        <v>163.5</v>
      </c>
    </row>
    <row r="139" spans="1:30" ht="16.5" customHeight="1" x14ac:dyDescent="0.35">
      <c r="A139" s="351">
        <v>45931</v>
      </c>
      <c r="B139" s="76" t="s">
        <v>380</v>
      </c>
      <c r="C139" s="71" t="s">
        <v>104</v>
      </c>
      <c r="D139" s="3"/>
      <c r="E139" s="3" t="s">
        <v>87</v>
      </c>
      <c r="F139" s="3" t="s">
        <v>87</v>
      </c>
      <c r="H139" s="76">
        <v>170</v>
      </c>
      <c r="I139" s="3" t="s">
        <v>70</v>
      </c>
      <c r="J139" s="3" t="s">
        <v>377</v>
      </c>
      <c r="M139" s="3"/>
      <c r="N139" s="356" cm="1">
        <f t="array" ref="N139">_xlfn.IFS(I139="AEX",H139/400,I139="RP",H139/200)</f>
        <v>0.85</v>
      </c>
      <c r="O139" s="3">
        <v>89</v>
      </c>
      <c r="P139" s="75">
        <f t="shared" si="17"/>
        <v>1.9101123595505618</v>
      </c>
      <c r="Q139" s="3" t="str" cm="1">
        <f t="array" ref="Q139">_xlfn.IFS(P139&lt;200, "10", P139&lt;400, "12", P139&lt;600, "14", P139&gt;600, "16")</f>
        <v>10</v>
      </c>
      <c r="R139" s="75">
        <v>1</v>
      </c>
      <c r="S139" s="75">
        <f t="shared" si="18"/>
        <v>1.1235955056179775E-2</v>
      </c>
      <c r="U139" s="306">
        <f t="shared" si="19"/>
        <v>0</v>
      </c>
      <c r="X139" s="2"/>
    </row>
    <row r="140" spans="1:30" ht="16.5" customHeight="1" x14ac:dyDescent="0.35">
      <c r="A140" s="351">
        <v>45931</v>
      </c>
      <c r="B140" s="76" t="s">
        <v>379</v>
      </c>
      <c r="C140" s="71" t="s">
        <v>104</v>
      </c>
      <c r="D140" s="3"/>
      <c r="E140" s="3" t="s">
        <v>86</v>
      </c>
      <c r="F140" s="3" t="s">
        <v>87</v>
      </c>
      <c r="H140" s="76">
        <v>12290</v>
      </c>
      <c r="I140" s="3" t="s">
        <v>70</v>
      </c>
      <c r="J140" s="3" t="s">
        <v>195</v>
      </c>
      <c r="M140" s="3"/>
      <c r="N140" s="356" cm="1">
        <f t="array" ref="N140">_xlfn.IFS(I140="AEX",H140/400,I140="RP",H140/200)</f>
        <v>61.45</v>
      </c>
      <c r="O140" s="3">
        <v>178</v>
      </c>
      <c r="P140" s="75">
        <f t="shared" si="17"/>
        <v>69.044943820224717</v>
      </c>
      <c r="Q140" s="3" t="str" cm="1">
        <f t="array" ref="Q140">_xlfn.IFS(P140&lt;200, "10", P140&lt;400, "12", P140&lt;600, "14", P140&gt;600, "16")</f>
        <v>10</v>
      </c>
      <c r="R140" s="75">
        <f>IF(I140="AEX",H140*0.3/400,H140*0.3/200)</f>
        <v>18.434999999999999</v>
      </c>
      <c r="S140" s="75">
        <f t="shared" si="18"/>
        <v>0.10356741573033706</v>
      </c>
      <c r="T140" s="76">
        <v>3901</v>
      </c>
      <c r="U140" s="306">
        <f t="shared" si="19"/>
        <v>31.741253051261186</v>
      </c>
      <c r="V140" s="76">
        <v>112.11</v>
      </c>
      <c r="W140" s="3" t="s">
        <v>87</v>
      </c>
      <c r="X140" s="2">
        <v>45931</v>
      </c>
      <c r="Y140" s="3" t="s">
        <v>97</v>
      </c>
      <c r="Z140" s="3" t="s">
        <v>87</v>
      </c>
      <c r="AA140" s="76">
        <v>3818.16</v>
      </c>
      <c r="AB140" s="76">
        <v>21.5</v>
      </c>
      <c r="AD140" s="47" t="s">
        <v>384</v>
      </c>
    </row>
    <row r="141" spans="1:30" ht="16.5" customHeight="1" x14ac:dyDescent="0.35">
      <c r="A141" s="351">
        <v>45931</v>
      </c>
      <c r="B141" s="76" t="s">
        <v>378</v>
      </c>
      <c r="C141" s="71" t="s">
        <v>104</v>
      </c>
      <c r="D141" s="3"/>
      <c r="E141" s="3" t="s">
        <v>194</v>
      </c>
      <c r="F141" s="3" t="s">
        <v>87</v>
      </c>
      <c r="H141" s="76">
        <v>500</v>
      </c>
      <c r="I141" s="3" t="s">
        <v>70</v>
      </c>
      <c r="J141" s="3" t="s">
        <v>209</v>
      </c>
      <c r="M141" s="3"/>
      <c r="N141" s="356" cm="1">
        <f t="array" ref="N141">_xlfn.IFS(I141="AEX",H141/400,I141="RP",H141/200)</f>
        <v>2.5</v>
      </c>
      <c r="O141" s="3">
        <v>22</v>
      </c>
      <c r="P141" s="75">
        <f t="shared" si="17"/>
        <v>22.727272727272727</v>
      </c>
      <c r="Q141" s="3" t="str" cm="1">
        <f t="array" ref="Q141">_xlfn.IFS(P141&lt;200, "10", P141&lt;400, "12", P141&lt;600, "14", P141&gt;600, "16")</f>
        <v>10</v>
      </c>
      <c r="R141" s="75">
        <v>1</v>
      </c>
      <c r="S141" s="75">
        <f t="shared" si="18"/>
        <v>4.5454545454545456E-2</v>
      </c>
      <c r="T141" s="76">
        <v>304</v>
      </c>
      <c r="U141" s="306">
        <f t="shared" si="19"/>
        <v>60.8</v>
      </c>
      <c r="X141" s="2"/>
    </row>
    <row r="142" spans="1:30" ht="16.5" customHeight="1" x14ac:dyDescent="0.35">
      <c r="A142" s="351">
        <v>45932</v>
      </c>
      <c r="B142" s="76" t="s">
        <v>374</v>
      </c>
      <c r="C142" s="71" t="s">
        <v>104</v>
      </c>
      <c r="D142" s="3"/>
      <c r="E142" s="3" t="s">
        <v>86</v>
      </c>
      <c r="F142" s="3">
        <v>0.01</v>
      </c>
      <c r="H142" s="76">
        <v>116257</v>
      </c>
      <c r="I142" s="3" t="s">
        <v>70</v>
      </c>
      <c r="J142" s="3" t="s">
        <v>195</v>
      </c>
      <c r="M142" s="3"/>
      <c r="N142" s="356" cm="1">
        <f t="array" ref="N142">_xlfn.IFS(I142="AEX",H142/400,I142="RP",H142/200)</f>
        <v>581.28499999999997</v>
      </c>
      <c r="O142" s="3">
        <v>709</v>
      </c>
      <c r="P142" s="75">
        <f t="shared" si="17"/>
        <v>163.9732016925247</v>
      </c>
      <c r="Q142" s="3" t="str" cm="1">
        <f t="array" ref="Q142">_xlfn.IFS(P142&lt;200, "10", P142&lt;400, "12", P142&lt;600, "14", P142&gt;600, "16")</f>
        <v>10</v>
      </c>
      <c r="R142" s="75">
        <f>IF(I142="AEX",H142*0.3/400,H142*0.3/200)</f>
        <v>174.38549999999998</v>
      </c>
      <c r="S142" s="75">
        <f t="shared" si="18"/>
        <v>0.24595980253878699</v>
      </c>
      <c r="T142" s="76">
        <v>32839</v>
      </c>
      <c r="U142" s="306">
        <f t="shared" si="19"/>
        <v>28.246901261859502</v>
      </c>
      <c r="V142" s="76">
        <v>298.43</v>
      </c>
      <c r="X142" s="2"/>
    </row>
    <row r="143" spans="1:30" ht="16.5" customHeight="1" x14ac:dyDescent="0.35">
      <c r="A143" s="351">
        <v>45932</v>
      </c>
      <c r="B143" s="76" t="s">
        <v>383</v>
      </c>
      <c r="C143" s="71" t="s">
        <v>104</v>
      </c>
      <c r="D143" s="3"/>
      <c r="E143" s="3" t="s">
        <v>87</v>
      </c>
      <c r="F143" s="3" t="s">
        <v>87</v>
      </c>
      <c r="H143" s="76">
        <v>11200</v>
      </c>
      <c r="I143" s="3" t="s">
        <v>88</v>
      </c>
      <c r="J143" s="3" t="s">
        <v>90</v>
      </c>
      <c r="M143" s="3"/>
      <c r="N143" s="356" cm="1">
        <f t="array" ref="N143">_xlfn.IFS(I143="AEX",H143/400,I143="RP",H143/200)</f>
        <v>28</v>
      </c>
      <c r="O143" s="3">
        <v>63.8</v>
      </c>
      <c r="P143" s="75">
        <f t="shared" si="17"/>
        <v>175.5485893416928</v>
      </c>
      <c r="Q143" s="3" t="str" cm="1">
        <f t="array" ref="Q143">_xlfn.IFS(P143&lt;200, "10", P143&lt;400, "12", P143&lt;600, "14", P143&gt;600, "16")</f>
        <v>10</v>
      </c>
      <c r="R143" s="75">
        <f>IF(I143="AEX",H143*0.3/400,H143*0.3/200)</f>
        <v>8.4</v>
      </c>
      <c r="S143" s="75">
        <f t="shared" si="18"/>
        <v>0.13166144200626961</v>
      </c>
      <c r="T143" s="76">
        <v>4756</v>
      </c>
      <c r="U143" s="306">
        <f t="shared" si="19"/>
        <v>42.464285714285715</v>
      </c>
      <c r="V143" s="76">
        <v>72.86</v>
      </c>
      <c r="W143" s="3" t="s">
        <v>91</v>
      </c>
      <c r="X143" s="2">
        <v>45932</v>
      </c>
      <c r="Y143" s="3" t="s">
        <v>95</v>
      </c>
      <c r="Z143" s="3" t="s">
        <v>87</v>
      </c>
      <c r="AA143" s="76">
        <v>4807.83</v>
      </c>
      <c r="AB143" s="76">
        <v>161.52000000000001</v>
      </c>
    </row>
    <row r="144" spans="1:30" ht="16.5" customHeight="1" x14ac:dyDescent="0.35">
      <c r="A144" s="351">
        <v>45932</v>
      </c>
      <c r="B144" s="76" t="s">
        <v>385</v>
      </c>
      <c r="C144" s="71" t="s">
        <v>321</v>
      </c>
      <c r="D144" s="3"/>
      <c r="E144" s="3" t="s">
        <v>87</v>
      </c>
      <c r="F144" s="3" t="s">
        <v>87</v>
      </c>
      <c r="H144" s="76">
        <v>16670</v>
      </c>
      <c r="I144" s="2" t="s">
        <v>88</v>
      </c>
      <c r="J144" s="3" t="s">
        <v>89</v>
      </c>
      <c r="M144" s="3"/>
      <c r="N144" s="356" cm="1">
        <f t="array" ref="N144">_xlfn.IFS(I144="AEX",H144/400,I144="RP",H144/200)</f>
        <v>41.674999999999997</v>
      </c>
      <c r="O144" s="3">
        <v>64.7</v>
      </c>
      <c r="P144" s="75">
        <f t="shared" si="17"/>
        <v>257.65069551777435</v>
      </c>
      <c r="Q144" s="3">
        <v>14</v>
      </c>
      <c r="R144" s="75">
        <f>IF(I144="AEX",H144*0.3/400,H144*0.3/200)</f>
        <v>12.5025</v>
      </c>
      <c r="S144" s="75">
        <f t="shared" si="18"/>
        <v>0.19323802163833073</v>
      </c>
      <c r="T144" s="76">
        <v>2400</v>
      </c>
      <c r="U144" s="306">
        <f t="shared" si="19"/>
        <v>14.397120575884822</v>
      </c>
      <c r="X144" s="2"/>
      <c r="AD144" s="47" t="s">
        <v>388</v>
      </c>
    </row>
    <row r="145" spans="1:30" ht="18" customHeight="1" x14ac:dyDescent="0.35">
      <c r="A145" s="351">
        <v>45932</v>
      </c>
      <c r="B145" s="76" t="s">
        <v>387</v>
      </c>
      <c r="C145" s="71" t="s">
        <v>104</v>
      </c>
      <c r="D145" s="3"/>
      <c r="E145" s="3" t="s">
        <v>86</v>
      </c>
      <c r="F145" s="3" t="s">
        <v>87</v>
      </c>
      <c r="H145" s="76">
        <v>51</v>
      </c>
      <c r="I145" s="2" t="s">
        <v>88</v>
      </c>
      <c r="J145" s="3" t="s">
        <v>90</v>
      </c>
      <c r="M145" s="3"/>
      <c r="N145" s="356" cm="1">
        <f t="array" ref="N145">_xlfn.IFS(I145="AEX",H145/400,I145="RP",H145/200)</f>
        <v>0.1275</v>
      </c>
      <c r="O145" s="3">
        <v>3</v>
      </c>
      <c r="P145" s="75">
        <f t="shared" si="17"/>
        <v>17</v>
      </c>
      <c r="Q145" s="3">
        <v>10</v>
      </c>
      <c r="R145" s="75">
        <v>1</v>
      </c>
      <c r="S145" s="75">
        <f t="shared" si="18"/>
        <v>0.33333333333333331</v>
      </c>
      <c r="U145" s="306">
        <f t="shared" si="19"/>
        <v>0</v>
      </c>
      <c r="X145" s="2"/>
    </row>
    <row r="146" spans="1:30" ht="16.5" customHeight="1" x14ac:dyDescent="0.35">
      <c r="A146" s="351">
        <v>45932</v>
      </c>
      <c r="B146" s="76" t="s">
        <v>376</v>
      </c>
      <c r="C146" s="71" t="s">
        <v>321</v>
      </c>
      <c r="D146" s="3"/>
      <c r="E146" s="3" t="s">
        <v>87</v>
      </c>
      <c r="F146" s="3" t="s">
        <v>87</v>
      </c>
      <c r="H146" s="76">
        <v>150</v>
      </c>
      <c r="I146" s="3" t="s">
        <v>70</v>
      </c>
      <c r="J146" s="3" t="s">
        <v>377</v>
      </c>
      <c r="M146" s="3"/>
      <c r="N146" s="356" cm="1">
        <f t="array" ref="N146">_xlfn.IFS(I146="AEX",H146/400,I146="RP",H146/200)</f>
        <v>0.75</v>
      </c>
      <c r="O146" s="3">
        <v>89.9</v>
      </c>
      <c r="P146" s="75">
        <f t="shared" si="17"/>
        <v>1.6685205784204671</v>
      </c>
      <c r="Q146" s="3" t="str" cm="1">
        <f t="array" ref="Q146">_xlfn.IFS(P146&lt;200, "10", P146&lt;400, "12", P146&lt;600, "14", P146&gt;600, "16")</f>
        <v>10</v>
      </c>
      <c r="R146" s="75">
        <v>1</v>
      </c>
      <c r="S146" s="75">
        <f t="shared" si="18"/>
        <v>1.1123470522803113E-2</v>
      </c>
      <c r="U146" s="306">
        <f t="shared" si="19"/>
        <v>0</v>
      </c>
      <c r="X146" s="2"/>
    </row>
    <row r="147" spans="1:30" ht="16.5" customHeight="1" x14ac:dyDescent="0.35">
      <c r="A147" s="351">
        <v>45933</v>
      </c>
      <c r="B147" s="76" t="s">
        <v>375</v>
      </c>
      <c r="C147" s="71" t="s">
        <v>104</v>
      </c>
      <c r="D147" s="3"/>
      <c r="E147" s="3" t="s">
        <v>86</v>
      </c>
      <c r="F147" s="3">
        <v>0.01</v>
      </c>
      <c r="H147" s="76">
        <v>33000</v>
      </c>
      <c r="I147" s="3" t="s">
        <v>88</v>
      </c>
      <c r="J147" s="3" t="s">
        <v>90</v>
      </c>
      <c r="M147" s="3"/>
      <c r="N147" s="356" cm="1">
        <f t="array" ref="N147">_xlfn.IFS(I147="AEX",H147/400,I147="RP",H147/200)</f>
        <v>82.5</v>
      </c>
      <c r="O147" s="3">
        <v>288</v>
      </c>
      <c r="P147" s="75">
        <f t="shared" si="17"/>
        <v>114.58333333333333</v>
      </c>
      <c r="Q147" s="3" t="str" cm="1">
        <f t="array" ref="Q147">_xlfn.IFS(P147&lt;200, "10", P147&lt;400, "12", P147&lt;600, "14", P147&gt;600, "16")</f>
        <v>10</v>
      </c>
      <c r="R147" s="75">
        <v>35</v>
      </c>
      <c r="S147" s="75">
        <f t="shared" si="18"/>
        <v>0.12152777777777778</v>
      </c>
      <c r="T147" s="76">
        <v>11715</v>
      </c>
      <c r="U147" s="306">
        <f t="shared" si="19"/>
        <v>35.5</v>
      </c>
      <c r="V147" s="76">
        <v>172.3</v>
      </c>
      <c r="W147" s="3" t="s">
        <v>87</v>
      </c>
      <c r="X147" s="2">
        <v>45933</v>
      </c>
      <c r="Y147" s="3" t="s">
        <v>95</v>
      </c>
      <c r="Z147" s="3" t="s">
        <v>87</v>
      </c>
    </row>
    <row r="148" spans="1:30" ht="16.5" customHeight="1" x14ac:dyDescent="0.35">
      <c r="A148" s="351">
        <v>45933</v>
      </c>
      <c r="B148" s="76" t="s">
        <v>381</v>
      </c>
      <c r="C148" s="71" t="s">
        <v>104</v>
      </c>
      <c r="D148" s="3"/>
      <c r="E148" s="3" t="s">
        <v>86</v>
      </c>
      <c r="F148" s="3" t="s">
        <v>87</v>
      </c>
      <c r="H148" s="76">
        <v>11700</v>
      </c>
      <c r="I148" s="3" t="s">
        <v>88</v>
      </c>
      <c r="J148" s="3" t="s">
        <v>90</v>
      </c>
      <c r="M148" s="3"/>
      <c r="N148" s="356" cm="1">
        <f t="array" ref="N148">_xlfn.IFS(I148="AEX",H148/400,I148="RP",H148/200)</f>
        <v>29.25</v>
      </c>
      <c r="O148" s="3">
        <v>63.8</v>
      </c>
      <c r="P148" s="75">
        <f t="shared" si="17"/>
        <v>183.38557993730407</v>
      </c>
      <c r="Q148" s="3" t="str" cm="1">
        <f t="array" ref="Q148">_xlfn.IFS(P148&lt;200, "10", P148&lt;400, "12", P148&lt;600, "14", P148&gt;600, "16")</f>
        <v>10</v>
      </c>
      <c r="R148" s="75">
        <f t="shared" ref="R148:R153" si="21">IF(I148="AEX",H148*0.3/400,H148*0.3/200)</f>
        <v>8.7750000000000004</v>
      </c>
      <c r="S148" s="75">
        <f t="shared" si="18"/>
        <v>0.13753918495297807</v>
      </c>
      <c r="U148" s="306">
        <f t="shared" si="19"/>
        <v>0</v>
      </c>
      <c r="W148" s="3" t="s">
        <v>91</v>
      </c>
      <c r="X148" s="2">
        <v>45933</v>
      </c>
      <c r="Y148" s="3" t="s">
        <v>97</v>
      </c>
      <c r="Z148" s="3" t="s">
        <v>87</v>
      </c>
    </row>
    <row r="149" spans="1:30" ht="16.5" customHeight="1" x14ac:dyDescent="0.35">
      <c r="A149" s="351">
        <v>45936</v>
      </c>
      <c r="B149" s="76" t="s">
        <v>367</v>
      </c>
      <c r="C149" s="71" t="s">
        <v>104</v>
      </c>
      <c r="D149" s="3"/>
      <c r="E149" s="3" t="s">
        <v>87</v>
      </c>
      <c r="F149" s="3" t="s">
        <v>87</v>
      </c>
      <c r="H149" s="76">
        <v>9650</v>
      </c>
      <c r="I149" s="3" t="s">
        <v>88</v>
      </c>
      <c r="J149" s="3" t="s">
        <v>89</v>
      </c>
      <c r="M149" s="3"/>
      <c r="N149" s="356" cm="1">
        <f t="array" ref="N149">_xlfn.IFS(I149="AEX",H149/400,I149="RP",H149/200)</f>
        <v>24.125</v>
      </c>
      <c r="O149" s="3">
        <v>64.7</v>
      </c>
      <c r="P149" s="75">
        <f t="shared" si="17"/>
        <v>149.14992272024728</v>
      </c>
      <c r="Q149" s="3" t="str" cm="1">
        <f t="array" ref="Q149">_xlfn.IFS(P149&lt;200, "10", P149&lt;400, "12", P149&lt;600, "14", P149&gt;600, "16")</f>
        <v>10</v>
      </c>
      <c r="R149" s="75">
        <f t="shared" si="21"/>
        <v>7.2374999999999998</v>
      </c>
      <c r="S149" s="75">
        <f t="shared" si="18"/>
        <v>0.11186244204018546</v>
      </c>
      <c r="T149" s="76">
        <v>5699.93</v>
      </c>
      <c r="U149" s="306">
        <f t="shared" si="19"/>
        <v>59.066632124352338</v>
      </c>
      <c r="V149" s="76">
        <v>111.24</v>
      </c>
      <c r="W149" s="3" t="s">
        <v>91</v>
      </c>
      <c r="X149" s="2">
        <v>45936</v>
      </c>
      <c r="Y149" s="3" t="s">
        <v>97</v>
      </c>
      <c r="Z149" s="3" t="s">
        <v>87</v>
      </c>
      <c r="AA149" s="76">
        <v>5603</v>
      </c>
      <c r="AB149" s="76">
        <v>172.4</v>
      </c>
    </row>
    <row r="150" spans="1:30" ht="16.5" customHeight="1" x14ac:dyDescent="0.35">
      <c r="A150" s="351">
        <v>45936</v>
      </c>
      <c r="B150" s="76" t="s">
        <v>366</v>
      </c>
      <c r="C150" s="71" t="s">
        <v>104</v>
      </c>
      <c r="D150" s="3"/>
      <c r="E150" s="3" t="s">
        <v>87</v>
      </c>
      <c r="F150" s="3" t="s">
        <v>87</v>
      </c>
      <c r="H150" s="76">
        <v>6432</v>
      </c>
      <c r="I150" s="3" t="s">
        <v>88</v>
      </c>
      <c r="J150" s="3" t="s">
        <v>90</v>
      </c>
      <c r="M150" s="3"/>
      <c r="N150" s="356" cm="1">
        <f t="array" ref="N150">_xlfn.IFS(I150="AEX",H150/400,I150="RP",H150/200)</f>
        <v>16.079999999999998</v>
      </c>
      <c r="O150" s="3">
        <v>23.5</v>
      </c>
      <c r="P150" s="75">
        <f t="shared" si="17"/>
        <v>273.70212765957444</v>
      </c>
      <c r="Q150" s="3" t="str" cm="1">
        <f t="array" ref="Q150">_xlfn.IFS(P150&lt;200, "10", P150&lt;400, "12", P150&lt;600, "14", P150&gt;600, "16")</f>
        <v>12</v>
      </c>
      <c r="R150" s="75">
        <f t="shared" si="21"/>
        <v>4.8239999999999998</v>
      </c>
      <c r="S150" s="75">
        <f t="shared" si="18"/>
        <v>0.20527659574468085</v>
      </c>
      <c r="T150" s="76">
        <v>4012.54</v>
      </c>
      <c r="U150" s="306">
        <f t="shared" si="19"/>
        <v>62.384017412935322</v>
      </c>
      <c r="V150" s="76">
        <v>69.650000000000006</v>
      </c>
      <c r="W150" s="3" t="s">
        <v>91</v>
      </c>
      <c r="X150" s="2">
        <v>45936</v>
      </c>
      <c r="Y150" s="3" t="s">
        <v>97</v>
      </c>
      <c r="Z150" s="3" t="s">
        <v>87</v>
      </c>
      <c r="AA150" s="76">
        <v>3817.94</v>
      </c>
      <c r="AB150" s="76">
        <v>122.37</v>
      </c>
    </row>
    <row r="151" spans="1:30" ht="16.5" customHeight="1" x14ac:dyDescent="0.35">
      <c r="A151" s="351">
        <v>45936</v>
      </c>
      <c r="B151" s="76" t="s">
        <v>382</v>
      </c>
      <c r="C151" s="71" t="s">
        <v>104</v>
      </c>
      <c r="D151" s="3"/>
      <c r="E151" s="3" t="s">
        <v>87</v>
      </c>
      <c r="F151" s="3" t="s">
        <v>87</v>
      </c>
      <c r="H151" s="76">
        <v>11900</v>
      </c>
      <c r="I151" s="3" t="s">
        <v>88</v>
      </c>
      <c r="J151" s="3" t="s">
        <v>90</v>
      </c>
      <c r="M151" s="3"/>
      <c r="N151" s="356" cm="1">
        <f t="array" ref="N151">_xlfn.IFS(I151="AEX",H151/400,I151="RP",H151/200)</f>
        <v>29.75</v>
      </c>
      <c r="O151" s="3">
        <v>63.8</v>
      </c>
      <c r="P151" s="75">
        <f t="shared" si="17"/>
        <v>186.52037617554859</v>
      </c>
      <c r="Q151" s="3" t="str" cm="1">
        <f t="array" ref="Q151">_xlfn.IFS(P151&lt;200, "10", P151&lt;400, "12", P151&lt;600, "14", P151&gt;600, "16")</f>
        <v>10</v>
      </c>
      <c r="R151" s="75">
        <f t="shared" si="21"/>
        <v>8.9250000000000007</v>
      </c>
      <c r="S151" s="75">
        <f t="shared" si="18"/>
        <v>0.13989028213166146</v>
      </c>
      <c r="T151" s="76">
        <v>6453.35</v>
      </c>
      <c r="U151" s="306">
        <f t="shared" si="19"/>
        <v>54.229831932773109</v>
      </c>
      <c r="V151" s="76">
        <v>99.99</v>
      </c>
      <c r="W151" s="3" t="s">
        <v>91</v>
      </c>
      <c r="X151" s="2">
        <v>45936</v>
      </c>
      <c r="Y151" s="3" t="s">
        <v>97</v>
      </c>
      <c r="Z151" s="3" t="s">
        <v>87</v>
      </c>
      <c r="AA151" s="76">
        <v>5843.1616000000004</v>
      </c>
      <c r="AB151" s="76">
        <v>160.88</v>
      </c>
    </row>
    <row r="152" spans="1:30" ht="16.5" customHeight="1" x14ac:dyDescent="0.35">
      <c r="A152" s="351">
        <v>45936</v>
      </c>
      <c r="B152" s="76" t="s">
        <v>392</v>
      </c>
      <c r="C152" s="71" t="s">
        <v>104</v>
      </c>
      <c r="D152" s="3"/>
      <c r="E152" s="3" t="s">
        <v>86</v>
      </c>
      <c r="F152" s="3" t="s">
        <v>87</v>
      </c>
      <c r="H152" s="76">
        <v>17800</v>
      </c>
      <c r="I152" s="2" t="s">
        <v>88</v>
      </c>
      <c r="J152" s="3" t="s">
        <v>89</v>
      </c>
      <c r="M152" s="3"/>
      <c r="N152" s="356" cm="1">
        <f t="array" ref="N152">_xlfn.IFS(I152="AEX",H152/400,I152="RP",H152/200)</f>
        <v>44.5</v>
      </c>
      <c r="O152" s="3">
        <v>64.7</v>
      </c>
      <c r="P152" s="75">
        <f t="shared" si="17"/>
        <v>275.1159196290572</v>
      </c>
      <c r="Q152" s="3" t="str" cm="1">
        <f t="array" ref="Q152">_xlfn.IFS(P152&lt;200, "10", P152&lt;400, "12", P152&lt;600, "14", P152&gt;600, "16")</f>
        <v>12</v>
      </c>
      <c r="R152" s="75">
        <f t="shared" si="21"/>
        <v>13.35</v>
      </c>
      <c r="S152" s="75">
        <f t="shared" si="18"/>
        <v>0.20633693972179287</v>
      </c>
      <c r="T152" s="76">
        <v>4000</v>
      </c>
      <c r="U152" s="306">
        <f t="shared" si="19"/>
        <v>22.471910112359549</v>
      </c>
      <c r="W152" s="3" t="s">
        <v>91</v>
      </c>
      <c r="X152" s="2">
        <v>45936</v>
      </c>
      <c r="Y152" s="3" t="s">
        <v>95</v>
      </c>
      <c r="Z152" s="3" t="s">
        <v>87</v>
      </c>
      <c r="AA152" s="76">
        <v>6645.3459999999995</v>
      </c>
      <c r="AB152" s="76">
        <v>170.99</v>
      </c>
      <c r="AD152" s="47" t="s">
        <v>393</v>
      </c>
    </row>
    <row r="153" spans="1:30" ht="16.5" customHeight="1" x14ac:dyDescent="0.35">
      <c r="A153" s="351">
        <v>45937</v>
      </c>
      <c r="B153" s="76" t="s">
        <v>440</v>
      </c>
      <c r="C153" s="71" t="s">
        <v>104</v>
      </c>
      <c r="D153" s="3"/>
      <c r="E153" s="3" t="s">
        <v>86</v>
      </c>
      <c r="F153" s="3">
        <v>0.01</v>
      </c>
      <c r="H153" s="76">
        <v>95949</v>
      </c>
      <c r="I153" s="2" t="s">
        <v>70</v>
      </c>
      <c r="J153" s="3" t="s">
        <v>195</v>
      </c>
      <c r="M153" s="3"/>
      <c r="N153" s="356" cm="1">
        <f t="array" ref="N153">_xlfn.IFS(I153="AEX",H153/400,I153="RP",H153/200)</f>
        <v>479.745</v>
      </c>
      <c r="O153" s="3">
        <v>709</v>
      </c>
      <c r="P153" s="75">
        <f t="shared" si="17"/>
        <v>135.33004231311708</v>
      </c>
      <c r="Q153" s="3" t="str" cm="1">
        <f t="array" ref="Q153">_xlfn.IFS(P153&lt;200, "10", P153&lt;400, "12", P153&lt;600, "14", P153&gt;600, "16")</f>
        <v>10</v>
      </c>
      <c r="R153" s="75">
        <f t="shared" si="21"/>
        <v>143.92349999999999</v>
      </c>
      <c r="S153" s="75">
        <f t="shared" si="18"/>
        <v>0.20299506346967558</v>
      </c>
      <c r="T153" s="76">
        <v>33394</v>
      </c>
      <c r="U153" s="306">
        <f t="shared" si="19"/>
        <v>34.803906241857653</v>
      </c>
      <c r="V153" s="76">
        <v>342.51</v>
      </c>
      <c r="X153" s="2"/>
    </row>
    <row r="154" spans="1:30" ht="18" customHeight="1" x14ac:dyDescent="0.35">
      <c r="A154" s="351">
        <v>45937</v>
      </c>
      <c r="B154" s="76" t="s">
        <v>395</v>
      </c>
      <c r="C154" s="71" t="s">
        <v>104</v>
      </c>
      <c r="D154" s="3"/>
      <c r="E154" s="3" t="s">
        <v>86</v>
      </c>
      <c r="F154" s="3" t="s">
        <v>87</v>
      </c>
      <c r="H154" s="76">
        <v>55</v>
      </c>
      <c r="I154" s="2" t="s">
        <v>88</v>
      </c>
      <c r="J154" s="3" t="s">
        <v>90</v>
      </c>
      <c r="M154" s="3"/>
      <c r="N154" s="356" cm="1">
        <f t="array" ref="N154">_xlfn.IFS(I154="AEX",H154/400,I154="RP",H154/200)</f>
        <v>0.13750000000000001</v>
      </c>
      <c r="O154" s="3">
        <v>3</v>
      </c>
      <c r="P154" s="75">
        <f t="shared" si="17"/>
        <v>18.333333333333332</v>
      </c>
      <c r="Q154" s="3">
        <v>10</v>
      </c>
      <c r="R154" s="75">
        <v>1</v>
      </c>
      <c r="S154" s="75">
        <f t="shared" si="18"/>
        <v>0.33333333333333331</v>
      </c>
      <c r="U154" s="306">
        <f t="shared" si="19"/>
        <v>0</v>
      </c>
      <c r="X154" s="2"/>
    </row>
    <row r="155" spans="1:30" ht="16.5" customHeight="1" x14ac:dyDescent="0.35">
      <c r="A155" s="351">
        <v>45937</v>
      </c>
      <c r="B155" s="76" t="s">
        <v>396</v>
      </c>
      <c r="C155" s="71" t="s">
        <v>104</v>
      </c>
      <c r="D155" s="3"/>
      <c r="E155" s="3" t="s">
        <v>86</v>
      </c>
      <c r="F155" s="3" t="s">
        <v>87</v>
      </c>
      <c r="H155" s="76">
        <v>10560</v>
      </c>
      <c r="I155" s="3" t="s">
        <v>88</v>
      </c>
      <c r="J155" s="3" t="s">
        <v>89</v>
      </c>
      <c r="M155" s="3"/>
      <c r="N155" s="356" cm="1">
        <f t="array" ref="N155">_xlfn.IFS(I155="AEX",H155/400,I155="RP",H155/200)</f>
        <v>26.4</v>
      </c>
      <c r="O155" s="3">
        <v>64.7</v>
      </c>
      <c r="P155" s="75">
        <f t="shared" si="17"/>
        <v>163.21483771251931</v>
      </c>
      <c r="Q155" s="3" t="str" cm="1">
        <f t="array" ref="Q155">_xlfn.IFS(P155&lt;200, "10", P155&lt;400, "12", P155&lt;600, "14", P155&gt;600, "16")</f>
        <v>10</v>
      </c>
      <c r="R155" s="75">
        <f>IF(I155="AEX",H155*0.3/400,H155*0.3/200)</f>
        <v>7.92</v>
      </c>
      <c r="S155" s="75">
        <f t="shared" si="18"/>
        <v>0.12241112828438948</v>
      </c>
      <c r="T155" s="76">
        <v>6341</v>
      </c>
      <c r="U155" s="306">
        <f t="shared" si="19"/>
        <v>60.047348484848484</v>
      </c>
      <c r="V155" s="76">
        <v>119.08</v>
      </c>
      <c r="W155" s="3" t="s">
        <v>91</v>
      </c>
      <c r="X155" s="2">
        <v>45938</v>
      </c>
      <c r="Y155" s="3" t="s">
        <v>97</v>
      </c>
      <c r="Z155" s="3" t="s">
        <v>87</v>
      </c>
      <c r="AA155" s="76">
        <v>5769.8474999999999</v>
      </c>
      <c r="AB155" s="76">
        <v>178.91</v>
      </c>
    </row>
    <row r="156" spans="1:30" ht="16.5" customHeight="1" x14ac:dyDescent="0.35">
      <c r="A156" s="351">
        <v>45938</v>
      </c>
      <c r="B156" s="76" t="s">
        <v>441</v>
      </c>
      <c r="C156" s="71" t="s">
        <v>104</v>
      </c>
      <c r="D156" s="3"/>
      <c r="E156" s="3" t="s">
        <v>86</v>
      </c>
      <c r="F156" s="3">
        <v>0.01</v>
      </c>
      <c r="H156" s="76">
        <v>33394</v>
      </c>
      <c r="I156" s="3" t="s">
        <v>88</v>
      </c>
      <c r="J156" s="3" t="s">
        <v>89</v>
      </c>
      <c r="M156" s="3"/>
      <c r="N156" s="356" cm="1">
        <f t="array" ref="N156">_xlfn.IFS(I156="AEX",H156/400,I156="RP",H156/200)</f>
        <v>83.484999999999999</v>
      </c>
      <c r="O156" s="3">
        <v>288</v>
      </c>
      <c r="P156" s="75">
        <f t="shared" si="17"/>
        <v>115.95138888888889</v>
      </c>
      <c r="Q156" s="3" t="str" cm="1">
        <f t="array" ref="Q156">_xlfn.IFS(P156&lt;200, "10", P156&lt;400, "12", P156&lt;600, "14", P156&gt;600, "16")</f>
        <v>10</v>
      </c>
      <c r="R156" s="75">
        <f>IF(I156="AEX",H156*0.3/400,H156*0.3/200)</f>
        <v>25.045499999999997</v>
      </c>
      <c r="S156" s="75">
        <f t="shared" si="18"/>
        <v>8.6963541666666658E-2</v>
      </c>
      <c r="T156" s="76">
        <v>12478</v>
      </c>
      <c r="U156" s="306">
        <f t="shared" si="19"/>
        <v>37.365993891118165</v>
      </c>
      <c r="V156" s="76">
        <v>173.1</v>
      </c>
      <c r="W156" s="3" t="s">
        <v>91</v>
      </c>
      <c r="X156" s="2">
        <v>45938</v>
      </c>
      <c r="Y156" s="3" t="s">
        <v>95</v>
      </c>
      <c r="Z156" s="3" t="s">
        <v>87</v>
      </c>
      <c r="AA156" s="76">
        <v>12457.715</v>
      </c>
      <c r="AB156" s="76">
        <v>216.51</v>
      </c>
    </row>
    <row r="157" spans="1:30" ht="16.5" customHeight="1" x14ac:dyDescent="0.35">
      <c r="A157" s="351">
        <v>45938</v>
      </c>
      <c r="B157" s="76" t="s">
        <v>397</v>
      </c>
      <c r="C157" s="71" t="s">
        <v>104</v>
      </c>
      <c r="D157" s="3"/>
      <c r="E157" s="3" t="s">
        <v>86</v>
      </c>
      <c r="F157" s="3" t="s">
        <v>87</v>
      </c>
      <c r="G157" s="3" t="s">
        <v>640</v>
      </c>
      <c r="H157" s="76">
        <v>400</v>
      </c>
      <c r="I157" s="3" t="s">
        <v>70</v>
      </c>
      <c r="J157" s="3" t="s">
        <v>209</v>
      </c>
      <c r="K157" s="3" t="s">
        <v>645</v>
      </c>
      <c r="L157" s="326" t="s">
        <v>459</v>
      </c>
      <c r="M157" s="3"/>
      <c r="N157" s="356" cm="1">
        <f t="array" ref="N157">_xlfn.IFS(I157="AEX",H157/400,I157="RP",H157/200)</f>
        <v>2</v>
      </c>
      <c r="O157" s="3">
        <v>22</v>
      </c>
      <c r="P157" s="75">
        <f t="shared" si="17"/>
        <v>18.181818181818183</v>
      </c>
      <c r="Q157" s="3" t="str" cm="1">
        <f t="array" ref="Q157">_xlfn.IFS(P157&lt;200, "10", P157&lt;400, "12", P157&lt;600, "14", P157&gt;600, "16")</f>
        <v>10</v>
      </c>
      <c r="R157" s="75">
        <f>IF(I157="AEX",H157*0.3/400,H157*0.3/200)</f>
        <v>0.6</v>
      </c>
      <c r="S157" s="75">
        <f t="shared" si="18"/>
        <v>2.7272727272727271E-2</v>
      </c>
      <c r="T157" s="76">
        <v>105</v>
      </c>
      <c r="U157" s="306">
        <f t="shared" si="19"/>
        <v>26.25</v>
      </c>
      <c r="X157" s="2"/>
      <c r="Y157" s="3" t="s">
        <v>172</v>
      </c>
      <c r="AD157" s="47" t="s">
        <v>678</v>
      </c>
    </row>
    <row r="158" spans="1:30" ht="16.5" customHeight="1" x14ac:dyDescent="0.35">
      <c r="A158" s="351">
        <v>45938</v>
      </c>
      <c r="B158" s="76" t="s">
        <v>391</v>
      </c>
      <c r="C158" s="71" t="s">
        <v>104</v>
      </c>
      <c r="D158" s="3"/>
      <c r="E158" s="3" t="s">
        <v>86</v>
      </c>
      <c r="F158" s="3" t="s">
        <v>87</v>
      </c>
      <c r="H158" s="76">
        <v>21910</v>
      </c>
      <c r="I158" s="3" t="s">
        <v>88</v>
      </c>
      <c r="J158" s="3" t="s">
        <v>89</v>
      </c>
      <c r="M158" s="3"/>
      <c r="N158" s="356" cm="1">
        <f t="array" ref="N158">_xlfn.IFS(I158="AEX",H158/400,I158="RP",H158/200)</f>
        <v>54.774999999999999</v>
      </c>
      <c r="O158" s="3">
        <v>64.7</v>
      </c>
      <c r="P158" s="75">
        <f t="shared" si="17"/>
        <v>338.63987635239567</v>
      </c>
      <c r="Q158" s="3" t="str" cm="1">
        <f t="array" ref="Q158">_xlfn.IFS(P158&lt;200, "10", P158&lt;400, "12", P158&lt;600, "14", P158&gt;600, "16")</f>
        <v>12</v>
      </c>
      <c r="R158" s="75">
        <v>14</v>
      </c>
      <c r="S158" s="75">
        <f t="shared" si="18"/>
        <v>0.21638330757341576</v>
      </c>
      <c r="T158" s="76">
        <v>3321</v>
      </c>
      <c r="U158" s="306">
        <f t="shared" si="19"/>
        <v>15.157462345960749</v>
      </c>
      <c r="V158" s="76">
        <v>69.38</v>
      </c>
      <c r="W158" s="3" t="s">
        <v>91</v>
      </c>
      <c r="X158" s="2">
        <v>45938</v>
      </c>
      <c r="Y158" s="3" t="s">
        <v>97</v>
      </c>
      <c r="Z158" s="3" t="s">
        <v>87</v>
      </c>
      <c r="AA158" s="76">
        <v>3116.4</v>
      </c>
      <c r="AB158" s="76">
        <v>129.85</v>
      </c>
    </row>
    <row r="159" spans="1:30" ht="16" customHeight="1" x14ac:dyDescent="0.35">
      <c r="A159" s="351">
        <v>45938</v>
      </c>
      <c r="B159" s="76" t="s">
        <v>398</v>
      </c>
      <c r="C159" s="71" t="s">
        <v>104</v>
      </c>
      <c r="D159" s="3"/>
      <c r="E159" s="3" t="s">
        <v>86</v>
      </c>
      <c r="F159" s="3" t="s">
        <v>87</v>
      </c>
      <c r="H159" s="76">
        <v>19838</v>
      </c>
      <c r="I159" s="3" t="s">
        <v>88</v>
      </c>
      <c r="J159" s="3" t="s">
        <v>90</v>
      </c>
      <c r="M159" s="3"/>
      <c r="N159" s="356" cm="1">
        <f t="array" ref="N159">_xlfn.IFS(I159="AEX",H159/400,I159="RP",H159/200)</f>
        <v>49.594999999999999</v>
      </c>
      <c r="O159" s="3">
        <v>63.8</v>
      </c>
      <c r="P159" s="75">
        <f t="shared" si="17"/>
        <v>310.94043887147336</v>
      </c>
      <c r="Q159" s="3" t="str" cm="1">
        <f t="array" ref="Q159">_xlfn.IFS(P159&lt;200, "10", P159&lt;400, "12", P159&lt;600, "14", P159&gt;600, "16")</f>
        <v>12</v>
      </c>
      <c r="R159" s="75">
        <v>14</v>
      </c>
      <c r="S159" s="75">
        <f t="shared" si="18"/>
        <v>0.21943573667711599</v>
      </c>
      <c r="T159" s="76">
        <v>10476</v>
      </c>
      <c r="U159" s="306">
        <f t="shared" si="19"/>
        <v>52.807742715999595</v>
      </c>
      <c r="V159" s="76">
        <v>181.64</v>
      </c>
      <c r="W159" s="3" t="s">
        <v>91</v>
      </c>
      <c r="X159" s="2">
        <v>45938</v>
      </c>
      <c r="Y159" s="3" t="s">
        <v>97</v>
      </c>
      <c r="Z159" s="3" t="s">
        <v>87</v>
      </c>
      <c r="AA159" s="76">
        <v>9976.3510000000006</v>
      </c>
      <c r="AB159" s="76">
        <v>262.97000000000003</v>
      </c>
      <c r="AD159" s="47" t="s">
        <v>400</v>
      </c>
    </row>
    <row r="160" spans="1:30" ht="16.5" customHeight="1" x14ac:dyDescent="0.35">
      <c r="A160" s="351">
        <v>45939</v>
      </c>
      <c r="B160" s="76" t="s">
        <v>394</v>
      </c>
      <c r="C160" s="3" t="s">
        <v>104</v>
      </c>
      <c r="D160" s="3"/>
      <c r="E160" s="3" t="s">
        <v>87</v>
      </c>
      <c r="F160" s="3" t="s">
        <v>87</v>
      </c>
      <c r="H160" s="76">
        <v>17639</v>
      </c>
      <c r="I160" s="3" t="s">
        <v>88</v>
      </c>
      <c r="J160" s="3" t="s">
        <v>90</v>
      </c>
      <c r="M160" s="3"/>
      <c r="N160" s="356" cm="1">
        <f t="array" ref="N160">_xlfn.IFS(I160="AEX",H160/400,I160="RP",H160/200)</f>
        <v>44.097499999999997</v>
      </c>
      <c r="O160" s="3">
        <v>63.8</v>
      </c>
      <c r="P160" s="75">
        <f t="shared" si="17"/>
        <v>276.47335423197495</v>
      </c>
      <c r="Q160" s="3" t="str" cm="1">
        <f t="array" ref="Q160">_xlfn.IFS(P160&lt;200, "10", P160&lt;400, "12", P160&lt;600, "14", P160&gt;600, "16")</f>
        <v>12</v>
      </c>
      <c r="R160" s="75">
        <f>IF(I160="AEX",H160*0.3/400,H160*0.3/200)</f>
        <v>13.22925</v>
      </c>
      <c r="S160" s="75">
        <f t="shared" si="18"/>
        <v>0.20735501567398121</v>
      </c>
      <c r="T160" s="76">
        <v>9001</v>
      </c>
      <c r="U160" s="306">
        <f t="shared" si="19"/>
        <v>51.028969896252619</v>
      </c>
      <c r="V160" s="76">
        <v>142.72</v>
      </c>
      <c r="W160" s="3" t="s">
        <v>91</v>
      </c>
      <c r="X160" s="2">
        <v>45939</v>
      </c>
      <c r="Y160" s="3" t="s">
        <v>95</v>
      </c>
      <c r="Z160" s="3" t="s">
        <v>87</v>
      </c>
      <c r="AA160" s="76">
        <v>9525.66</v>
      </c>
      <c r="AB160" s="76">
        <v>184.2</v>
      </c>
    </row>
    <row r="161" spans="1:30" ht="16.5" customHeight="1" x14ac:dyDescent="0.35">
      <c r="A161" s="351">
        <v>45939</v>
      </c>
      <c r="B161" s="76" t="s">
        <v>399</v>
      </c>
      <c r="C161" s="3" t="s">
        <v>104</v>
      </c>
      <c r="D161" s="3"/>
      <c r="E161" s="3" t="s">
        <v>86</v>
      </c>
      <c r="F161" s="3" t="s">
        <v>87</v>
      </c>
      <c r="H161" s="76">
        <v>11829</v>
      </c>
      <c r="I161" s="3" t="s">
        <v>88</v>
      </c>
      <c r="J161" s="3" t="s">
        <v>90</v>
      </c>
      <c r="M161" s="3"/>
      <c r="N161" s="356" cm="1">
        <f t="array" ref="N161">_xlfn.IFS(I161="AEX",H161/400,I161="RP",H161/200)</f>
        <v>29.572500000000002</v>
      </c>
      <c r="O161" s="3">
        <v>63.8</v>
      </c>
      <c r="P161" s="75">
        <f t="shared" si="17"/>
        <v>185.4075235109718</v>
      </c>
      <c r="Q161" s="3" t="str" cm="1">
        <f t="array" ref="Q161">_xlfn.IFS(P161&lt;200, "10", P161&lt;400, "12", P161&lt;600, "14", P161&gt;600, "16")</f>
        <v>10</v>
      </c>
      <c r="R161" s="75">
        <f>IF(I161="AEX",H161*0.3/400,H161*0.3/200)</f>
        <v>8.8717499999999987</v>
      </c>
      <c r="S161" s="75">
        <f t="shared" si="18"/>
        <v>0.13905564263322884</v>
      </c>
      <c r="T161" s="76">
        <v>5629</v>
      </c>
      <c r="U161" s="306">
        <f t="shared" si="19"/>
        <v>47.586440104827119</v>
      </c>
      <c r="V161" s="76">
        <v>87.74</v>
      </c>
      <c r="W161" s="3" t="s">
        <v>91</v>
      </c>
      <c r="X161" s="2">
        <v>45939</v>
      </c>
      <c r="Y161" s="3" t="s">
        <v>95</v>
      </c>
      <c r="Z161" s="3" t="s">
        <v>87</v>
      </c>
      <c r="AA161" s="76">
        <v>5696.1360000000004</v>
      </c>
      <c r="AB161" s="76">
        <v>171.91</v>
      </c>
    </row>
    <row r="162" spans="1:30" ht="16.5" customHeight="1" x14ac:dyDescent="0.35">
      <c r="A162" s="351">
        <v>45940</v>
      </c>
      <c r="B162" s="76" t="s">
        <v>402</v>
      </c>
      <c r="C162" s="71" t="s">
        <v>104</v>
      </c>
      <c r="D162" s="3"/>
      <c r="E162" s="3" t="s">
        <v>87</v>
      </c>
      <c r="F162" s="3" t="s">
        <v>87</v>
      </c>
      <c r="H162" s="76">
        <v>3566</v>
      </c>
      <c r="I162" s="3" t="s">
        <v>88</v>
      </c>
      <c r="J162" s="3" t="s">
        <v>90</v>
      </c>
      <c r="M162" s="3"/>
      <c r="N162" s="356" cm="1">
        <f t="array" ref="N162">_xlfn.IFS(I162="AEX",H162/400,I162="RP",H162/200)</f>
        <v>8.9149999999999991</v>
      </c>
      <c r="O162" s="3">
        <v>23.5</v>
      </c>
      <c r="P162" s="75">
        <f t="shared" ref="P162:P164" si="22">H162/O162</f>
        <v>151.74468085106383</v>
      </c>
      <c r="Q162" s="3" t="str" cm="1">
        <f t="array" ref="Q162">_xlfn.IFS(P162&lt;200, "10", P162&lt;400, "12", P162&lt;600, "14", P162&gt;600, "16")</f>
        <v>10</v>
      </c>
      <c r="R162" s="75">
        <f>IF(I162="AEX",H162*0.3/400,H162*0.3/200)</f>
        <v>2.6745000000000001</v>
      </c>
      <c r="S162" s="75">
        <f t="shared" ref="S162:S164" si="23">R162/O162</f>
        <v>0.11380851063829787</v>
      </c>
      <c r="U162" s="306">
        <f t="shared" ref="U162:U193" si="24">T162/H162*100</f>
        <v>0</v>
      </c>
      <c r="W162" s="3" t="s">
        <v>87</v>
      </c>
      <c r="X162" s="2">
        <v>45940</v>
      </c>
      <c r="Y162" s="3" t="s">
        <v>172</v>
      </c>
      <c r="Z162" s="3" t="s">
        <v>87</v>
      </c>
    </row>
    <row r="163" spans="1:30" ht="16.5" customHeight="1" x14ac:dyDescent="0.35">
      <c r="A163" s="351">
        <v>45940</v>
      </c>
      <c r="B163" s="76" t="s">
        <v>280</v>
      </c>
      <c r="C163" s="71" t="s">
        <v>104</v>
      </c>
      <c r="D163" s="3"/>
      <c r="E163" s="3" t="s">
        <v>86</v>
      </c>
      <c r="F163" s="3" t="s">
        <v>87</v>
      </c>
      <c r="H163" s="76">
        <v>22000</v>
      </c>
      <c r="I163" s="3" t="s">
        <v>70</v>
      </c>
      <c r="J163" s="3" t="s">
        <v>195</v>
      </c>
      <c r="M163" s="3"/>
      <c r="N163" s="356" cm="1">
        <f t="array" ref="N163">_xlfn.IFS(I163="AEX",H163/400,I163="RP",H163/200)</f>
        <v>110</v>
      </c>
      <c r="O163" s="3">
        <v>178</v>
      </c>
      <c r="P163" s="75">
        <f t="shared" si="22"/>
        <v>123.59550561797752</v>
      </c>
      <c r="Q163" s="3" t="str" cm="1">
        <f t="array" ref="Q163">_xlfn.IFS(P163&lt;200, "10", P163&lt;400, "12", P163&lt;600, "14", P163&gt;600, "16")</f>
        <v>10</v>
      </c>
      <c r="R163" s="75">
        <f>IF(I163="AEX",H163*0.3/400,H163*0.3/200)</f>
        <v>33</v>
      </c>
      <c r="S163" s="75">
        <f t="shared" si="23"/>
        <v>0.1853932584269663</v>
      </c>
      <c r="T163" s="76">
        <v>13308</v>
      </c>
      <c r="U163" s="306">
        <f t="shared" si="24"/>
        <v>60.490909090909092</v>
      </c>
      <c r="V163" s="76">
        <v>300</v>
      </c>
      <c r="W163" s="3" t="s">
        <v>91</v>
      </c>
      <c r="X163" s="2">
        <v>45940</v>
      </c>
      <c r="Y163" s="3" t="s">
        <v>318</v>
      </c>
      <c r="Z163" s="3" t="s">
        <v>91</v>
      </c>
      <c r="AA163" s="76">
        <v>12976.05</v>
      </c>
      <c r="AB163" s="76">
        <v>205.04</v>
      </c>
      <c r="AD163" s="47" t="s">
        <v>411</v>
      </c>
    </row>
    <row r="164" spans="1:30" ht="16.5" customHeight="1" x14ac:dyDescent="0.35">
      <c r="A164" s="351">
        <v>45940</v>
      </c>
      <c r="B164" s="76" t="s">
        <v>403</v>
      </c>
      <c r="C164" s="71" t="s">
        <v>104</v>
      </c>
      <c r="D164" s="3"/>
      <c r="E164" s="3" t="s">
        <v>87</v>
      </c>
      <c r="F164" s="3" t="s">
        <v>87</v>
      </c>
      <c r="H164" s="76">
        <v>2000</v>
      </c>
      <c r="I164" s="3" t="s">
        <v>70</v>
      </c>
      <c r="J164" s="3" t="s">
        <v>209</v>
      </c>
      <c r="M164" s="3"/>
      <c r="N164" s="356" cm="1">
        <f t="array" ref="N164">_xlfn.IFS(I164="AEX",H164/400,I164="RP",H164/200)</f>
        <v>10</v>
      </c>
      <c r="O164" s="3">
        <v>22</v>
      </c>
      <c r="P164" s="75">
        <f t="shared" si="22"/>
        <v>90.909090909090907</v>
      </c>
      <c r="Q164" s="3" t="str" cm="1">
        <f t="array" ref="Q164">_xlfn.IFS(P164&lt;200, "10", P164&lt;400, "12", P164&lt;600, "14", P164&gt;600, "16")</f>
        <v>10</v>
      </c>
      <c r="R164" s="75">
        <f>IF(I164="AEX",H164*0.3/400,H164*0.3/200)</f>
        <v>3</v>
      </c>
      <c r="S164" s="75">
        <f t="shared" si="23"/>
        <v>0.13636363636363635</v>
      </c>
      <c r="T164" s="76">
        <v>1194</v>
      </c>
      <c r="U164" s="306">
        <f t="shared" si="24"/>
        <v>59.699999999999996</v>
      </c>
      <c r="V164" s="76">
        <v>12.8</v>
      </c>
      <c r="W164" s="3" t="s">
        <v>87</v>
      </c>
      <c r="X164" s="2">
        <v>45940</v>
      </c>
      <c r="Y164" s="3" t="s">
        <v>95</v>
      </c>
      <c r="Z164" s="3" t="s">
        <v>91</v>
      </c>
      <c r="AA164" s="76">
        <v>1086</v>
      </c>
      <c r="AB164" s="76">
        <v>140.5</v>
      </c>
      <c r="AD164" s="47" t="s">
        <v>404</v>
      </c>
    </row>
    <row r="165" spans="1:30" ht="16.5" customHeight="1" x14ac:dyDescent="0.35">
      <c r="A165" s="351">
        <v>45940</v>
      </c>
      <c r="B165" s="76" t="s">
        <v>409</v>
      </c>
      <c r="C165" s="71" t="s">
        <v>104</v>
      </c>
      <c r="D165" s="3"/>
      <c r="E165" s="3" t="s">
        <v>87</v>
      </c>
      <c r="F165" s="3" t="s">
        <v>87</v>
      </c>
      <c r="I165" s="3" t="s">
        <v>70</v>
      </c>
      <c r="J165" s="3" t="s">
        <v>209</v>
      </c>
      <c r="M165" s="3"/>
      <c r="P165" s="75"/>
      <c r="R165" s="75"/>
      <c r="S165" s="75"/>
      <c r="T165" s="76">
        <v>934</v>
      </c>
      <c r="U165" s="306" t="e">
        <f t="shared" si="24"/>
        <v>#DIV/0!</v>
      </c>
      <c r="V165" s="76">
        <v>13.48</v>
      </c>
      <c r="W165" s="3" t="s">
        <v>87</v>
      </c>
      <c r="X165" s="2">
        <v>45944</v>
      </c>
      <c r="Y165" s="3" t="s">
        <v>318</v>
      </c>
      <c r="Z165" s="3" t="s">
        <v>91</v>
      </c>
      <c r="AA165" s="76">
        <v>913.86</v>
      </c>
      <c r="AB165" s="76">
        <v>129</v>
      </c>
    </row>
    <row r="166" spans="1:30" ht="16.5" customHeight="1" x14ac:dyDescent="0.35">
      <c r="A166" s="351">
        <v>45943</v>
      </c>
      <c r="B166" s="76" t="s">
        <v>410</v>
      </c>
      <c r="C166" s="71" t="s">
        <v>104</v>
      </c>
      <c r="D166" s="3"/>
      <c r="E166" s="3" t="s">
        <v>87</v>
      </c>
      <c r="F166" s="3" t="s">
        <v>87</v>
      </c>
      <c r="H166" s="76">
        <v>2600</v>
      </c>
      <c r="I166" s="3" t="s">
        <v>70</v>
      </c>
      <c r="J166" s="3" t="s">
        <v>209</v>
      </c>
      <c r="M166" s="3"/>
      <c r="N166" s="356" cm="1">
        <f t="array" ref="N166">_xlfn.IFS(I166="AEX",H166/400,I166="RP",H166/200)</f>
        <v>13</v>
      </c>
      <c r="O166" s="3">
        <v>22</v>
      </c>
      <c r="P166" s="75">
        <f t="shared" ref="P166:P196" si="25">H166/O166</f>
        <v>118.18181818181819</v>
      </c>
      <c r="Q166" s="3" t="str" cm="1">
        <f t="array" ref="Q166">_xlfn.IFS(P166&lt;200, "10", P166&lt;400, "12", P166&lt;600, "14", P166&gt;600, "16")</f>
        <v>10</v>
      </c>
      <c r="R166" s="75">
        <f t="shared" ref="R166:R180" si="26">IF(I166="AEX",H166*0.3/400,H166*0.3/200)</f>
        <v>3.9</v>
      </c>
      <c r="S166" s="75">
        <f t="shared" ref="S166:S206" si="27">R166/O166</f>
        <v>0.17727272727272728</v>
      </c>
      <c r="U166" s="306">
        <f t="shared" si="24"/>
        <v>0</v>
      </c>
      <c r="W166" s="3" t="s">
        <v>87</v>
      </c>
      <c r="X166" s="2">
        <v>45943</v>
      </c>
      <c r="Y166" s="3" t="s">
        <v>94</v>
      </c>
      <c r="Z166" s="3" t="s">
        <v>91</v>
      </c>
    </row>
    <row r="167" spans="1:30" ht="16.5" customHeight="1" x14ac:dyDescent="0.35">
      <c r="A167" s="351">
        <v>45944</v>
      </c>
      <c r="B167" s="76" t="s">
        <v>412</v>
      </c>
      <c r="C167" s="71" t="s">
        <v>104</v>
      </c>
      <c r="D167" s="3"/>
      <c r="E167" s="3" t="s">
        <v>87</v>
      </c>
      <c r="F167" s="3" t="s">
        <v>87</v>
      </c>
      <c r="H167" s="76">
        <v>26868</v>
      </c>
      <c r="I167" s="3" t="s">
        <v>88</v>
      </c>
      <c r="J167" s="3" t="s">
        <v>89</v>
      </c>
      <c r="M167" s="3"/>
      <c r="N167" s="356" cm="1">
        <f t="array" ref="N167">_xlfn.IFS(I167="AEX",H167/400,I167="RP",H167/200)</f>
        <v>67.17</v>
      </c>
      <c r="O167" s="3">
        <v>288</v>
      </c>
      <c r="P167" s="75">
        <f t="shared" si="25"/>
        <v>93.291666666666671</v>
      </c>
      <c r="Q167" s="3" t="str" cm="1">
        <f t="array" ref="Q167">_xlfn.IFS(P167&lt;200, "10", P167&lt;400, "12", P167&lt;600, "14", P167&gt;600, "16")</f>
        <v>10</v>
      </c>
      <c r="R167" s="75">
        <f t="shared" si="26"/>
        <v>20.151</v>
      </c>
      <c r="S167" s="75">
        <f t="shared" si="27"/>
        <v>6.9968749999999996E-2</v>
      </c>
      <c r="T167" s="76">
        <v>10211</v>
      </c>
      <c r="U167" s="306">
        <f t="shared" si="24"/>
        <v>38.004317403602798</v>
      </c>
      <c r="V167" s="76">
        <v>219.08</v>
      </c>
      <c r="W167" s="3" t="s">
        <v>91</v>
      </c>
      <c r="X167" s="2">
        <v>45944</v>
      </c>
      <c r="Y167" s="3" t="s">
        <v>97</v>
      </c>
      <c r="Z167" s="3" t="s">
        <v>87</v>
      </c>
      <c r="AA167" s="76">
        <v>10250</v>
      </c>
      <c r="AB167" s="76">
        <v>318.83</v>
      </c>
    </row>
    <row r="168" spans="1:30" ht="16.5" customHeight="1" x14ac:dyDescent="0.35">
      <c r="A168" s="351">
        <v>45943</v>
      </c>
      <c r="B168" s="76" t="s">
        <v>401</v>
      </c>
      <c r="C168" s="3" t="s">
        <v>104</v>
      </c>
      <c r="D168" s="3"/>
      <c r="E168" s="3" t="s">
        <v>86</v>
      </c>
      <c r="F168" s="3">
        <v>0.01</v>
      </c>
      <c r="H168" s="76">
        <v>185122</v>
      </c>
      <c r="I168" s="3" t="s">
        <v>70</v>
      </c>
      <c r="J168" s="3" t="s">
        <v>195</v>
      </c>
      <c r="M168" s="3"/>
      <c r="N168" s="356" cm="1">
        <f t="array" ref="N168">_xlfn.IFS(I168="AEX",H168/400,I168="RP",H168/200)</f>
        <v>925.61</v>
      </c>
      <c r="O168" s="3">
        <v>709</v>
      </c>
      <c r="P168" s="75">
        <f t="shared" si="25"/>
        <v>261.10296191819464</v>
      </c>
      <c r="Q168" s="3" t="str" cm="1">
        <f t="array" ref="Q168">_xlfn.IFS(P168&lt;200, "10", P168&lt;400, "12", P168&lt;600, "14", P168&gt;600, "16")</f>
        <v>12</v>
      </c>
      <c r="R168" s="75">
        <f t="shared" si="26"/>
        <v>277.68299999999999</v>
      </c>
      <c r="S168" s="75">
        <f t="shared" si="27"/>
        <v>0.39165444287729195</v>
      </c>
      <c r="T168" s="76">
        <v>40622</v>
      </c>
      <c r="U168" s="306">
        <f t="shared" si="24"/>
        <v>21.94336707684662</v>
      </c>
      <c r="V168" s="76">
        <v>386.88</v>
      </c>
      <c r="W168" s="3" t="s">
        <v>87</v>
      </c>
      <c r="X168" s="2"/>
      <c r="AD168" s="47" t="s">
        <v>405</v>
      </c>
    </row>
    <row r="169" spans="1:30" ht="16.5" customHeight="1" x14ac:dyDescent="0.35">
      <c r="A169" s="351">
        <v>45943</v>
      </c>
      <c r="B169" s="76" t="s">
        <v>406</v>
      </c>
      <c r="C169" s="71" t="s">
        <v>104</v>
      </c>
      <c r="D169" s="3"/>
      <c r="E169" s="3" t="s">
        <v>86</v>
      </c>
      <c r="F169" s="3">
        <v>0.01</v>
      </c>
      <c r="H169" s="76">
        <v>80000</v>
      </c>
      <c r="I169" s="3" t="s">
        <v>88</v>
      </c>
      <c r="J169" s="3" t="s">
        <v>89</v>
      </c>
      <c r="M169" s="3"/>
      <c r="N169" s="356" cm="1">
        <f t="array" ref="N169">_xlfn.IFS(I169="AEX",H169/400,I169="RP",H169/200)</f>
        <v>200</v>
      </c>
      <c r="O169" s="3">
        <v>288</v>
      </c>
      <c r="P169" s="75">
        <f t="shared" si="25"/>
        <v>277.77777777777777</v>
      </c>
      <c r="Q169" s="3" t="str" cm="1">
        <f t="array" ref="Q169">_xlfn.IFS(P169&lt;200, "10", P169&lt;400, "12", P169&lt;600, "14", P169&gt;600, "16")</f>
        <v>12</v>
      </c>
      <c r="R169" s="75">
        <f t="shared" si="26"/>
        <v>60</v>
      </c>
      <c r="S169" s="75">
        <f t="shared" si="27"/>
        <v>0.20833333333333334</v>
      </c>
      <c r="T169" s="76">
        <v>18042</v>
      </c>
      <c r="U169" s="306">
        <f t="shared" si="24"/>
        <v>22.552500000000002</v>
      </c>
      <c r="V169" s="76">
        <v>244.77</v>
      </c>
      <c r="W169" s="3" t="s">
        <v>91</v>
      </c>
      <c r="X169" s="2">
        <v>45944</v>
      </c>
      <c r="Y169" s="3" t="s">
        <v>95</v>
      </c>
      <c r="Z169" s="3" t="s">
        <v>87</v>
      </c>
      <c r="AA169" s="76">
        <v>18065</v>
      </c>
      <c r="AB169" s="76">
        <v>215.24</v>
      </c>
    </row>
    <row r="170" spans="1:30" ht="16.5" customHeight="1" x14ac:dyDescent="0.35">
      <c r="A170" s="351">
        <v>45944</v>
      </c>
      <c r="B170" s="76" t="s">
        <v>407</v>
      </c>
      <c r="C170" s="71" t="s">
        <v>104</v>
      </c>
      <c r="D170" s="3"/>
      <c r="E170" s="3" t="s">
        <v>86</v>
      </c>
      <c r="F170" s="3" t="s">
        <v>87</v>
      </c>
      <c r="H170" s="76">
        <v>12290</v>
      </c>
      <c r="I170" s="3" t="s">
        <v>88</v>
      </c>
      <c r="J170" s="3" t="s">
        <v>90</v>
      </c>
      <c r="M170" s="3"/>
      <c r="N170" s="356" cm="1">
        <f t="array" ref="N170">_xlfn.IFS(I170="AEX",H170/400,I170="RP",H170/200)</f>
        <v>30.725000000000001</v>
      </c>
      <c r="O170" s="3">
        <v>63.8</v>
      </c>
      <c r="P170" s="75">
        <f t="shared" si="25"/>
        <v>192.63322884012541</v>
      </c>
      <c r="Q170" s="3" t="str" cm="1">
        <f t="array" ref="Q170">_xlfn.IFS(P170&lt;200, "10", P170&lt;400, "12", P170&lt;600, "14", P170&gt;600, "16")</f>
        <v>10</v>
      </c>
      <c r="R170" s="75">
        <f t="shared" si="26"/>
        <v>9.2174999999999994</v>
      </c>
      <c r="S170" s="75">
        <f t="shared" si="27"/>
        <v>0.14447492163009404</v>
      </c>
      <c r="T170" s="76">
        <v>5361</v>
      </c>
      <c r="U170" s="306">
        <f t="shared" si="24"/>
        <v>43.620829943043127</v>
      </c>
      <c r="V170" s="76">
        <v>90.75</v>
      </c>
      <c r="W170" s="3" t="s">
        <v>91</v>
      </c>
      <c r="X170" s="2">
        <v>45944</v>
      </c>
      <c r="Y170" s="3" t="s">
        <v>97</v>
      </c>
      <c r="Z170" s="3" t="s">
        <v>87</v>
      </c>
      <c r="AA170" s="76">
        <v>5254.33</v>
      </c>
      <c r="AB170" s="76">
        <v>143.16999999999999</v>
      </c>
    </row>
    <row r="171" spans="1:30" ht="16.5" customHeight="1" x14ac:dyDescent="0.35">
      <c r="A171" s="351">
        <v>45943</v>
      </c>
      <c r="B171" s="259" t="s">
        <v>408</v>
      </c>
      <c r="C171" s="71" t="s">
        <v>104</v>
      </c>
      <c r="D171" s="3"/>
      <c r="E171" s="3" t="s">
        <v>86</v>
      </c>
      <c r="F171" s="3" t="s">
        <v>87</v>
      </c>
      <c r="H171" s="76">
        <v>7070</v>
      </c>
      <c r="I171" s="3" t="s">
        <v>88</v>
      </c>
      <c r="J171" s="3" t="s">
        <v>89</v>
      </c>
      <c r="M171" s="3"/>
      <c r="N171" s="356" cm="1">
        <f t="array" ref="N171">_xlfn.IFS(I171="AEX",H171/400,I171="RP",H171/200)</f>
        <v>17.675000000000001</v>
      </c>
      <c r="O171" s="3">
        <v>23.5</v>
      </c>
      <c r="P171" s="75">
        <f t="shared" si="25"/>
        <v>300.85106382978722</v>
      </c>
      <c r="Q171" s="3" t="str" cm="1">
        <f t="array" ref="Q171">_xlfn.IFS(P171&lt;200, "10", P171&lt;400, "12", P171&lt;600, "14", P171&gt;600, "16")</f>
        <v>12</v>
      </c>
      <c r="R171" s="75">
        <f t="shared" si="26"/>
        <v>5.3025000000000002</v>
      </c>
      <c r="S171" s="75">
        <f t="shared" si="27"/>
        <v>0.22563829787234044</v>
      </c>
      <c r="T171" s="76">
        <v>3557</v>
      </c>
      <c r="U171" s="306">
        <f t="shared" si="24"/>
        <v>50.31117397454031</v>
      </c>
      <c r="V171" s="76">
        <v>54.85</v>
      </c>
      <c r="W171" s="3" t="s">
        <v>91</v>
      </c>
      <c r="X171" s="2">
        <v>45944</v>
      </c>
      <c r="Y171" s="3" t="s">
        <v>97</v>
      </c>
      <c r="Z171" s="3" t="s">
        <v>87</v>
      </c>
      <c r="AA171" s="76">
        <v>3512.3</v>
      </c>
      <c r="AB171" s="76">
        <v>127.72</v>
      </c>
    </row>
    <row r="172" spans="1:30" ht="16.5" customHeight="1" x14ac:dyDescent="0.35">
      <c r="A172" s="351">
        <v>45945</v>
      </c>
      <c r="B172" s="76" t="s">
        <v>413</v>
      </c>
      <c r="C172" s="71" t="s">
        <v>104</v>
      </c>
      <c r="D172" s="3"/>
      <c r="E172" s="3" t="s">
        <v>87</v>
      </c>
      <c r="F172" s="3">
        <v>0.01</v>
      </c>
      <c r="H172" s="76">
        <v>60390</v>
      </c>
      <c r="I172" s="3" t="s">
        <v>88</v>
      </c>
      <c r="J172" s="3" t="s">
        <v>89</v>
      </c>
      <c r="M172" s="3"/>
      <c r="N172" s="356" cm="1">
        <f t="array" ref="N172">_xlfn.IFS(I172="AEX",H172/400,I172="RP",H172/200)</f>
        <v>150.97499999999999</v>
      </c>
      <c r="O172" s="3">
        <v>288</v>
      </c>
      <c r="P172" s="75">
        <f t="shared" si="25"/>
        <v>209.6875</v>
      </c>
      <c r="Q172" s="3" t="str" cm="1">
        <f t="array" ref="Q172">_xlfn.IFS(P172&lt;200, "10", P172&lt;400, "12", P172&lt;600, "14", P172&gt;600, "16")</f>
        <v>12</v>
      </c>
      <c r="R172" s="75">
        <f t="shared" si="26"/>
        <v>45.292499999999997</v>
      </c>
      <c r="S172" s="75">
        <f t="shared" si="27"/>
        <v>0.15726562499999999</v>
      </c>
      <c r="T172" s="76">
        <v>34277</v>
      </c>
      <c r="U172" s="306">
        <f t="shared" si="24"/>
        <v>56.759397251200525</v>
      </c>
      <c r="V172" s="76">
        <v>714.86</v>
      </c>
      <c r="W172" s="3" t="s">
        <v>91</v>
      </c>
      <c r="X172" s="2">
        <v>45946</v>
      </c>
      <c r="Y172" s="3" t="s">
        <v>95</v>
      </c>
      <c r="Z172" s="3" t="s">
        <v>87</v>
      </c>
      <c r="AA172" s="76">
        <v>28562.54</v>
      </c>
      <c r="AB172" s="76">
        <v>206.61</v>
      </c>
    </row>
    <row r="173" spans="1:30" ht="16.5" customHeight="1" x14ac:dyDescent="0.35">
      <c r="A173" s="351">
        <v>45945</v>
      </c>
      <c r="B173" s="76" t="s">
        <v>415</v>
      </c>
      <c r="C173" s="71" t="s">
        <v>104</v>
      </c>
      <c r="D173" s="3"/>
      <c r="E173" s="3" t="s">
        <v>87</v>
      </c>
      <c r="F173" s="3" t="s">
        <v>87</v>
      </c>
      <c r="H173" s="76">
        <v>20716</v>
      </c>
      <c r="I173" s="3" t="s">
        <v>88</v>
      </c>
      <c r="J173" s="3" t="s">
        <v>89</v>
      </c>
      <c r="M173" s="3"/>
      <c r="N173" s="356" cm="1">
        <f t="array" ref="N173">_xlfn.IFS(I173="AEX",H173/400,I173="RP",H173/200)</f>
        <v>51.79</v>
      </c>
      <c r="O173" s="3">
        <v>63.8</v>
      </c>
      <c r="P173" s="75">
        <f t="shared" si="25"/>
        <v>324.70219435736681</v>
      </c>
      <c r="Q173" s="3" t="str" cm="1">
        <f t="array" ref="Q173">_xlfn.IFS(P173&lt;200, "10", P173&lt;400, "12", P173&lt;600, "14", P173&gt;600, "16")</f>
        <v>12</v>
      </c>
      <c r="R173" s="75">
        <f t="shared" si="26"/>
        <v>15.537000000000001</v>
      </c>
      <c r="S173" s="75">
        <f t="shared" si="27"/>
        <v>0.2435266457680251</v>
      </c>
      <c r="T173" s="76">
        <v>12875</v>
      </c>
      <c r="U173" s="306">
        <f t="shared" si="24"/>
        <v>62.150028963120299</v>
      </c>
      <c r="V173" s="76">
        <v>209.13</v>
      </c>
      <c r="W173" s="3" t="s">
        <v>91</v>
      </c>
      <c r="X173" s="2">
        <v>45946</v>
      </c>
      <c r="Y173" s="3" t="s">
        <v>97</v>
      </c>
      <c r="Z173" s="3" t="s">
        <v>87</v>
      </c>
      <c r="AA173" s="76">
        <v>12603.72</v>
      </c>
      <c r="AB173" s="76">
        <v>347.21</v>
      </c>
    </row>
    <row r="174" spans="1:30" ht="16.5" customHeight="1" x14ac:dyDescent="0.35">
      <c r="A174" s="351">
        <v>45945</v>
      </c>
      <c r="B174" s="76" t="s">
        <v>417</v>
      </c>
      <c r="C174" s="71" t="s">
        <v>104</v>
      </c>
      <c r="D174" s="3"/>
      <c r="E174" s="3" t="s">
        <v>87</v>
      </c>
      <c r="F174" s="3" t="s">
        <v>87</v>
      </c>
      <c r="H174" s="76">
        <v>7200</v>
      </c>
      <c r="I174" s="3" t="s">
        <v>88</v>
      </c>
      <c r="J174" s="3" t="s">
        <v>90</v>
      </c>
      <c r="M174" s="3"/>
      <c r="N174" s="356" cm="1">
        <f t="array" ref="N174">_xlfn.IFS(I174="AEX",H174/400,I174="RP",H174/200)</f>
        <v>18</v>
      </c>
      <c r="O174" s="3">
        <v>23.5</v>
      </c>
      <c r="P174" s="75">
        <f t="shared" si="25"/>
        <v>306.38297872340428</v>
      </c>
      <c r="Q174" s="3" t="str" cm="1">
        <f t="array" ref="Q174">_xlfn.IFS(P174&lt;200, "10", P174&lt;400, "12", P174&lt;600, "14", P174&gt;600, "16")</f>
        <v>12</v>
      </c>
      <c r="R174" s="75">
        <f t="shared" si="26"/>
        <v>5.4</v>
      </c>
      <c r="S174" s="75">
        <f t="shared" si="27"/>
        <v>0.22978723404255322</v>
      </c>
      <c r="T174" s="76">
        <v>1553</v>
      </c>
      <c r="U174" s="306">
        <f t="shared" si="24"/>
        <v>21.569444444444443</v>
      </c>
      <c r="V174" s="76">
        <v>20</v>
      </c>
      <c r="W174" s="3" t="s">
        <v>91</v>
      </c>
      <c r="X174" s="2">
        <v>45946</v>
      </c>
      <c r="Y174" s="3" t="s">
        <v>172</v>
      </c>
      <c r="Z174" s="3" t="s">
        <v>87</v>
      </c>
    </row>
    <row r="175" spans="1:30" ht="16.5" customHeight="1" x14ac:dyDescent="0.35">
      <c r="A175" s="351">
        <v>45946</v>
      </c>
      <c r="B175" s="76" t="s">
        <v>416</v>
      </c>
      <c r="C175" s="71" t="s">
        <v>104</v>
      </c>
      <c r="D175" s="3"/>
      <c r="E175" s="3" t="s">
        <v>87</v>
      </c>
      <c r="F175" s="3" t="s">
        <v>87</v>
      </c>
      <c r="H175" s="76">
        <v>19749</v>
      </c>
      <c r="I175" s="3" t="s">
        <v>88</v>
      </c>
      <c r="J175" s="3" t="s">
        <v>89</v>
      </c>
      <c r="M175" s="3"/>
      <c r="N175" s="356" cm="1">
        <f t="array" ref="N175">_xlfn.IFS(I175="AEX",H175/400,I175="RP",H175/200)</f>
        <v>49.372500000000002</v>
      </c>
      <c r="O175" s="3">
        <v>63.8</v>
      </c>
      <c r="P175" s="75">
        <f t="shared" si="25"/>
        <v>309.54545454545456</v>
      </c>
      <c r="Q175" s="3" t="str" cm="1">
        <f t="array" ref="Q175">_xlfn.IFS(P175&lt;200, "10", P175&lt;400, "12", P175&lt;600, "14", P175&gt;600, "16")</f>
        <v>12</v>
      </c>
      <c r="R175" s="75">
        <f t="shared" si="26"/>
        <v>14.81175</v>
      </c>
      <c r="S175" s="75">
        <f t="shared" si="27"/>
        <v>0.23215909090909093</v>
      </c>
      <c r="T175" s="76">
        <v>10954</v>
      </c>
      <c r="U175" s="306">
        <f t="shared" si="24"/>
        <v>55.466099549344271</v>
      </c>
      <c r="V175" s="76">
        <v>195.12</v>
      </c>
      <c r="W175" s="3" t="s">
        <v>91</v>
      </c>
      <c r="X175" s="2">
        <v>45946</v>
      </c>
      <c r="Y175" s="3" t="s">
        <v>97</v>
      </c>
      <c r="Z175" s="3" t="s">
        <v>87</v>
      </c>
      <c r="AA175" s="76">
        <v>10674</v>
      </c>
      <c r="AB175" s="76">
        <v>308.5</v>
      </c>
    </row>
    <row r="176" spans="1:30" ht="16.5" customHeight="1" x14ac:dyDescent="0.35">
      <c r="A176" s="351">
        <v>45946</v>
      </c>
      <c r="B176" s="76" t="s">
        <v>419</v>
      </c>
      <c r="C176" s="71" t="s">
        <v>104</v>
      </c>
      <c r="D176" s="3"/>
      <c r="E176" s="3" t="s">
        <v>87</v>
      </c>
      <c r="F176" s="3" t="s">
        <v>87</v>
      </c>
      <c r="H176" s="76">
        <v>19160</v>
      </c>
      <c r="I176" s="3" t="s">
        <v>88</v>
      </c>
      <c r="J176" s="3" t="s">
        <v>89</v>
      </c>
      <c r="M176" s="3"/>
      <c r="N176" s="356" cm="1">
        <f t="array" ref="N176">_xlfn.IFS(I176="AEX",H176/400,I176="RP",H176/200)</f>
        <v>47.9</v>
      </c>
      <c r="O176" s="3">
        <v>64.7</v>
      </c>
      <c r="P176" s="75">
        <f t="shared" si="25"/>
        <v>296.1360123647604</v>
      </c>
      <c r="Q176" s="3" t="str" cm="1">
        <f t="array" ref="Q176">_xlfn.IFS(P176&lt;200, "10", P176&lt;400, "12", P176&lt;600, "14", P176&gt;600, "16")</f>
        <v>12</v>
      </c>
      <c r="R176" s="75">
        <f t="shared" si="26"/>
        <v>14.37</v>
      </c>
      <c r="S176" s="75">
        <f t="shared" si="27"/>
        <v>0.22210200927357029</v>
      </c>
      <c r="T176" s="76">
        <v>6610</v>
      </c>
      <c r="U176" s="306">
        <f t="shared" si="24"/>
        <v>34.498956158663887</v>
      </c>
      <c r="V176" s="76">
        <v>109.81</v>
      </c>
      <c r="W176" s="3" t="s">
        <v>91</v>
      </c>
      <c r="X176" s="2">
        <v>45946</v>
      </c>
      <c r="Y176" s="3" t="s">
        <v>97</v>
      </c>
      <c r="Z176" s="3" t="s">
        <v>87</v>
      </c>
      <c r="AA176" s="76">
        <v>3923.2</v>
      </c>
      <c r="AB176" s="76">
        <v>177.12</v>
      </c>
    </row>
    <row r="177" spans="1:28" ht="16.5" customHeight="1" x14ac:dyDescent="0.35">
      <c r="A177" s="351">
        <v>45946</v>
      </c>
      <c r="B177" s="76" t="s">
        <v>418</v>
      </c>
      <c r="C177" s="71" t="s">
        <v>104</v>
      </c>
      <c r="D177" s="3"/>
      <c r="E177" s="3" t="s">
        <v>87</v>
      </c>
      <c r="F177" s="3" t="s">
        <v>87</v>
      </c>
      <c r="H177" s="76">
        <v>7100</v>
      </c>
      <c r="I177" s="3" t="s">
        <v>88</v>
      </c>
      <c r="J177" s="3" t="s">
        <v>90</v>
      </c>
      <c r="M177" s="3"/>
      <c r="N177" s="356" cm="1">
        <f t="array" ref="N177">_xlfn.IFS(I177="AEX",H177/400,I177="RP",H177/200)</f>
        <v>17.75</v>
      </c>
      <c r="O177" s="3">
        <v>23.5</v>
      </c>
      <c r="P177" s="75">
        <f t="shared" si="25"/>
        <v>302.12765957446811</v>
      </c>
      <c r="Q177" s="3" t="str" cm="1">
        <f t="array" ref="Q177">_xlfn.IFS(P177&lt;200, "10", P177&lt;400, "12", P177&lt;600, "14", P177&gt;600, "16")</f>
        <v>12</v>
      </c>
      <c r="R177" s="75">
        <f t="shared" si="26"/>
        <v>5.3250000000000002</v>
      </c>
      <c r="S177" s="75">
        <f t="shared" si="27"/>
        <v>0.22659574468085106</v>
      </c>
      <c r="T177" s="76">
        <v>1790</v>
      </c>
      <c r="U177" s="306">
        <f t="shared" si="24"/>
        <v>25.211267605633804</v>
      </c>
      <c r="V177" s="76">
        <v>25</v>
      </c>
      <c r="W177" s="3" t="s">
        <v>91</v>
      </c>
      <c r="X177" s="2">
        <v>45946</v>
      </c>
      <c r="Y177" s="3" t="s">
        <v>172</v>
      </c>
      <c r="Z177" s="3" t="s">
        <v>87</v>
      </c>
    </row>
    <row r="178" spans="1:28" ht="16.5" customHeight="1" x14ac:dyDescent="0.35">
      <c r="A178" s="351">
        <v>45946</v>
      </c>
      <c r="B178" s="76" t="s">
        <v>420</v>
      </c>
      <c r="C178" s="71" t="s">
        <v>104</v>
      </c>
      <c r="D178" s="3"/>
      <c r="E178" s="3" t="s">
        <v>87</v>
      </c>
      <c r="F178" s="3" t="s">
        <v>87</v>
      </c>
      <c r="H178" s="76">
        <v>12567</v>
      </c>
      <c r="I178" s="3" t="s">
        <v>88</v>
      </c>
      <c r="J178" s="3" t="s">
        <v>90</v>
      </c>
      <c r="M178" s="3"/>
      <c r="N178" s="356" cm="1">
        <f t="array" ref="N178">_xlfn.IFS(I178="AEX",H178/400,I178="RP",H178/200)</f>
        <v>31.4175</v>
      </c>
      <c r="O178" s="3">
        <v>63.8</v>
      </c>
      <c r="P178" s="75">
        <f t="shared" si="25"/>
        <v>196.97492163009406</v>
      </c>
      <c r="Q178" s="3" t="str" cm="1">
        <f t="array" ref="Q178">_xlfn.IFS(P178&lt;200, "10", P178&lt;400, "12", P178&lt;600, "14", P178&gt;600, "16")</f>
        <v>10</v>
      </c>
      <c r="R178" s="75">
        <f t="shared" si="26"/>
        <v>9.4252500000000001</v>
      </c>
      <c r="S178" s="75">
        <f t="shared" si="27"/>
        <v>0.14773119122257053</v>
      </c>
      <c r="T178" s="76">
        <v>6571</v>
      </c>
      <c r="U178" s="306">
        <f t="shared" si="24"/>
        <v>52.287737725789761</v>
      </c>
      <c r="V178" s="76">
        <v>100.3</v>
      </c>
      <c r="W178" s="3" t="s">
        <v>91</v>
      </c>
      <c r="X178" s="2">
        <v>45946</v>
      </c>
      <c r="Y178" s="3" t="s">
        <v>97</v>
      </c>
      <c r="Z178" s="3" t="s">
        <v>87</v>
      </c>
      <c r="AA178" s="76">
        <v>6599.74</v>
      </c>
      <c r="AB178" s="76">
        <v>163.36000000000001</v>
      </c>
    </row>
    <row r="179" spans="1:28" ht="16.5" customHeight="1" x14ac:dyDescent="0.35">
      <c r="A179" s="351">
        <v>45946</v>
      </c>
      <c r="B179" s="76" t="s">
        <v>421</v>
      </c>
      <c r="C179" s="71" t="s">
        <v>104</v>
      </c>
      <c r="D179" s="3"/>
      <c r="E179" s="3" t="s">
        <v>87</v>
      </c>
      <c r="F179" s="3" t="s">
        <v>87</v>
      </c>
      <c r="H179" s="76">
        <v>2000</v>
      </c>
      <c r="I179" s="3" t="s">
        <v>88</v>
      </c>
      <c r="J179" s="3" t="s">
        <v>90</v>
      </c>
      <c r="M179" s="3"/>
      <c r="N179" s="356" cm="1">
        <f t="array" ref="N179">_xlfn.IFS(I179="AEX",H179/400,I179="RP",H179/200)</f>
        <v>5</v>
      </c>
      <c r="O179" s="3">
        <v>23.5</v>
      </c>
      <c r="P179" s="75">
        <f t="shared" si="25"/>
        <v>85.106382978723403</v>
      </c>
      <c r="Q179" s="3" t="str" cm="1">
        <f t="array" ref="Q179">_xlfn.IFS(P179&lt;200, "10", P179&lt;400, "12", P179&lt;600, "14", P179&gt;600, "16")</f>
        <v>10</v>
      </c>
      <c r="R179" s="75">
        <f t="shared" si="26"/>
        <v>1.5</v>
      </c>
      <c r="S179" s="75">
        <f t="shared" si="27"/>
        <v>6.3829787234042548E-2</v>
      </c>
      <c r="T179" s="76">
        <v>720</v>
      </c>
      <c r="U179" s="306">
        <f t="shared" si="24"/>
        <v>36</v>
      </c>
      <c r="W179" s="3" t="s">
        <v>91</v>
      </c>
      <c r="X179" s="2">
        <v>45946</v>
      </c>
      <c r="Y179" s="3" t="s">
        <v>172</v>
      </c>
      <c r="Z179" s="3" t="s">
        <v>87</v>
      </c>
      <c r="AA179" s="76">
        <v>659</v>
      </c>
    </row>
    <row r="180" spans="1:28" ht="16.5" customHeight="1" x14ac:dyDescent="0.35">
      <c r="A180" s="351">
        <v>45947</v>
      </c>
      <c r="B180" s="76" t="s">
        <v>422</v>
      </c>
      <c r="C180" s="322" t="s">
        <v>104</v>
      </c>
      <c r="D180" s="3"/>
      <c r="E180" s="3" t="s">
        <v>87</v>
      </c>
      <c r="F180" s="3" t="s">
        <v>87</v>
      </c>
      <c r="H180" s="76">
        <v>2000</v>
      </c>
      <c r="I180" s="3" t="s">
        <v>88</v>
      </c>
      <c r="J180" s="3" t="s">
        <v>90</v>
      </c>
      <c r="M180" s="3"/>
      <c r="N180" s="356" cm="1">
        <f t="array" ref="N180">_xlfn.IFS(I180="AEX",H180/400,I180="RP",H180/200)</f>
        <v>5</v>
      </c>
      <c r="O180" s="3">
        <v>16.100000000000001</v>
      </c>
      <c r="P180" s="75">
        <f t="shared" si="25"/>
        <v>124.22360248447204</v>
      </c>
      <c r="Q180" s="3" t="str" cm="1">
        <f t="array" ref="Q180">_xlfn.IFS(P180&lt;200, "10", P180&lt;400, "12", P180&lt;600, "14", P180&gt;600, "16")</f>
        <v>10</v>
      </c>
      <c r="R180" s="75">
        <f t="shared" si="26"/>
        <v>1.5</v>
      </c>
      <c r="S180" s="75">
        <f t="shared" si="27"/>
        <v>9.3167701863354033E-2</v>
      </c>
      <c r="T180" s="76">
        <v>863</v>
      </c>
      <c r="U180" s="306">
        <f t="shared" si="24"/>
        <v>43.15</v>
      </c>
      <c r="W180" s="3" t="s">
        <v>91</v>
      </c>
      <c r="X180" s="2">
        <v>45947</v>
      </c>
      <c r="Y180" s="3" t="s">
        <v>172</v>
      </c>
      <c r="Z180" s="3" t="s">
        <v>87</v>
      </c>
      <c r="AA180" s="76">
        <v>885</v>
      </c>
    </row>
    <row r="181" spans="1:28" ht="16.5" customHeight="1" x14ac:dyDescent="0.35">
      <c r="A181" s="351">
        <v>45947</v>
      </c>
      <c r="B181" s="76" t="s">
        <v>423</v>
      </c>
      <c r="C181" s="322" t="s">
        <v>104</v>
      </c>
      <c r="D181" s="3"/>
      <c r="E181" s="3" t="s">
        <v>87</v>
      </c>
      <c r="F181" s="3" t="s">
        <v>87</v>
      </c>
      <c r="H181" s="76">
        <v>1800</v>
      </c>
      <c r="I181" s="3" t="s">
        <v>88</v>
      </c>
      <c r="J181" s="3" t="s">
        <v>90</v>
      </c>
      <c r="M181" s="3"/>
      <c r="N181" s="356" cm="1">
        <f t="array" ref="N181">_xlfn.IFS(I181="AEX",H181/400,I181="RP",H181/200)</f>
        <v>4.5</v>
      </c>
      <c r="O181" s="3">
        <v>16.100000000000001</v>
      </c>
      <c r="P181" s="75">
        <f t="shared" si="25"/>
        <v>111.80124223602483</v>
      </c>
      <c r="Q181" s="3" t="str" cm="1">
        <f t="array" ref="Q181">_xlfn.IFS(P181&lt;200, "10", P181&lt;400, "12", P181&lt;600, "14", P181&gt;600, "16")</f>
        <v>10</v>
      </c>
      <c r="R181" s="75">
        <v>1</v>
      </c>
      <c r="S181" s="75">
        <f t="shared" si="27"/>
        <v>6.2111801242236017E-2</v>
      </c>
      <c r="T181" s="76">
        <v>628</v>
      </c>
      <c r="U181" s="306">
        <f t="shared" si="24"/>
        <v>34.888888888888893</v>
      </c>
      <c r="W181" s="3" t="s">
        <v>91</v>
      </c>
      <c r="X181" s="2">
        <v>45947</v>
      </c>
      <c r="Y181" s="3" t="s">
        <v>172</v>
      </c>
      <c r="Z181" s="3" t="s">
        <v>87</v>
      </c>
      <c r="AA181" s="76">
        <v>587</v>
      </c>
    </row>
    <row r="182" spans="1:28" ht="16.5" customHeight="1" x14ac:dyDescent="0.35">
      <c r="A182" s="351">
        <v>45947</v>
      </c>
      <c r="B182" s="76" t="s">
        <v>424</v>
      </c>
      <c r="C182" s="322" t="s">
        <v>104</v>
      </c>
      <c r="D182" s="3"/>
      <c r="E182" s="3" t="s">
        <v>87</v>
      </c>
      <c r="F182" s="3">
        <v>0.01</v>
      </c>
      <c r="H182" s="76">
        <v>54527</v>
      </c>
      <c r="I182" s="3" t="s">
        <v>88</v>
      </c>
      <c r="J182" s="3" t="s">
        <v>89</v>
      </c>
      <c r="M182" s="3"/>
      <c r="N182" s="356" cm="1">
        <f t="array" ref="N182">_xlfn.IFS(I182="AEX",H182/400,I182="RP",H182/200)</f>
        <v>136.3175</v>
      </c>
      <c r="O182" s="3">
        <v>288</v>
      </c>
      <c r="P182" s="75">
        <f t="shared" si="25"/>
        <v>189.32986111111111</v>
      </c>
      <c r="Q182" s="3" t="str" cm="1">
        <f t="array" ref="Q182">_xlfn.IFS(P182&lt;200, "10", P182&lt;400, "12", P182&lt;600, "14", P182&gt;600, "16")</f>
        <v>10</v>
      </c>
      <c r="R182" s="75">
        <f t="shared" ref="R182:R196" si="28">IF(I182="AEX",H182*0.3/400,H182*0.3/200)</f>
        <v>40.895249999999997</v>
      </c>
      <c r="S182" s="75">
        <f t="shared" si="27"/>
        <v>0.14199739583333332</v>
      </c>
      <c r="T182" s="76">
        <v>31813</v>
      </c>
      <c r="U182" s="306">
        <f t="shared" si="24"/>
        <v>58.343572908834155</v>
      </c>
      <c r="V182" s="76">
        <v>634.11</v>
      </c>
      <c r="W182" s="3" t="s">
        <v>91</v>
      </c>
      <c r="X182" s="2">
        <v>45947</v>
      </c>
      <c r="Y182" s="3" t="s">
        <v>95</v>
      </c>
      <c r="Z182" s="3" t="s">
        <v>87</v>
      </c>
      <c r="AA182" s="76">
        <v>27165.69</v>
      </c>
      <c r="AB182" s="76">
        <v>224.86</v>
      </c>
    </row>
    <row r="183" spans="1:28" ht="16.5" customHeight="1" x14ac:dyDescent="0.35">
      <c r="A183" s="351">
        <v>45947</v>
      </c>
      <c r="B183" s="76" t="s">
        <v>430</v>
      </c>
      <c r="C183" s="71" t="s">
        <v>104</v>
      </c>
      <c r="D183" s="3"/>
      <c r="E183" s="3" t="s">
        <v>87</v>
      </c>
      <c r="F183" s="3" t="s">
        <v>87</v>
      </c>
      <c r="H183" s="76">
        <v>4262</v>
      </c>
      <c r="I183" s="2" t="s">
        <v>88</v>
      </c>
      <c r="J183" s="3" t="s">
        <v>90</v>
      </c>
      <c r="M183" s="3"/>
      <c r="N183" s="356" cm="1">
        <f t="array" ref="N183">_xlfn.IFS(I183="AEX",H183/400,I183="RP",H183/200)</f>
        <v>10.654999999999999</v>
      </c>
      <c r="O183" s="3">
        <v>23.5</v>
      </c>
      <c r="P183" s="75">
        <f t="shared" si="25"/>
        <v>181.36170212765958</v>
      </c>
      <c r="Q183" s="3" t="str" cm="1">
        <f t="array" ref="Q183">_xlfn.IFS(P183&lt;200, "10", P183&lt;400, "12", P183&lt;600, "14", P183&gt;600, "16")</f>
        <v>10</v>
      </c>
      <c r="R183" s="75">
        <f t="shared" si="28"/>
        <v>3.1964999999999999</v>
      </c>
      <c r="S183" s="75">
        <f t="shared" si="27"/>
        <v>0.13602127659574467</v>
      </c>
      <c r="T183" s="76">
        <v>1380</v>
      </c>
      <c r="U183" s="306">
        <f t="shared" si="24"/>
        <v>32.379164711403099</v>
      </c>
      <c r="V183" s="76">
        <v>11</v>
      </c>
      <c r="W183" s="3" t="s">
        <v>91</v>
      </c>
      <c r="X183" s="2">
        <v>45947</v>
      </c>
      <c r="Y183" s="3" t="s">
        <v>172</v>
      </c>
      <c r="Z183" s="3" t="s">
        <v>87</v>
      </c>
      <c r="AA183" s="76">
        <v>1533</v>
      </c>
    </row>
    <row r="184" spans="1:28" ht="16.5" customHeight="1" x14ac:dyDescent="0.35">
      <c r="A184" s="351">
        <v>45950</v>
      </c>
      <c r="B184" s="76" t="s">
        <v>426</v>
      </c>
      <c r="C184" s="71" t="s">
        <v>104</v>
      </c>
      <c r="D184" s="3"/>
      <c r="E184" s="3" t="s">
        <v>87</v>
      </c>
      <c r="F184" s="3" t="s">
        <v>87</v>
      </c>
      <c r="H184" s="76">
        <v>45920</v>
      </c>
      <c r="I184" s="3" t="s">
        <v>88</v>
      </c>
      <c r="J184" s="3" t="s">
        <v>89</v>
      </c>
      <c r="M184" s="3"/>
      <c r="N184" s="356" cm="1">
        <f t="array" ref="N184">_xlfn.IFS(I184="AEX",H184/400,I184="RP",H184/200)</f>
        <v>114.8</v>
      </c>
      <c r="O184" s="3">
        <v>288</v>
      </c>
      <c r="P184" s="75">
        <f t="shared" si="25"/>
        <v>159.44444444444446</v>
      </c>
      <c r="Q184" s="3" t="str" cm="1">
        <f t="array" ref="Q184">_xlfn.IFS(P184&lt;200, "10", P184&lt;400, "12", P184&lt;600, "14", P184&gt;600, "16")</f>
        <v>10</v>
      </c>
      <c r="R184" s="75">
        <f t="shared" si="28"/>
        <v>34.44</v>
      </c>
      <c r="S184" s="75">
        <f t="shared" si="27"/>
        <v>0.11958333333333332</v>
      </c>
      <c r="T184" s="76">
        <v>25389</v>
      </c>
      <c r="U184" s="306">
        <f t="shared" si="24"/>
        <v>55.289634146341463</v>
      </c>
      <c r="V184" s="76">
        <v>416.9</v>
      </c>
      <c r="W184" s="3" t="s">
        <v>91</v>
      </c>
      <c r="X184" s="2">
        <v>45951</v>
      </c>
      <c r="Y184" s="3" t="s">
        <v>318</v>
      </c>
      <c r="Z184" s="3" t="s">
        <v>87</v>
      </c>
      <c r="AA184" s="76">
        <v>24608.75</v>
      </c>
      <c r="AB184" s="76">
        <v>223.6</v>
      </c>
    </row>
    <row r="185" spans="1:28" ht="16.5" customHeight="1" x14ac:dyDescent="0.35">
      <c r="A185" s="351">
        <v>45950</v>
      </c>
      <c r="B185" s="76" t="s">
        <v>432</v>
      </c>
      <c r="C185" s="71" t="s">
        <v>104</v>
      </c>
      <c r="D185" s="3"/>
      <c r="E185" s="3" t="s">
        <v>87</v>
      </c>
      <c r="F185" s="3" t="s">
        <v>87</v>
      </c>
      <c r="H185" s="76">
        <v>3800</v>
      </c>
      <c r="I185" s="3" t="s">
        <v>88</v>
      </c>
      <c r="J185" s="3" t="s">
        <v>90</v>
      </c>
      <c r="M185" s="3"/>
      <c r="N185" s="356" cm="1">
        <f t="array" ref="N185">_xlfn.IFS(I185="AEX",H185/400,I185="RP",H185/200)</f>
        <v>9.5</v>
      </c>
      <c r="O185" s="3">
        <v>23.5</v>
      </c>
      <c r="P185" s="75">
        <f t="shared" si="25"/>
        <v>161.70212765957447</v>
      </c>
      <c r="Q185" s="3" t="str" cm="1">
        <f t="array" ref="Q185">_xlfn.IFS(P185&lt;200, "10", P185&lt;400, "12", P185&lt;600, "14", P185&gt;600, "16")</f>
        <v>10</v>
      </c>
      <c r="R185" s="75">
        <f t="shared" si="28"/>
        <v>2.85</v>
      </c>
      <c r="S185" s="75">
        <f t="shared" si="27"/>
        <v>0.12127659574468086</v>
      </c>
      <c r="T185" s="76">
        <v>673</v>
      </c>
      <c r="U185" s="306">
        <f t="shared" si="24"/>
        <v>17.710526315789473</v>
      </c>
      <c r="V185" s="76">
        <v>12</v>
      </c>
      <c r="W185" s="3" t="s">
        <v>87</v>
      </c>
      <c r="X185" s="2">
        <v>45950</v>
      </c>
      <c r="Y185" s="3" t="s">
        <v>172</v>
      </c>
      <c r="Z185" s="3" t="s">
        <v>87</v>
      </c>
      <c r="AA185" s="76">
        <v>687</v>
      </c>
    </row>
    <row r="186" spans="1:28" ht="16.5" customHeight="1" x14ac:dyDescent="0.35">
      <c r="A186" s="351">
        <v>45951</v>
      </c>
      <c r="B186" s="76" t="s">
        <v>433</v>
      </c>
      <c r="C186" s="71" t="s">
        <v>104</v>
      </c>
      <c r="D186" s="3"/>
      <c r="E186" s="3" t="s">
        <v>87</v>
      </c>
      <c r="F186" s="3" t="s">
        <v>87</v>
      </c>
      <c r="H186" s="76">
        <v>666</v>
      </c>
      <c r="I186" s="3" t="s">
        <v>88</v>
      </c>
      <c r="J186" s="3" t="s">
        <v>90</v>
      </c>
      <c r="M186" s="3"/>
      <c r="N186" s="356" cm="1">
        <f t="array" ref="N186">_xlfn.IFS(I186="AEX",H186/400,I186="RP",H186/200)</f>
        <v>1.665</v>
      </c>
      <c r="O186" s="3">
        <v>16.100000000000001</v>
      </c>
      <c r="P186" s="75">
        <f t="shared" si="25"/>
        <v>41.366459627329192</v>
      </c>
      <c r="Q186" s="3" t="str" cm="1">
        <f t="array" ref="Q186">_xlfn.IFS(P186&lt;200, "10", P186&lt;400, "12", P186&lt;600, "14", P186&gt;600, "16")</f>
        <v>10</v>
      </c>
      <c r="R186" s="75">
        <f t="shared" si="28"/>
        <v>0.49949999999999994</v>
      </c>
      <c r="S186" s="75">
        <f t="shared" si="27"/>
        <v>3.1024844720496887E-2</v>
      </c>
      <c r="T186" s="76">
        <v>494</v>
      </c>
      <c r="U186" s="306">
        <f t="shared" si="24"/>
        <v>74.174174174174183</v>
      </c>
      <c r="W186" s="3" t="s">
        <v>91</v>
      </c>
      <c r="X186" s="2">
        <v>45951</v>
      </c>
      <c r="Y186" s="3" t="s">
        <v>172</v>
      </c>
      <c r="Z186" s="3" t="s">
        <v>87</v>
      </c>
      <c r="AA186" s="76">
        <v>488</v>
      </c>
    </row>
    <row r="187" spans="1:28" ht="16.5" customHeight="1" x14ac:dyDescent="0.35">
      <c r="A187" s="351">
        <v>45951</v>
      </c>
      <c r="B187" s="76" t="s">
        <v>427</v>
      </c>
      <c r="C187" s="71" t="s">
        <v>104</v>
      </c>
      <c r="D187" s="3"/>
      <c r="E187" s="3" t="s">
        <v>87</v>
      </c>
      <c r="F187" s="3" t="s">
        <v>87</v>
      </c>
      <c r="H187" s="76">
        <v>4202</v>
      </c>
      <c r="I187" s="3" t="s">
        <v>88</v>
      </c>
      <c r="J187" s="3" t="s">
        <v>90</v>
      </c>
      <c r="L187" s="326" t="s">
        <v>455</v>
      </c>
      <c r="M187" s="3"/>
      <c r="N187" s="356" cm="1">
        <f t="array" ref="N187">_xlfn.IFS(I187="AEX",H187/400,I187="RP",H187/200)</f>
        <v>10.505000000000001</v>
      </c>
      <c r="O187" s="3">
        <v>23.5</v>
      </c>
      <c r="P187" s="75">
        <f t="shared" si="25"/>
        <v>178.80851063829786</v>
      </c>
      <c r="Q187" s="3" t="str" cm="1">
        <f t="array" ref="Q187">_xlfn.IFS(P187&lt;200, "10", P187&lt;400, "12", P187&lt;600, "14", P187&gt;600, "16")</f>
        <v>10</v>
      </c>
      <c r="R187" s="75">
        <f t="shared" si="28"/>
        <v>3.1515</v>
      </c>
      <c r="S187" s="75">
        <f t="shared" si="27"/>
        <v>0.1341063829787234</v>
      </c>
      <c r="T187" s="76">
        <v>1971</v>
      </c>
      <c r="U187" s="306">
        <f t="shared" si="24"/>
        <v>46.906235126130412</v>
      </c>
      <c r="W187" s="3" t="s">
        <v>87</v>
      </c>
      <c r="X187" s="2">
        <v>45951</v>
      </c>
      <c r="Y187" s="3" t="s">
        <v>172</v>
      </c>
      <c r="Z187" s="3" t="s">
        <v>87</v>
      </c>
      <c r="AA187" s="76">
        <v>2092</v>
      </c>
    </row>
    <row r="188" spans="1:28" ht="16.5" customHeight="1" x14ac:dyDescent="0.35">
      <c r="A188" s="351">
        <v>45951</v>
      </c>
      <c r="B188" s="76" t="s">
        <v>429</v>
      </c>
      <c r="C188" s="71" t="s">
        <v>104</v>
      </c>
      <c r="D188" s="3"/>
      <c r="E188" s="3" t="s">
        <v>87</v>
      </c>
      <c r="F188" s="3" t="s">
        <v>87</v>
      </c>
      <c r="H188" s="76">
        <v>2425</v>
      </c>
      <c r="I188" s="3" t="s">
        <v>88</v>
      </c>
      <c r="J188" s="3" t="s">
        <v>89</v>
      </c>
      <c r="L188" s="326" t="s">
        <v>454</v>
      </c>
      <c r="M188" s="3"/>
      <c r="N188" s="356" cm="1">
        <f t="array" ref="N188">_xlfn.IFS(I188="AEX",H188/400,I188="RP",H188/200)</f>
        <v>6.0625</v>
      </c>
      <c r="O188" s="3">
        <v>16.100000000000001</v>
      </c>
      <c r="P188" s="75">
        <f t="shared" si="25"/>
        <v>150.62111801242236</v>
      </c>
      <c r="Q188" s="3" t="str" cm="1">
        <f t="array" ref="Q188">_xlfn.IFS(P188&lt;200, "10", P188&lt;400, "12", P188&lt;600, "14", P188&gt;600, "16")</f>
        <v>10</v>
      </c>
      <c r="R188" s="75">
        <f t="shared" si="28"/>
        <v>1.8187500000000001</v>
      </c>
      <c r="S188" s="75">
        <f t="shared" si="27"/>
        <v>0.11296583850931677</v>
      </c>
      <c r="T188" s="76">
        <v>591</v>
      </c>
      <c r="U188" s="306">
        <f t="shared" si="24"/>
        <v>24.371134020618555</v>
      </c>
      <c r="W188" s="3" t="s">
        <v>91</v>
      </c>
      <c r="X188" s="2">
        <v>45951</v>
      </c>
      <c r="Y188" s="3" t="s">
        <v>172</v>
      </c>
      <c r="Z188" s="3" t="s">
        <v>87</v>
      </c>
      <c r="AA188" s="76">
        <v>590</v>
      </c>
    </row>
    <row r="189" spans="1:28" ht="16.5" customHeight="1" x14ac:dyDescent="0.35">
      <c r="A189" s="351">
        <v>45952</v>
      </c>
      <c r="B189" s="76" t="s">
        <v>428</v>
      </c>
      <c r="C189" s="71" t="s">
        <v>104</v>
      </c>
      <c r="D189" s="3"/>
      <c r="E189" s="3" t="s">
        <v>87</v>
      </c>
      <c r="F189" s="3" t="s">
        <v>87</v>
      </c>
      <c r="H189" s="76">
        <v>4019</v>
      </c>
      <c r="I189" s="3" t="s">
        <v>88</v>
      </c>
      <c r="J189" s="3" t="s">
        <v>90</v>
      </c>
      <c r="L189" s="326" t="s">
        <v>455</v>
      </c>
      <c r="M189" s="3"/>
      <c r="N189" s="356" cm="1">
        <f t="array" ref="N189">_xlfn.IFS(I189="AEX",H189/400,I189="RP",H189/200)</f>
        <v>10.047499999999999</v>
      </c>
      <c r="O189" s="3">
        <v>23.5</v>
      </c>
      <c r="P189" s="75">
        <f t="shared" si="25"/>
        <v>171.02127659574469</v>
      </c>
      <c r="Q189" s="3" t="str" cm="1">
        <f t="array" ref="Q189">_xlfn.IFS(P189&lt;200, "10", P189&lt;400, "12", P189&lt;600, "14", P189&gt;600, "16")</f>
        <v>10</v>
      </c>
      <c r="R189" s="75">
        <f t="shared" si="28"/>
        <v>3.0142500000000001</v>
      </c>
      <c r="S189" s="75">
        <f t="shared" si="27"/>
        <v>0.12826595744680852</v>
      </c>
      <c r="T189" s="76">
        <v>885</v>
      </c>
      <c r="U189" s="306">
        <f t="shared" si="24"/>
        <v>22.020403085344615</v>
      </c>
      <c r="X189" s="2"/>
      <c r="AA189" s="76">
        <v>797</v>
      </c>
    </row>
    <row r="190" spans="1:28" ht="16.5" customHeight="1" x14ac:dyDescent="0.35">
      <c r="A190" s="351">
        <v>45952</v>
      </c>
      <c r="B190" s="76" t="s">
        <v>435</v>
      </c>
      <c r="C190" s="71" t="s">
        <v>104</v>
      </c>
      <c r="D190" s="3"/>
      <c r="E190" s="3" t="s">
        <v>194</v>
      </c>
      <c r="F190" s="3" t="s">
        <v>87</v>
      </c>
      <c r="H190" s="76">
        <v>3834</v>
      </c>
      <c r="I190" s="3" t="s">
        <v>88</v>
      </c>
      <c r="J190" s="3" t="s">
        <v>90</v>
      </c>
      <c r="L190" s="326" t="s">
        <v>455</v>
      </c>
      <c r="M190" s="3">
        <v>60</v>
      </c>
      <c r="N190" s="356" cm="1">
        <f t="array" ref="N190">_xlfn.IFS(I190="AEX",H190/400,I190="RP",H190/200)</f>
        <v>9.5850000000000009</v>
      </c>
      <c r="O190" s="3">
        <v>23.5</v>
      </c>
      <c r="P190" s="75">
        <f t="shared" si="25"/>
        <v>163.14893617021278</v>
      </c>
      <c r="Q190" s="3" t="str" cm="1">
        <f t="array" ref="Q190">_xlfn.IFS(P190&lt;200, "10", P190&lt;400, "12", P190&lt;600, "14", P190&gt;600, "16")</f>
        <v>10</v>
      </c>
      <c r="R190" s="75">
        <f t="shared" si="28"/>
        <v>2.8755000000000002</v>
      </c>
      <c r="S190" s="75">
        <f t="shared" si="27"/>
        <v>0.12236170212765958</v>
      </c>
      <c r="T190" s="76">
        <v>517</v>
      </c>
      <c r="U190" s="306">
        <f t="shared" si="24"/>
        <v>13.484611371935316</v>
      </c>
      <c r="X190" s="2"/>
    </row>
    <row r="191" spans="1:28" ht="16.5" customHeight="1" x14ac:dyDescent="0.35">
      <c r="A191" s="351">
        <v>45952</v>
      </c>
      <c r="B191" s="76" t="s">
        <v>436</v>
      </c>
      <c r="C191" s="71" t="s">
        <v>104</v>
      </c>
      <c r="D191" s="3"/>
      <c r="E191" s="3" t="s">
        <v>86</v>
      </c>
      <c r="F191" s="3" t="s">
        <v>87</v>
      </c>
      <c r="H191" s="76">
        <v>3100</v>
      </c>
      <c r="I191" s="3" t="s">
        <v>88</v>
      </c>
      <c r="J191" s="3" t="s">
        <v>89</v>
      </c>
      <c r="M191" s="3"/>
      <c r="N191" s="356" cm="1">
        <f t="array" ref="N191">_xlfn.IFS(I191="AEX",H191/400,I191="RP",H191/200)</f>
        <v>7.75</v>
      </c>
      <c r="O191" s="3">
        <v>16.100000000000001</v>
      </c>
      <c r="P191" s="75">
        <f t="shared" si="25"/>
        <v>192.54658385093165</v>
      </c>
      <c r="Q191" s="3" t="str" cm="1">
        <f t="array" ref="Q191">_xlfn.IFS(P191&lt;200, "10", P191&lt;400, "12", P191&lt;600, "14", P191&gt;600, "16")</f>
        <v>10</v>
      </c>
      <c r="R191" s="75">
        <f t="shared" si="28"/>
        <v>2.3250000000000002</v>
      </c>
      <c r="S191" s="75">
        <f t="shared" si="27"/>
        <v>0.14440993788819875</v>
      </c>
      <c r="T191" s="76">
        <v>708</v>
      </c>
      <c r="U191" s="306">
        <f t="shared" si="24"/>
        <v>22.838709677419356</v>
      </c>
      <c r="X191" s="2"/>
      <c r="AA191" s="76">
        <v>611</v>
      </c>
    </row>
    <row r="192" spans="1:28" ht="16.5" customHeight="1" x14ac:dyDescent="0.35">
      <c r="A192" s="351">
        <v>45952</v>
      </c>
      <c r="B192" s="76" t="s">
        <v>438</v>
      </c>
      <c r="C192" s="71" t="s">
        <v>104</v>
      </c>
      <c r="D192" s="3"/>
      <c r="E192" s="3" t="s">
        <v>87</v>
      </c>
      <c r="F192" s="3" t="s">
        <v>87</v>
      </c>
      <c r="H192" s="76">
        <v>1600</v>
      </c>
      <c r="I192" s="3" t="s">
        <v>70</v>
      </c>
      <c r="J192" s="3" t="s">
        <v>195</v>
      </c>
      <c r="M192" s="3"/>
      <c r="N192" s="356" cm="1">
        <f t="array" ref="N192">_xlfn.IFS(I192="AEX",H192/400,I192="RP",H192/200)</f>
        <v>8</v>
      </c>
      <c r="O192" s="3">
        <v>24</v>
      </c>
      <c r="P192" s="75">
        <f t="shared" si="25"/>
        <v>66.666666666666671</v>
      </c>
      <c r="Q192" s="3" t="str" cm="1">
        <f t="array" ref="Q192">_xlfn.IFS(P192&lt;200, "10", P192&lt;400, "12", P192&lt;600, "14", P192&gt;600, "16")</f>
        <v>10</v>
      </c>
      <c r="R192" s="75">
        <f t="shared" si="28"/>
        <v>2.4</v>
      </c>
      <c r="S192" s="75">
        <f t="shared" si="27"/>
        <v>9.9999999999999992E-2</v>
      </c>
      <c r="U192" s="306">
        <f t="shared" si="24"/>
        <v>0</v>
      </c>
      <c r="X192" s="2"/>
      <c r="AA192" s="76">
        <v>456</v>
      </c>
    </row>
    <row r="193" spans="1:30" ht="16.5" customHeight="1" x14ac:dyDescent="0.35">
      <c r="A193" s="351">
        <v>45953</v>
      </c>
      <c r="B193" s="76" t="s">
        <v>439</v>
      </c>
      <c r="C193" s="71" t="s">
        <v>104</v>
      </c>
      <c r="D193" s="3"/>
      <c r="E193" s="3" t="s">
        <v>87</v>
      </c>
      <c r="F193" s="3" t="s">
        <v>87</v>
      </c>
      <c r="H193" s="76">
        <v>1600</v>
      </c>
      <c r="I193" s="3" t="s">
        <v>70</v>
      </c>
      <c r="J193" s="3" t="s">
        <v>195</v>
      </c>
      <c r="M193" s="3"/>
      <c r="N193" s="356" cm="1">
        <f t="array" ref="N193">_xlfn.IFS(I193="AEX",H193/400,I193="RP",H193/200)</f>
        <v>8</v>
      </c>
      <c r="O193" s="3">
        <v>24</v>
      </c>
      <c r="P193" s="75">
        <f t="shared" si="25"/>
        <v>66.666666666666671</v>
      </c>
      <c r="Q193" s="3" t="str" cm="1">
        <f t="array" ref="Q193">_xlfn.IFS(P193&lt;200, "10", P193&lt;400, "12", P193&lt;600, "14", P193&gt;600, "16")</f>
        <v>10</v>
      </c>
      <c r="R193" s="75">
        <f t="shared" si="28"/>
        <v>2.4</v>
      </c>
      <c r="S193" s="75">
        <f t="shared" si="27"/>
        <v>9.9999999999999992E-2</v>
      </c>
      <c r="T193" s="76">
        <v>344</v>
      </c>
      <c r="U193" s="306">
        <f t="shared" si="24"/>
        <v>21.5</v>
      </c>
      <c r="V193" s="76">
        <v>18</v>
      </c>
      <c r="X193" s="2">
        <v>45953</v>
      </c>
      <c r="Y193" s="3" t="s">
        <v>172</v>
      </c>
      <c r="Z193" s="3" t="s">
        <v>91</v>
      </c>
      <c r="AA193" s="76">
        <v>285</v>
      </c>
    </row>
    <row r="194" spans="1:30" ht="16.5" customHeight="1" x14ac:dyDescent="0.35">
      <c r="A194" s="351">
        <v>45953</v>
      </c>
      <c r="B194" s="76" t="s">
        <v>437</v>
      </c>
      <c r="C194" s="71" t="s">
        <v>104</v>
      </c>
      <c r="D194" s="3"/>
      <c r="E194" s="3" t="s">
        <v>194</v>
      </c>
      <c r="F194" s="3" t="s">
        <v>87</v>
      </c>
      <c r="H194" s="76">
        <v>5006</v>
      </c>
      <c r="I194" s="3" t="s">
        <v>88</v>
      </c>
      <c r="J194" s="3" t="s">
        <v>90</v>
      </c>
      <c r="L194" s="326" t="s">
        <v>455</v>
      </c>
      <c r="M194" s="3"/>
      <c r="N194" s="356" cm="1">
        <f t="array" ref="N194">_xlfn.IFS(I194="AEX",H194/400,I194="RP",H194/200)</f>
        <v>12.515000000000001</v>
      </c>
      <c r="O194" s="3">
        <v>23.5</v>
      </c>
      <c r="P194" s="75">
        <f t="shared" si="25"/>
        <v>213.02127659574469</v>
      </c>
      <c r="Q194" s="3" t="str" cm="1">
        <f t="array" ref="Q194">_xlfn.IFS(P194&lt;200, "10", P194&lt;400, "12", P194&lt;600, "14", P194&gt;600, "16")</f>
        <v>12</v>
      </c>
      <c r="R194" s="75">
        <f t="shared" si="28"/>
        <v>3.7544999999999997</v>
      </c>
      <c r="S194" s="75">
        <f t="shared" si="27"/>
        <v>0.15976595744680849</v>
      </c>
      <c r="T194" s="76">
        <v>450</v>
      </c>
      <c r="U194" s="306">
        <f t="shared" ref="U194:U197" si="29">T194/H194*100</f>
        <v>8.9892129444666402</v>
      </c>
      <c r="V194" s="76">
        <v>15</v>
      </c>
      <c r="W194" s="3" t="s">
        <v>87</v>
      </c>
      <c r="X194" s="2">
        <v>45953</v>
      </c>
      <c r="Y194" s="3" t="s">
        <v>172</v>
      </c>
      <c r="Z194" s="3" t="s">
        <v>87</v>
      </c>
      <c r="AA194" s="76">
        <v>442</v>
      </c>
      <c r="AD194" s="47" t="s">
        <v>452</v>
      </c>
    </row>
    <row r="195" spans="1:30" ht="16.5" customHeight="1" x14ac:dyDescent="0.35">
      <c r="A195" s="351">
        <v>45954</v>
      </c>
      <c r="B195" s="324" t="s">
        <v>443</v>
      </c>
      <c r="C195" s="71" t="s">
        <v>104</v>
      </c>
      <c r="D195" s="3"/>
      <c r="E195" s="3" t="s">
        <v>86</v>
      </c>
      <c r="F195" s="3" t="s">
        <v>87</v>
      </c>
      <c r="H195" s="76">
        <v>2000</v>
      </c>
      <c r="I195" s="3" t="s">
        <v>88</v>
      </c>
      <c r="J195" s="3" t="s">
        <v>90</v>
      </c>
      <c r="M195" s="3"/>
      <c r="N195" s="356" cm="1">
        <f t="array" ref="N195">_xlfn.IFS(I195="AEX",H195/400,I195="RP",H195/200)</f>
        <v>5</v>
      </c>
      <c r="O195" s="3">
        <v>23.5</v>
      </c>
      <c r="P195" s="75">
        <f t="shared" si="25"/>
        <v>85.106382978723403</v>
      </c>
      <c r="Q195" s="3" t="str" cm="1">
        <f t="array" ref="Q195">_xlfn.IFS(P195&lt;200, "10", P195&lt;400, "12", P195&lt;600, "14", P195&gt;600, "16")</f>
        <v>10</v>
      </c>
      <c r="R195" s="75">
        <f t="shared" si="28"/>
        <v>1.5</v>
      </c>
      <c r="S195" s="75">
        <f t="shared" si="27"/>
        <v>6.3829787234042548E-2</v>
      </c>
      <c r="T195" s="76">
        <v>521</v>
      </c>
      <c r="U195" s="306">
        <f t="shared" si="29"/>
        <v>26.05</v>
      </c>
      <c r="X195" s="2"/>
      <c r="AA195" s="76">
        <v>492</v>
      </c>
    </row>
    <row r="196" spans="1:30" ht="16.5" customHeight="1" x14ac:dyDescent="0.35">
      <c r="A196" s="351">
        <v>45954</v>
      </c>
      <c r="B196" s="324" t="s">
        <v>444</v>
      </c>
      <c r="C196" s="71" t="s">
        <v>104</v>
      </c>
      <c r="D196" s="3"/>
      <c r="E196" s="3" t="s">
        <v>86</v>
      </c>
      <c r="F196" s="3" t="s">
        <v>87</v>
      </c>
      <c r="H196" s="76">
        <v>2000</v>
      </c>
      <c r="I196" s="3" t="s">
        <v>88</v>
      </c>
      <c r="J196" s="3" t="s">
        <v>89</v>
      </c>
      <c r="M196" s="3"/>
      <c r="N196" s="356" cm="1">
        <f t="array" ref="N196">_xlfn.IFS(I196="AEX",H196/400,I196="RP",H196/200)</f>
        <v>5</v>
      </c>
      <c r="O196" s="3">
        <v>16</v>
      </c>
      <c r="P196" s="3">
        <f t="shared" si="25"/>
        <v>125</v>
      </c>
      <c r="Q196" s="3" t="str" cm="1">
        <f t="array" ref="Q196">_xlfn.IFS(P196&lt;200, "10", P196&lt;400, "12", P196&lt;600, "14", P196&gt;600, "16")</f>
        <v>10</v>
      </c>
      <c r="R196" s="3">
        <f t="shared" si="28"/>
        <v>1.5</v>
      </c>
      <c r="S196" s="3">
        <f t="shared" si="27"/>
        <v>9.375E-2</v>
      </c>
      <c r="T196" s="76">
        <v>836</v>
      </c>
      <c r="U196" s="306">
        <f t="shared" si="29"/>
        <v>41.8</v>
      </c>
      <c r="AA196" s="76">
        <v>804</v>
      </c>
      <c r="AD196" s="3"/>
    </row>
    <row r="197" spans="1:30" ht="16.5" customHeight="1" x14ac:dyDescent="0.35">
      <c r="A197" s="351">
        <v>45954</v>
      </c>
      <c r="B197" s="76" t="s">
        <v>445</v>
      </c>
      <c r="C197" s="71" t="s">
        <v>104</v>
      </c>
      <c r="D197" s="3"/>
      <c r="E197" s="3" t="s">
        <v>86</v>
      </c>
      <c r="F197" s="3" t="s">
        <v>87</v>
      </c>
      <c r="H197" s="76">
        <v>300</v>
      </c>
      <c r="I197" s="3" t="s">
        <v>88</v>
      </c>
      <c r="J197" s="3" t="s">
        <v>90</v>
      </c>
      <c r="M197" s="3"/>
      <c r="N197" s="356" cm="1">
        <f t="array" ref="N197">_xlfn.IFS(I197="AEX",H200/400,I197="RP",H200/200)</f>
        <v>3.375</v>
      </c>
      <c r="O197" s="3">
        <v>3</v>
      </c>
      <c r="P197" s="75">
        <f>H200/O197</f>
        <v>450</v>
      </c>
      <c r="Q197" s="3" t="str" cm="1">
        <f t="array" ref="Q197">_xlfn.IFS(P197&lt;200, "10", P197&lt;400, "12", P197&lt;600, "14", P197&gt;600, "16")</f>
        <v>14</v>
      </c>
      <c r="R197" s="75">
        <f>IF(I197="AEX",H200*0.3/400,H200*0.3/200)</f>
        <v>1.0125</v>
      </c>
      <c r="S197" s="75">
        <f t="shared" si="27"/>
        <v>0.33749999999999997</v>
      </c>
      <c r="T197" s="76">
        <v>181</v>
      </c>
      <c r="U197" s="306">
        <f t="shared" si="29"/>
        <v>60.333333333333336</v>
      </c>
      <c r="X197" s="2"/>
      <c r="AA197" s="76">
        <v>158</v>
      </c>
    </row>
    <row r="198" spans="1:30" ht="16.5" customHeight="1" x14ac:dyDescent="0.35">
      <c r="A198" s="351">
        <v>45955</v>
      </c>
      <c r="B198" s="76" t="s">
        <v>448</v>
      </c>
      <c r="C198" s="71" t="s">
        <v>104</v>
      </c>
      <c r="D198" s="3"/>
      <c r="E198" s="3" t="s">
        <v>86</v>
      </c>
      <c r="F198" s="3" t="s">
        <v>87</v>
      </c>
      <c r="H198" s="76">
        <v>2200</v>
      </c>
      <c r="I198" s="3" t="s">
        <v>88</v>
      </c>
      <c r="J198" s="3" t="s">
        <v>89</v>
      </c>
      <c r="L198" s="326" t="s">
        <v>454</v>
      </c>
      <c r="M198" s="3"/>
      <c r="N198" s="356" cm="1">
        <f t="array" ref="N198">_xlfn.IFS(I198="AEX",H198/400,I198="RP",H198/200)</f>
        <v>5.5</v>
      </c>
      <c r="O198" s="3">
        <v>16.100000000000001</v>
      </c>
      <c r="P198" s="75">
        <f>H198/O198</f>
        <v>136.64596273291923</v>
      </c>
      <c r="Q198" s="3" t="str" cm="1">
        <f t="array" ref="Q198">_xlfn.IFS(P198&lt;200, "10", P198&lt;400, "12", P198&lt;600, "14", P198&gt;600, "16")</f>
        <v>10</v>
      </c>
      <c r="R198" s="75">
        <f>IF(I198="AEX",H198*0.3/400,H198*0.3/200)</f>
        <v>1.65</v>
      </c>
      <c r="S198" s="75">
        <f t="shared" si="27"/>
        <v>0.10248447204968943</v>
      </c>
      <c r="U198" s="306">
        <f>T198/H210*100</f>
        <v>0</v>
      </c>
      <c r="X198" s="2"/>
    </row>
    <row r="199" spans="1:30" ht="16.5" customHeight="1" x14ac:dyDescent="0.35">
      <c r="A199" s="351">
        <v>45957</v>
      </c>
      <c r="B199" s="259" t="s">
        <v>449</v>
      </c>
      <c r="C199" s="71" t="s">
        <v>104</v>
      </c>
      <c r="D199" s="3"/>
      <c r="E199" s="3" t="s">
        <v>87</v>
      </c>
      <c r="F199" s="3" t="s">
        <v>87</v>
      </c>
      <c r="H199" s="76">
        <v>2172</v>
      </c>
      <c r="I199" s="3" t="s">
        <v>88</v>
      </c>
      <c r="J199" s="3" t="s">
        <v>89</v>
      </c>
      <c r="L199" s="326" t="s">
        <v>454</v>
      </c>
      <c r="M199" s="3"/>
      <c r="N199" s="356" cm="1">
        <f t="array" ref="N199">_xlfn.IFS(I199="AEX",H199/400,I199="RP",H199/200)</f>
        <v>5.43</v>
      </c>
      <c r="O199" s="3">
        <v>16.100000000000001</v>
      </c>
      <c r="P199" s="75">
        <f>H199/O199</f>
        <v>134.90683229813664</v>
      </c>
      <c r="Q199" s="3" t="str" cm="1">
        <f t="array" ref="Q199">_xlfn.IFS(P199&lt;200, "10", P199&lt;400, "12", P199&lt;600, "14", P199&gt;600, "16")</f>
        <v>10</v>
      </c>
      <c r="R199" s="75">
        <f>IF(I199="AEX",H199*0.3/400,H199*0.3/200)</f>
        <v>1.629</v>
      </c>
      <c r="S199" s="75">
        <f t="shared" si="27"/>
        <v>0.10118012422360248</v>
      </c>
      <c r="U199" s="306">
        <f t="shared" ref="U199:U223" si="30">T199/H199*100</f>
        <v>0</v>
      </c>
      <c r="X199" s="2"/>
    </row>
    <row r="200" spans="1:30" ht="16.5" customHeight="1" x14ac:dyDescent="0.35">
      <c r="A200" s="351">
        <v>45958</v>
      </c>
      <c r="B200" s="76" t="s">
        <v>446</v>
      </c>
      <c r="C200" s="71" t="s">
        <v>104</v>
      </c>
      <c r="D200" s="3"/>
      <c r="E200" s="3" t="s">
        <v>86</v>
      </c>
      <c r="F200" s="3" t="s">
        <v>87</v>
      </c>
      <c r="H200" s="76">
        <v>1350</v>
      </c>
      <c r="I200" s="3" t="s">
        <v>88</v>
      </c>
      <c r="J200" s="3" t="s">
        <v>89</v>
      </c>
      <c r="L200" s="326" t="s">
        <v>454</v>
      </c>
      <c r="M200" s="3"/>
      <c r="N200" s="356" cm="1">
        <f t="array" ref="N200">_xlfn.IFS(I200="AEX",H201/400,I200="RP",H201/200)</f>
        <v>3.625</v>
      </c>
      <c r="O200" s="3">
        <v>16.100000000000001</v>
      </c>
      <c r="P200" s="75">
        <f>H201/O200</f>
        <v>90.062111801242224</v>
      </c>
      <c r="Q200" s="3" t="str" cm="1">
        <f t="array" ref="Q200">_xlfn.IFS(P200&lt;200, "10", P200&lt;400, "12", P200&lt;600, "14", P200&gt;600, "16")</f>
        <v>10</v>
      </c>
      <c r="R200" s="75">
        <f>IF(I200="AEX",H201*0.3/400,H201*0.3/200)</f>
        <v>1.0874999999999999</v>
      </c>
      <c r="S200" s="75">
        <f t="shared" si="27"/>
        <v>6.7546583850931666E-2</v>
      </c>
      <c r="U200" s="306">
        <f t="shared" si="30"/>
        <v>0</v>
      </c>
      <c r="X200" s="2"/>
    </row>
    <row r="201" spans="1:30" ht="16.5" customHeight="1" x14ac:dyDescent="0.35">
      <c r="A201" s="351">
        <v>45958</v>
      </c>
      <c r="B201" s="76" t="s">
        <v>447</v>
      </c>
      <c r="C201" s="71" t="s">
        <v>104</v>
      </c>
      <c r="D201" s="3"/>
      <c r="E201" s="3" t="s">
        <v>86</v>
      </c>
      <c r="F201" s="3" t="s">
        <v>87</v>
      </c>
      <c r="H201" s="76">
        <v>1450</v>
      </c>
      <c r="I201" s="3" t="s">
        <v>88</v>
      </c>
      <c r="J201" s="3" t="s">
        <v>90</v>
      </c>
      <c r="L201" s="326" t="s">
        <v>454</v>
      </c>
      <c r="M201" s="3"/>
      <c r="N201" s="356" cm="1">
        <f t="array" ref="N201">_xlfn.IFS(I201="AEX",H201/400,I201="RP",H201/200)</f>
        <v>3.625</v>
      </c>
      <c r="O201" s="3">
        <v>23.5</v>
      </c>
      <c r="P201" s="75">
        <f t="shared" ref="P201:P294" si="31">H201/O201</f>
        <v>61.702127659574465</v>
      </c>
      <c r="Q201" s="3" t="str" cm="1">
        <f t="array" ref="Q201">_xlfn.IFS(P201&lt;200, "10", P201&lt;400, "12", P201&lt;600, "14", P201&gt;600, "16")</f>
        <v>10</v>
      </c>
      <c r="R201" s="75">
        <f t="shared" ref="R201:R294" si="32">IF(I201="AEX",H201*0.3/400,H201*0.3/200)</f>
        <v>1.0874999999999999</v>
      </c>
      <c r="S201" s="75">
        <f t="shared" si="27"/>
        <v>4.6276595744680848E-2</v>
      </c>
      <c r="U201" s="306">
        <f t="shared" si="30"/>
        <v>0</v>
      </c>
      <c r="X201" s="2"/>
    </row>
    <row r="202" spans="1:30" ht="16.5" customHeight="1" x14ac:dyDescent="0.35">
      <c r="A202" s="351">
        <v>45958</v>
      </c>
      <c r="B202" s="76" t="s">
        <v>457</v>
      </c>
      <c r="C202" s="71" t="s">
        <v>104</v>
      </c>
      <c r="D202" s="3"/>
      <c r="E202" s="3" t="s">
        <v>87</v>
      </c>
      <c r="F202" s="3" t="s">
        <v>87</v>
      </c>
      <c r="H202" s="76">
        <v>2600</v>
      </c>
      <c r="I202" s="3" t="s">
        <v>88</v>
      </c>
      <c r="J202" s="3" t="s">
        <v>89</v>
      </c>
      <c r="L202" s="326" t="s">
        <v>454</v>
      </c>
      <c r="M202" s="3"/>
      <c r="N202" s="356" cm="1">
        <f t="array" ref="N202">_xlfn.IFS(I202="AEX",H202/400,I202="RP",H202/200)</f>
        <v>6.5</v>
      </c>
      <c r="O202" s="3">
        <v>16.100000000000001</v>
      </c>
      <c r="P202" s="75">
        <f t="shared" si="31"/>
        <v>161.49068322981364</v>
      </c>
      <c r="Q202" s="3" t="str" cm="1">
        <f t="array" ref="Q202">_xlfn.IFS(P202&lt;200, "10", P202&lt;400, "12", P202&lt;600, "14", P202&gt;600, "16")</f>
        <v>10</v>
      </c>
      <c r="R202" s="75">
        <f t="shared" si="32"/>
        <v>1.95</v>
      </c>
      <c r="S202" s="75">
        <f t="shared" si="27"/>
        <v>0.12111801242236024</v>
      </c>
      <c r="U202" s="306">
        <f t="shared" si="30"/>
        <v>0</v>
      </c>
      <c r="X202" s="2"/>
    </row>
    <row r="203" spans="1:30" ht="16.5" customHeight="1" x14ac:dyDescent="0.35">
      <c r="A203" s="351">
        <v>45958</v>
      </c>
      <c r="B203" s="76" t="s">
        <v>458</v>
      </c>
      <c r="C203" s="71" t="s">
        <v>104</v>
      </c>
      <c r="D203" s="3"/>
      <c r="E203" s="3" t="s">
        <v>87</v>
      </c>
      <c r="F203" s="3" t="s">
        <v>87</v>
      </c>
      <c r="H203" s="76">
        <v>4000</v>
      </c>
      <c r="I203" s="3" t="s">
        <v>88</v>
      </c>
      <c r="J203" s="3" t="s">
        <v>90</v>
      </c>
      <c r="L203" s="326" t="s">
        <v>454</v>
      </c>
      <c r="M203" s="3"/>
      <c r="N203" s="356" cm="1">
        <f t="array" ref="N203">_xlfn.IFS(I203="AEX",H203/400,I203="RP",H203/200)</f>
        <v>10</v>
      </c>
      <c r="O203" s="3">
        <v>23.5</v>
      </c>
      <c r="P203" s="75">
        <f t="shared" si="31"/>
        <v>170.21276595744681</v>
      </c>
      <c r="Q203" s="3" t="str" cm="1">
        <f t="array" ref="Q203">_xlfn.IFS(P203&lt;200, "10", P203&lt;400, "12", P203&lt;600, "14", P203&gt;600, "16")</f>
        <v>10</v>
      </c>
      <c r="R203" s="75">
        <f t="shared" si="32"/>
        <v>3</v>
      </c>
      <c r="S203" s="75">
        <f t="shared" si="27"/>
        <v>0.1276595744680851</v>
      </c>
      <c r="U203" s="306">
        <f t="shared" si="30"/>
        <v>0</v>
      </c>
      <c r="X203" s="2"/>
    </row>
    <row r="204" spans="1:30" ht="16.5" customHeight="1" x14ac:dyDescent="0.35">
      <c r="A204" s="351">
        <v>45958</v>
      </c>
      <c r="B204" s="76" t="s">
        <v>456</v>
      </c>
      <c r="C204" s="71" t="s">
        <v>104</v>
      </c>
      <c r="D204" s="3"/>
      <c r="E204" s="3" t="s">
        <v>86</v>
      </c>
      <c r="F204" s="3" t="s">
        <v>87</v>
      </c>
      <c r="H204" s="76">
        <v>15780</v>
      </c>
      <c r="I204" s="3" t="s">
        <v>88</v>
      </c>
      <c r="J204" s="3" t="s">
        <v>90</v>
      </c>
      <c r="L204" s="326" t="s">
        <v>454</v>
      </c>
      <c r="M204" s="3"/>
      <c r="N204" s="356" cm="1">
        <f t="array" ref="N204">_xlfn.IFS(I204="AEX",H204/400,I204="RP",H204/200)</f>
        <v>39.450000000000003</v>
      </c>
      <c r="O204" s="3">
        <v>63.8</v>
      </c>
      <c r="P204" s="75">
        <f t="shared" si="31"/>
        <v>247.33542319749216</v>
      </c>
      <c r="Q204" s="3" t="str" cm="1">
        <f t="array" ref="Q204">_xlfn.IFS(P204&lt;200, "10", P204&lt;400, "12", P204&lt;600, "14", P204&gt;600, "16")</f>
        <v>12</v>
      </c>
      <c r="R204" s="75">
        <f t="shared" si="32"/>
        <v>11.835000000000001</v>
      </c>
      <c r="S204" s="75">
        <f t="shared" si="27"/>
        <v>0.18550156739811915</v>
      </c>
      <c r="T204" s="76">
        <v>10098</v>
      </c>
      <c r="U204" s="306">
        <f t="shared" si="30"/>
        <v>63.99239543726236</v>
      </c>
      <c r="V204" s="76">
        <v>204.63</v>
      </c>
      <c r="W204" s="3" t="s">
        <v>91</v>
      </c>
      <c r="X204" s="2">
        <v>45958</v>
      </c>
      <c r="Y204" s="3" t="s">
        <v>318</v>
      </c>
      <c r="Z204" s="3" t="s">
        <v>87</v>
      </c>
      <c r="AA204" s="76">
        <v>10162.5</v>
      </c>
      <c r="AB204" s="76">
        <v>180.26</v>
      </c>
    </row>
    <row r="205" spans="1:30" ht="16.5" customHeight="1" x14ac:dyDescent="0.35">
      <c r="A205" s="351">
        <v>45959</v>
      </c>
      <c r="B205" s="76" t="s">
        <v>460</v>
      </c>
      <c r="C205" s="71" t="s">
        <v>104</v>
      </c>
      <c r="D205" s="3"/>
      <c r="E205" s="3" t="s">
        <v>87</v>
      </c>
      <c r="F205" s="3" t="s">
        <v>87</v>
      </c>
      <c r="H205" s="76">
        <v>3540</v>
      </c>
      <c r="I205" s="3" t="s">
        <v>70</v>
      </c>
      <c r="J205" s="3" t="s">
        <v>209</v>
      </c>
      <c r="L205" s="326" t="s">
        <v>459</v>
      </c>
      <c r="M205" s="3"/>
      <c r="N205" s="356" cm="1">
        <f t="array" ref="N205">_xlfn.IFS(I205="AEX",H205/400,I205="RP",H205/200)</f>
        <v>17.7</v>
      </c>
      <c r="O205" s="3">
        <v>55</v>
      </c>
      <c r="P205" s="75">
        <f t="shared" si="31"/>
        <v>64.36363636363636</v>
      </c>
      <c r="Q205" s="3" t="str" cm="1">
        <f t="array" ref="Q205">_xlfn.IFS(P205&lt;200, "10", P205&lt;400, "12", P205&lt;600, "14", P205&gt;600, "16")</f>
        <v>10</v>
      </c>
      <c r="R205" s="75">
        <f t="shared" si="32"/>
        <v>5.31</v>
      </c>
      <c r="S205" s="75">
        <f t="shared" si="27"/>
        <v>9.6545454545454532E-2</v>
      </c>
      <c r="T205" s="76">
        <v>920</v>
      </c>
      <c r="U205" s="306">
        <f t="shared" si="30"/>
        <v>25.988700564971751</v>
      </c>
      <c r="X205" s="2"/>
    </row>
    <row r="206" spans="1:30" ht="16.5" customHeight="1" x14ac:dyDescent="0.35">
      <c r="A206" s="351">
        <v>45960</v>
      </c>
      <c r="B206" s="76" t="s">
        <v>462</v>
      </c>
      <c r="C206" s="71" t="s">
        <v>104</v>
      </c>
      <c r="D206" s="3"/>
      <c r="E206" s="3" t="s">
        <v>87</v>
      </c>
      <c r="F206" s="3" t="s">
        <v>87</v>
      </c>
      <c r="H206" s="76">
        <v>920</v>
      </c>
      <c r="I206" s="3" t="s">
        <v>88</v>
      </c>
      <c r="J206" s="3" t="s">
        <v>89</v>
      </c>
      <c r="L206" s="326" t="s">
        <v>454</v>
      </c>
      <c r="M206" s="3"/>
      <c r="N206" s="356" cm="1">
        <f t="array" ref="N206">_xlfn.IFS(I206="AEX",H206/400,I206="RP",H206/200)</f>
        <v>2.2999999999999998</v>
      </c>
      <c r="O206" s="3">
        <v>16.100000000000001</v>
      </c>
      <c r="P206" s="75">
        <f t="shared" si="31"/>
        <v>57.142857142857139</v>
      </c>
      <c r="Q206" s="3" t="str" cm="1">
        <f t="array" ref="Q206">_xlfn.IFS(P206&lt;200, "10", P206&lt;400, "12", P206&lt;600, "14", P206&gt;600, "16")</f>
        <v>10</v>
      </c>
      <c r="R206" s="75">
        <f t="shared" si="32"/>
        <v>0.69</v>
      </c>
      <c r="S206" s="75">
        <f t="shared" si="27"/>
        <v>4.2857142857142851E-2</v>
      </c>
      <c r="T206" s="76">
        <v>339</v>
      </c>
      <c r="U206" s="306">
        <f t="shared" si="30"/>
        <v>36.847826086956523</v>
      </c>
      <c r="V206" s="76">
        <v>7</v>
      </c>
      <c r="W206" s="3" t="s">
        <v>91</v>
      </c>
      <c r="X206" s="2">
        <v>45960</v>
      </c>
      <c r="Y206" s="3" t="s">
        <v>172</v>
      </c>
      <c r="Z206" s="3" t="s">
        <v>87</v>
      </c>
      <c r="AA206" s="76">
        <v>295</v>
      </c>
    </row>
    <row r="207" spans="1:30" ht="16.5" customHeight="1" x14ac:dyDescent="0.35">
      <c r="A207" s="351">
        <v>45960</v>
      </c>
      <c r="B207" s="76" t="s">
        <v>464</v>
      </c>
      <c r="C207" s="71" t="s">
        <v>104</v>
      </c>
      <c r="D207" s="3"/>
      <c r="E207" s="3" t="s">
        <v>87</v>
      </c>
      <c r="F207" s="3" t="s">
        <v>87</v>
      </c>
      <c r="H207" s="76">
        <v>2340</v>
      </c>
      <c r="I207" s="3" t="s">
        <v>70</v>
      </c>
      <c r="J207" s="3" t="s">
        <v>195</v>
      </c>
      <c r="L207" s="326" t="s">
        <v>459</v>
      </c>
      <c r="M207" s="3"/>
      <c r="N207" s="356" cm="1">
        <f t="array" ref="N207">_xlfn.IFS(I207="AEX",H207/400,I207="RP",H207/200)</f>
        <v>11.7</v>
      </c>
      <c r="O207" s="3">
        <v>24</v>
      </c>
      <c r="P207" s="75">
        <f t="shared" si="31"/>
        <v>97.5</v>
      </c>
      <c r="Q207" s="3" t="str" cm="1">
        <f t="array" ref="Q207">_xlfn.IFS(P207&lt;200, "10", P207&lt;400, "12", P207&lt;600, "14", P207&gt;600, "16")</f>
        <v>10</v>
      </c>
      <c r="R207" s="75">
        <f t="shared" si="32"/>
        <v>3.51</v>
      </c>
      <c r="S207" s="75">
        <f t="shared" ref="S207:S209" si="33">R207/O207</f>
        <v>0.14624999999999999</v>
      </c>
      <c r="T207" s="76">
        <v>702</v>
      </c>
      <c r="U207" s="306">
        <f t="shared" si="30"/>
        <v>30</v>
      </c>
      <c r="V207" s="76">
        <v>27</v>
      </c>
      <c r="W207" s="3" t="s">
        <v>87</v>
      </c>
      <c r="X207" s="2">
        <v>45960</v>
      </c>
      <c r="Y207" s="3" t="s">
        <v>172</v>
      </c>
      <c r="Z207" s="3" t="s">
        <v>91</v>
      </c>
      <c r="AA207" s="76">
        <v>645</v>
      </c>
    </row>
    <row r="208" spans="1:30" ht="16.5" customHeight="1" x14ac:dyDescent="0.35">
      <c r="A208" s="351">
        <v>45960</v>
      </c>
      <c r="B208" s="76" t="s">
        <v>465</v>
      </c>
      <c r="C208" s="71" t="s">
        <v>104</v>
      </c>
      <c r="D208" s="3"/>
      <c r="E208" s="3" t="s">
        <v>87</v>
      </c>
      <c r="F208" s="3" t="s">
        <v>87</v>
      </c>
      <c r="H208" s="76">
        <v>24509</v>
      </c>
      <c r="I208" s="3" t="s">
        <v>88</v>
      </c>
      <c r="J208" s="3" t="s">
        <v>89</v>
      </c>
      <c r="L208" s="326" t="s">
        <v>454</v>
      </c>
      <c r="M208" s="3"/>
      <c r="N208" s="356" cm="1">
        <f t="array" ref="N208">_xlfn.IFS(I208="AEX",H208/400,I208="RP",H208/200)</f>
        <v>61.272500000000001</v>
      </c>
      <c r="O208" s="3">
        <v>288</v>
      </c>
      <c r="P208" s="75">
        <f t="shared" si="31"/>
        <v>85.100694444444443</v>
      </c>
      <c r="Q208" s="3" t="str" cm="1">
        <f t="array" ref="Q208">_xlfn.IFS(P208&lt;200, "10", P208&lt;400, "12", P208&lt;600, "14", P208&gt;600, "16")</f>
        <v>10</v>
      </c>
      <c r="R208" s="75">
        <f t="shared" si="32"/>
        <v>18.38175</v>
      </c>
      <c r="S208" s="75">
        <f t="shared" si="33"/>
        <v>6.382552083333333E-2</v>
      </c>
      <c r="T208" s="76">
        <v>14063</v>
      </c>
      <c r="U208" s="306">
        <f t="shared" si="30"/>
        <v>57.378922028642542</v>
      </c>
      <c r="V208" s="76">
        <v>258.43</v>
      </c>
      <c r="W208" s="3" t="s">
        <v>91</v>
      </c>
      <c r="X208" s="2">
        <v>45961</v>
      </c>
      <c r="Y208" s="3" t="s">
        <v>318</v>
      </c>
      <c r="Z208" s="3" t="s">
        <v>87</v>
      </c>
      <c r="AA208" s="76">
        <v>14476.29</v>
      </c>
      <c r="AB208" s="76">
        <v>216.67</v>
      </c>
    </row>
    <row r="209" spans="1:30" ht="16.5" customHeight="1" x14ac:dyDescent="0.35">
      <c r="A209" s="351">
        <v>45961</v>
      </c>
      <c r="B209" s="76" t="s">
        <v>466</v>
      </c>
      <c r="C209" s="71" t="s">
        <v>104</v>
      </c>
      <c r="D209" s="3"/>
      <c r="E209" s="3" t="s">
        <v>86</v>
      </c>
      <c r="F209" s="3" t="s">
        <v>87</v>
      </c>
      <c r="H209" s="76">
        <v>4236</v>
      </c>
      <c r="I209" s="3" t="s">
        <v>88</v>
      </c>
      <c r="J209" s="3" t="s">
        <v>89</v>
      </c>
      <c r="L209" s="326" t="s">
        <v>454</v>
      </c>
      <c r="M209" s="3"/>
      <c r="N209" s="356" cm="1">
        <f t="array" ref="N209">_xlfn.IFS(I209="AEX",H209/400,I209="RP",H209/200)</f>
        <v>10.59</v>
      </c>
      <c r="O209" s="3">
        <v>16.100000000000001</v>
      </c>
      <c r="P209" s="75">
        <f t="shared" si="31"/>
        <v>263.10559006211179</v>
      </c>
      <c r="Q209" s="3" t="str" cm="1">
        <f t="array" ref="Q209">_xlfn.IFS(P209&lt;200, "10", P209&lt;400, "12", P209&lt;600, "14", P209&gt;600, "16")</f>
        <v>12</v>
      </c>
      <c r="R209" s="75">
        <f t="shared" si="32"/>
        <v>3.177</v>
      </c>
      <c r="S209" s="75">
        <f t="shared" si="33"/>
        <v>0.19732919254658385</v>
      </c>
      <c r="T209" s="76">
        <v>2007</v>
      </c>
      <c r="U209" s="306">
        <f t="shared" si="30"/>
        <v>47.379603399433428</v>
      </c>
      <c r="X209" s="2"/>
      <c r="Y209" s="3" t="s">
        <v>172</v>
      </c>
      <c r="AA209" s="76">
        <v>2007</v>
      </c>
    </row>
    <row r="210" spans="1:30" ht="16.5" customHeight="1" x14ac:dyDescent="0.35">
      <c r="A210" s="351">
        <v>45961</v>
      </c>
      <c r="B210" s="76" t="s">
        <v>461</v>
      </c>
      <c r="C210" s="71" t="s">
        <v>104</v>
      </c>
      <c r="D210" s="3"/>
      <c r="E210" s="3" t="s">
        <v>194</v>
      </c>
      <c r="F210" s="3" t="s">
        <v>87</v>
      </c>
      <c r="H210" s="76">
        <v>32936</v>
      </c>
      <c r="I210" s="3" t="s">
        <v>70</v>
      </c>
      <c r="J210" s="3" t="s">
        <v>209</v>
      </c>
      <c r="L210" s="326" t="s">
        <v>459</v>
      </c>
      <c r="M210" s="3"/>
      <c r="N210" s="356" cm="1">
        <f t="array" ref="N210">_xlfn.IFS(I210="AEX",H210/400,I210="RP",H210/200)</f>
        <v>164.68</v>
      </c>
      <c r="O210" s="3">
        <v>251</v>
      </c>
      <c r="P210" s="75">
        <f t="shared" si="31"/>
        <v>131.21912350597609</v>
      </c>
      <c r="Q210" s="3" t="str" cm="1">
        <f t="array" ref="Q210">_xlfn.IFS(P210&lt;200, "10", P210&lt;400, "12", P210&lt;600, "14", P210&gt;600, "16")</f>
        <v>10</v>
      </c>
      <c r="R210" s="75">
        <f t="shared" si="32"/>
        <v>49.403999999999996</v>
      </c>
      <c r="S210" s="75">
        <f t="shared" ref="S210:S300" si="34">R210/O210</f>
        <v>0.19682868525896413</v>
      </c>
      <c r="T210" s="76">
        <v>11258</v>
      </c>
      <c r="U210" s="306">
        <f t="shared" si="30"/>
        <v>34.181442798153995</v>
      </c>
      <c r="V210" s="76">
        <v>697.5</v>
      </c>
      <c r="W210" s="3" t="s">
        <v>91</v>
      </c>
      <c r="X210" s="2">
        <v>45964</v>
      </c>
      <c r="Y210" s="3" t="s">
        <v>318</v>
      </c>
      <c r="Z210" s="3" t="s">
        <v>91</v>
      </c>
      <c r="AA210" s="76">
        <v>9883.6200000000008</v>
      </c>
      <c r="AB210" s="76">
        <v>221.02</v>
      </c>
    </row>
    <row r="211" spans="1:30" ht="16.5" customHeight="1" x14ac:dyDescent="0.35">
      <c r="A211" s="351">
        <v>45961</v>
      </c>
      <c r="B211" s="76" t="s">
        <v>468</v>
      </c>
      <c r="C211" s="71" t="s">
        <v>104</v>
      </c>
      <c r="D211" s="3"/>
      <c r="E211" s="3" t="s">
        <v>86</v>
      </c>
      <c r="F211" s="3" t="s">
        <v>87</v>
      </c>
      <c r="H211" s="76">
        <v>2730</v>
      </c>
      <c r="I211" s="3" t="s">
        <v>88</v>
      </c>
      <c r="J211" s="3" t="s">
        <v>90</v>
      </c>
      <c r="L211" s="326" t="s">
        <v>454</v>
      </c>
      <c r="M211" s="3"/>
      <c r="N211" s="356" cm="1">
        <f t="array" ref="N211">_xlfn.IFS(I211="AEX",H211/400,I211="RP",H211/200)</f>
        <v>6.8250000000000002</v>
      </c>
      <c r="O211" s="3">
        <v>16.100000000000001</v>
      </c>
      <c r="P211" s="75">
        <f t="shared" si="31"/>
        <v>169.56521739130434</v>
      </c>
      <c r="Q211" s="3" t="str" cm="1">
        <f t="array" ref="Q211">_xlfn.IFS(P211&lt;200, "10", P211&lt;400, "12", P211&lt;600, "14", P211&gt;600, "16")</f>
        <v>10</v>
      </c>
      <c r="R211" s="75">
        <f t="shared" si="32"/>
        <v>2.0474999999999999</v>
      </c>
      <c r="S211" s="75">
        <f t="shared" si="34"/>
        <v>0.12717391304347825</v>
      </c>
      <c r="U211" s="306">
        <f t="shared" si="30"/>
        <v>0</v>
      </c>
      <c r="X211" s="2"/>
      <c r="Y211" s="3" t="s">
        <v>172</v>
      </c>
    </row>
    <row r="212" spans="1:30" ht="16.5" customHeight="1" x14ac:dyDescent="0.35">
      <c r="A212" s="351">
        <v>45961</v>
      </c>
      <c r="B212" s="76" t="s">
        <v>469</v>
      </c>
      <c r="C212" s="71" t="s">
        <v>104</v>
      </c>
      <c r="D212" s="3"/>
      <c r="E212" s="3" t="s">
        <v>86</v>
      </c>
      <c r="F212" s="3" t="s">
        <v>87</v>
      </c>
      <c r="H212" s="76">
        <v>2511</v>
      </c>
      <c r="I212" s="3" t="s">
        <v>88</v>
      </c>
      <c r="J212" s="3" t="s">
        <v>89</v>
      </c>
      <c r="L212" s="326" t="s">
        <v>454</v>
      </c>
      <c r="M212" s="3"/>
      <c r="N212" s="356" cm="1">
        <f t="array" ref="N212">_xlfn.IFS(I212="AEX",H212/400,I212="RP",H212/200)</f>
        <v>6.2774999999999999</v>
      </c>
      <c r="O212" s="3">
        <v>23.5</v>
      </c>
      <c r="P212" s="75">
        <f t="shared" si="31"/>
        <v>106.85106382978724</v>
      </c>
      <c r="Q212" s="3" t="str" cm="1">
        <f t="array" ref="Q212">_xlfn.IFS(P212&lt;200, "10", P212&lt;400, "12", P212&lt;600, "14", P212&gt;600, "16")</f>
        <v>10</v>
      </c>
      <c r="R212" s="75">
        <f t="shared" si="32"/>
        <v>1.8832499999999999</v>
      </c>
      <c r="S212" s="75">
        <f t="shared" si="34"/>
        <v>8.0138297872340419E-2</v>
      </c>
      <c r="T212" s="76">
        <v>850</v>
      </c>
      <c r="U212" s="306">
        <f t="shared" si="30"/>
        <v>33.851055356431701</v>
      </c>
      <c r="V212" s="76">
        <v>20</v>
      </c>
      <c r="X212" s="2"/>
      <c r="Y212" s="3" t="s">
        <v>172</v>
      </c>
    </row>
    <row r="213" spans="1:30" ht="16.5" customHeight="1" x14ac:dyDescent="0.35">
      <c r="A213" s="351">
        <v>45964</v>
      </c>
      <c r="B213" s="76" t="s">
        <v>467</v>
      </c>
      <c r="C213" s="71" t="s">
        <v>104</v>
      </c>
      <c r="D213" s="3"/>
      <c r="E213" s="3" t="s">
        <v>87</v>
      </c>
      <c r="F213" s="3" t="s">
        <v>87</v>
      </c>
      <c r="H213" s="76">
        <v>31872</v>
      </c>
      <c r="I213" s="3" t="s">
        <v>88</v>
      </c>
      <c r="J213" s="3" t="s">
        <v>89</v>
      </c>
      <c r="L213" s="326" t="s">
        <v>454</v>
      </c>
      <c r="M213" s="3"/>
      <c r="N213" s="356" cm="1">
        <f t="array" ref="N213">_xlfn.IFS(I213="AEX",H213/400,I213="RP",H213/200)</f>
        <v>79.680000000000007</v>
      </c>
      <c r="O213" s="3">
        <v>288</v>
      </c>
      <c r="P213" s="75">
        <f t="shared" si="31"/>
        <v>110.66666666666667</v>
      </c>
      <c r="Q213" s="3" t="str" cm="1">
        <f t="array" ref="Q213">_xlfn.IFS(P213&lt;200, "10", P213&lt;400, "12", P213&lt;600, "14", P213&gt;600, "16")</f>
        <v>10</v>
      </c>
      <c r="R213" s="75">
        <f t="shared" si="32"/>
        <v>23.904</v>
      </c>
      <c r="S213" s="75">
        <f t="shared" si="34"/>
        <v>8.3000000000000004E-2</v>
      </c>
      <c r="T213" s="76">
        <v>11597</v>
      </c>
      <c r="U213" s="306">
        <f t="shared" si="30"/>
        <v>36.386169678714857</v>
      </c>
      <c r="V213" s="76">
        <v>223.02</v>
      </c>
      <c r="W213" s="3" t="s">
        <v>91</v>
      </c>
      <c r="X213" s="2">
        <v>45965</v>
      </c>
      <c r="Y213" s="3" t="s">
        <v>318</v>
      </c>
      <c r="Z213" s="3" t="s">
        <v>87</v>
      </c>
      <c r="AA213" s="76">
        <v>11238.7</v>
      </c>
      <c r="AB213" s="76">
        <v>218.03</v>
      </c>
    </row>
    <row r="214" spans="1:30" ht="16.5" customHeight="1" x14ac:dyDescent="0.35">
      <c r="A214" s="351">
        <v>45964</v>
      </c>
      <c r="B214" s="76" t="s">
        <v>470</v>
      </c>
      <c r="C214" s="71" t="s">
        <v>104</v>
      </c>
      <c r="D214" s="3"/>
      <c r="E214" s="3" t="s">
        <v>86</v>
      </c>
      <c r="F214" s="3" t="s">
        <v>87</v>
      </c>
      <c r="H214" s="76">
        <v>1600</v>
      </c>
      <c r="I214" s="3" t="s">
        <v>88</v>
      </c>
      <c r="J214" s="3" t="s">
        <v>90</v>
      </c>
      <c r="L214" s="326" t="s">
        <v>454</v>
      </c>
      <c r="M214" s="3"/>
      <c r="N214" s="356" cm="1">
        <f t="array" ref="N214">_xlfn.IFS(I214="AEX",H214/400,I214="RP",H214/200)</f>
        <v>4</v>
      </c>
      <c r="O214" s="3">
        <v>23.5</v>
      </c>
      <c r="P214" s="75">
        <f t="shared" si="31"/>
        <v>68.085106382978722</v>
      </c>
      <c r="Q214" s="3" t="str" cm="1">
        <f t="array" ref="Q214">_xlfn.IFS(P214&lt;200, "10", P214&lt;400, "12", P214&lt;600, "14", P214&gt;600, "16")</f>
        <v>10</v>
      </c>
      <c r="R214" s="75">
        <f t="shared" si="32"/>
        <v>1.2</v>
      </c>
      <c r="S214" s="75">
        <f t="shared" si="34"/>
        <v>5.106382978723404E-2</v>
      </c>
      <c r="T214" s="76">
        <v>540</v>
      </c>
      <c r="U214" s="306">
        <f t="shared" si="30"/>
        <v>33.75</v>
      </c>
      <c r="X214" s="2">
        <v>45964</v>
      </c>
      <c r="Y214" s="3" t="s">
        <v>172</v>
      </c>
      <c r="AA214" s="76">
        <v>547</v>
      </c>
    </row>
    <row r="215" spans="1:30" ht="16.5" customHeight="1" x14ac:dyDescent="0.35">
      <c r="A215" s="351">
        <v>45964</v>
      </c>
      <c r="B215" s="76" t="s">
        <v>471</v>
      </c>
      <c r="C215" s="71" t="s">
        <v>104</v>
      </c>
      <c r="D215" s="3"/>
      <c r="E215" s="3" t="s">
        <v>87</v>
      </c>
      <c r="F215" s="3" t="s">
        <v>87</v>
      </c>
      <c r="H215" s="76">
        <v>1425</v>
      </c>
      <c r="I215" s="3" t="s">
        <v>70</v>
      </c>
      <c r="J215" s="3" t="s">
        <v>209</v>
      </c>
      <c r="L215" s="326" t="s">
        <v>459</v>
      </c>
      <c r="M215" s="3"/>
      <c r="N215" s="356" cm="1">
        <f t="array" ref="N215">_xlfn.IFS(I215="AEX",H215/400,I215="RP",H215/200)</f>
        <v>7.125</v>
      </c>
      <c r="O215" s="3">
        <v>22</v>
      </c>
      <c r="P215" s="75">
        <f t="shared" si="31"/>
        <v>64.772727272727266</v>
      </c>
      <c r="Q215" s="3" t="str" cm="1">
        <f t="array" ref="Q215">_xlfn.IFS(P215&lt;200, "10", P215&lt;400, "12", P215&lt;600, "14", P215&gt;600, "16")</f>
        <v>10</v>
      </c>
      <c r="R215" s="75">
        <f t="shared" si="32"/>
        <v>2.1375000000000002</v>
      </c>
      <c r="S215" s="75">
        <f t="shared" si="34"/>
        <v>9.7159090909090917E-2</v>
      </c>
      <c r="T215" s="76">
        <v>713</v>
      </c>
      <c r="U215" s="306">
        <f t="shared" si="30"/>
        <v>50.035087719298247</v>
      </c>
      <c r="V215" s="76">
        <v>26</v>
      </c>
      <c r="X215" s="2"/>
      <c r="AD215" s="47" t="s">
        <v>473</v>
      </c>
    </row>
    <row r="216" spans="1:30" ht="16.5" customHeight="1" x14ac:dyDescent="0.35">
      <c r="A216" s="351">
        <v>45964</v>
      </c>
      <c r="B216" s="76" t="s">
        <v>472</v>
      </c>
      <c r="C216" s="71" t="s">
        <v>104</v>
      </c>
      <c r="D216" s="3"/>
      <c r="E216" s="3" t="s">
        <v>87</v>
      </c>
      <c r="F216" s="3" t="s">
        <v>87</v>
      </c>
      <c r="H216" s="76">
        <v>1748</v>
      </c>
      <c r="I216" s="3" t="s">
        <v>70</v>
      </c>
      <c r="J216" s="2" t="s">
        <v>209</v>
      </c>
      <c r="L216" s="326" t="s">
        <v>459</v>
      </c>
      <c r="M216" s="3"/>
      <c r="N216" s="356" cm="1">
        <f t="array" ref="N216">_xlfn.IFS(I216="AEX",H216/400,I216="RP",H216/200)</f>
        <v>8.74</v>
      </c>
      <c r="O216" s="3">
        <v>22</v>
      </c>
      <c r="P216" s="75">
        <f t="shared" si="31"/>
        <v>79.454545454545453</v>
      </c>
      <c r="Q216" s="3" t="str" cm="1">
        <f t="array" ref="Q216">_xlfn.IFS(P216&lt;200, "10", P216&lt;400, "12", P216&lt;600, "14", P216&gt;600, "16")</f>
        <v>10</v>
      </c>
      <c r="R216" s="75">
        <f t="shared" si="32"/>
        <v>2.6219999999999999</v>
      </c>
      <c r="S216" s="75">
        <f t="shared" si="34"/>
        <v>0.11918181818181818</v>
      </c>
      <c r="T216" s="76">
        <v>868</v>
      </c>
      <c r="U216" s="306">
        <f t="shared" si="30"/>
        <v>49.65675057208238</v>
      </c>
      <c r="V216" s="76">
        <v>30</v>
      </c>
      <c r="X216" s="2"/>
      <c r="AD216" s="47" t="s">
        <v>473</v>
      </c>
    </row>
    <row r="217" spans="1:30" ht="16.5" customHeight="1" x14ac:dyDescent="0.35">
      <c r="A217" s="351">
        <v>45965</v>
      </c>
      <c r="B217" s="76" t="s">
        <v>475</v>
      </c>
      <c r="C217" s="71" t="s">
        <v>104</v>
      </c>
      <c r="D217" s="3"/>
      <c r="E217" s="3" t="s">
        <v>86</v>
      </c>
      <c r="F217" s="3" t="s">
        <v>87</v>
      </c>
      <c r="H217" s="76">
        <v>4499</v>
      </c>
      <c r="I217" s="3" t="s">
        <v>88</v>
      </c>
      <c r="J217" s="3" t="s">
        <v>90</v>
      </c>
      <c r="K217" s="3" t="s">
        <v>479</v>
      </c>
      <c r="L217" s="326" t="s">
        <v>454</v>
      </c>
      <c r="M217" s="3"/>
      <c r="N217" s="356" cm="1">
        <f t="array" ref="N217">_xlfn.IFS(I217="AEX",H217/400,I217="RP",H217/200)</f>
        <v>11.2475</v>
      </c>
      <c r="O217" s="3">
        <v>23.5</v>
      </c>
      <c r="P217" s="75">
        <f t="shared" si="31"/>
        <v>191.44680851063831</v>
      </c>
      <c r="Q217" s="3" t="str" cm="1">
        <f t="array" ref="Q217">_xlfn.IFS(P217&lt;200, "10", P217&lt;400, "12", P217&lt;600, "14", P217&gt;600, "16")</f>
        <v>10</v>
      </c>
      <c r="R217" s="75">
        <f t="shared" si="32"/>
        <v>3.37425</v>
      </c>
      <c r="S217" s="75">
        <f t="shared" si="34"/>
        <v>0.14358510638297872</v>
      </c>
      <c r="T217" s="76">
        <v>1964</v>
      </c>
      <c r="U217" s="306">
        <f t="shared" si="30"/>
        <v>43.654145365636808</v>
      </c>
      <c r="V217" s="76">
        <v>31</v>
      </c>
      <c r="X217" s="2">
        <v>45965</v>
      </c>
      <c r="Y217" s="3" t="s">
        <v>172</v>
      </c>
    </row>
    <row r="218" spans="1:30" ht="16.5" customHeight="1" x14ac:dyDescent="0.35">
      <c r="A218" s="351">
        <v>45965</v>
      </c>
      <c r="B218" s="76" t="s">
        <v>480</v>
      </c>
      <c r="C218" s="71" t="s">
        <v>104</v>
      </c>
      <c r="D218" s="3"/>
      <c r="E218" s="3" t="s">
        <v>87</v>
      </c>
      <c r="F218" s="3" t="s">
        <v>87</v>
      </c>
      <c r="H218" s="76">
        <v>4149</v>
      </c>
      <c r="I218" s="3" t="s">
        <v>88</v>
      </c>
      <c r="J218" s="3" t="s">
        <v>90</v>
      </c>
      <c r="K218" s="3" t="s">
        <v>479</v>
      </c>
      <c r="L218" s="326" t="s">
        <v>454</v>
      </c>
      <c r="M218" s="3"/>
      <c r="N218" s="356" cm="1">
        <f t="array" ref="N218">_xlfn.IFS(I218="AEX",H218/400,I218="RP",H218/200)</f>
        <v>10.3725</v>
      </c>
      <c r="O218" s="3">
        <v>16.100000000000001</v>
      </c>
      <c r="P218" s="75">
        <f t="shared" si="31"/>
        <v>257.70186335403724</v>
      </c>
      <c r="Q218" s="3" t="str" cm="1">
        <f t="array" ref="Q218">_xlfn.IFS(P218&lt;200, "10", P218&lt;400, "12", P218&lt;600, "14", P218&gt;600, "16")</f>
        <v>12</v>
      </c>
      <c r="R218" s="75">
        <f t="shared" si="32"/>
        <v>3.1117500000000002</v>
      </c>
      <c r="S218" s="75">
        <f t="shared" si="34"/>
        <v>0.19327639751552794</v>
      </c>
      <c r="U218" s="306">
        <f t="shared" si="30"/>
        <v>0</v>
      </c>
      <c r="X218" s="2"/>
    </row>
    <row r="219" spans="1:30" ht="16.5" customHeight="1" x14ac:dyDescent="0.35">
      <c r="A219" s="351">
        <v>45965</v>
      </c>
      <c r="B219" s="76" t="s">
        <v>476</v>
      </c>
      <c r="C219" s="71" t="s">
        <v>104</v>
      </c>
      <c r="D219" s="3"/>
      <c r="E219" s="3" t="s">
        <v>87</v>
      </c>
      <c r="F219" s="3" t="s">
        <v>87</v>
      </c>
      <c r="H219" s="76">
        <v>713</v>
      </c>
      <c r="I219" s="3" t="s">
        <v>88</v>
      </c>
      <c r="J219" s="3" t="s">
        <v>90</v>
      </c>
      <c r="K219" s="3" t="s">
        <v>479</v>
      </c>
      <c r="L219" s="326" t="s">
        <v>454</v>
      </c>
      <c r="M219" s="3"/>
      <c r="N219" s="356" cm="1">
        <f t="array" ref="N219">_xlfn.IFS(I219="AEX",H219/400,I219="RP",H219/200)</f>
        <v>1.7825</v>
      </c>
      <c r="O219" s="3">
        <v>3</v>
      </c>
      <c r="P219" s="75">
        <f t="shared" si="31"/>
        <v>237.66666666666666</v>
      </c>
      <c r="Q219" s="3" t="str" cm="1">
        <f t="array" ref="Q219">_xlfn.IFS(P219&lt;200, "10", P219&lt;400, "12", P219&lt;600, "14", P219&gt;600, "16")</f>
        <v>12</v>
      </c>
      <c r="R219" s="75">
        <f t="shared" si="32"/>
        <v>0.53475000000000006</v>
      </c>
      <c r="S219" s="75">
        <f t="shared" si="34"/>
        <v>0.17825000000000002</v>
      </c>
      <c r="U219" s="306">
        <f t="shared" si="30"/>
        <v>0</v>
      </c>
      <c r="X219" s="2"/>
    </row>
    <row r="220" spans="1:30" ht="16.5" customHeight="1" x14ac:dyDescent="0.35">
      <c r="A220" s="351">
        <v>45965</v>
      </c>
      <c r="B220" s="76" t="s">
        <v>477</v>
      </c>
      <c r="C220" s="71" t="s">
        <v>104</v>
      </c>
      <c r="D220" s="3"/>
      <c r="E220" s="3" t="s">
        <v>87</v>
      </c>
      <c r="F220" s="3" t="s">
        <v>87</v>
      </c>
      <c r="H220" s="76">
        <v>868</v>
      </c>
      <c r="I220" s="3" t="s">
        <v>88</v>
      </c>
      <c r="J220" s="3" t="s">
        <v>89</v>
      </c>
      <c r="K220" s="3" t="s">
        <v>479</v>
      </c>
      <c r="L220" s="326" t="s">
        <v>454</v>
      </c>
      <c r="M220" s="3"/>
      <c r="N220" s="356" cm="1">
        <f t="array" ref="N220">_xlfn.IFS(I220="AEX",H220/400,I220="RP",H220/200)</f>
        <v>2.17</v>
      </c>
      <c r="O220" s="3">
        <v>16.100000000000001</v>
      </c>
      <c r="P220" s="75">
        <f t="shared" si="31"/>
        <v>53.913043478260867</v>
      </c>
      <c r="Q220" s="3" t="str" cm="1">
        <f t="array" ref="Q220">_xlfn.IFS(P220&lt;200, "10", P220&lt;400, "12", P220&lt;600, "14", P220&gt;600, "16")</f>
        <v>10</v>
      </c>
      <c r="R220" s="75">
        <f t="shared" si="32"/>
        <v>0.65099999999999991</v>
      </c>
      <c r="S220" s="75">
        <f t="shared" si="34"/>
        <v>4.0434782608695645E-2</v>
      </c>
      <c r="U220" s="306">
        <f t="shared" si="30"/>
        <v>0</v>
      </c>
      <c r="X220" s="2"/>
    </row>
    <row r="221" spans="1:30" ht="16.5" customHeight="1" x14ac:dyDescent="0.35">
      <c r="A221" s="351">
        <v>45966</v>
      </c>
      <c r="B221" s="76" t="s">
        <v>481</v>
      </c>
      <c r="C221" s="71" t="s">
        <v>104</v>
      </c>
      <c r="D221" s="3"/>
      <c r="E221" s="3" t="s">
        <v>87</v>
      </c>
      <c r="F221" s="3" t="s">
        <v>87</v>
      </c>
      <c r="H221" s="76">
        <v>4195</v>
      </c>
      <c r="I221" s="3" t="s">
        <v>88</v>
      </c>
      <c r="J221" s="3" t="s">
        <v>90</v>
      </c>
      <c r="K221" s="3" t="s">
        <v>479</v>
      </c>
      <c r="L221" s="326" t="s">
        <v>454</v>
      </c>
      <c r="M221" s="3"/>
      <c r="N221" s="356" cm="1">
        <f t="array" ref="N221">_xlfn.IFS(I221="AEX",H221/400,I221="RP",H221/200)</f>
        <v>10.487500000000001</v>
      </c>
      <c r="O221" s="3">
        <v>23.5</v>
      </c>
      <c r="P221" s="75">
        <f t="shared" si="31"/>
        <v>178.51063829787233</v>
      </c>
      <c r="Q221" s="3" t="str" cm="1">
        <f t="array" ref="Q221">_xlfn.IFS(P221&lt;200, "10", P221&lt;400, "12", P221&lt;600, "14", P221&gt;600, "16")</f>
        <v>10</v>
      </c>
      <c r="R221" s="75">
        <f t="shared" si="32"/>
        <v>3.1462500000000002</v>
      </c>
      <c r="S221" s="75">
        <f t="shared" si="34"/>
        <v>0.13388297872340427</v>
      </c>
      <c r="T221" s="76">
        <v>2061</v>
      </c>
      <c r="U221" s="306">
        <f t="shared" si="30"/>
        <v>49.129916567342072</v>
      </c>
      <c r="V221" s="76">
        <v>27</v>
      </c>
      <c r="W221" s="3" t="s">
        <v>91</v>
      </c>
      <c r="X221" s="2">
        <v>1824</v>
      </c>
      <c r="Y221" s="3" t="s">
        <v>172</v>
      </c>
      <c r="Z221" s="3" t="s">
        <v>87</v>
      </c>
      <c r="AA221" s="76">
        <v>1824</v>
      </c>
    </row>
    <row r="222" spans="1:30" ht="16.5" customHeight="1" x14ac:dyDescent="0.35">
      <c r="A222" s="351">
        <v>45966</v>
      </c>
      <c r="B222" s="76" t="s">
        <v>483</v>
      </c>
      <c r="C222" s="71" t="s">
        <v>104</v>
      </c>
      <c r="D222" s="3"/>
      <c r="E222" s="3" t="s">
        <v>86</v>
      </c>
      <c r="F222" s="3" t="s">
        <v>87</v>
      </c>
      <c r="H222" s="76">
        <v>2476</v>
      </c>
      <c r="I222" s="3" t="s">
        <v>88</v>
      </c>
      <c r="J222" s="3" t="s">
        <v>89</v>
      </c>
      <c r="K222" s="3" t="s">
        <v>479</v>
      </c>
      <c r="L222" s="326" t="s">
        <v>454</v>
      </c>
      <c r="M222" s="3"/>
      <c r="N222" s="356" cm="1">
        <f t="array" ref="N222">_xlfn.IFS(I222="AEX",H222/400,I222="RP",H222/200)</f>
        <v>6.19</v>
      </c>
      <c r="O222" s="3">
        <v>16.100000000000001</v>
      </c>
      <c r="P222" s="75">
        <f t="shared" si="31"/>
        <v>153.7888198757764</v>
      </c>
      <c r="Q222" s="3" t="str" cm="1">
        <f t="array" ref="Q222">_xlfn.IFS(P222&lt;200, "10", P222&lt;400, "12", P222&lt;600, "14", P222&gt;600, "16")</f>
        <v>10</v>
      </c>
      <c r="R222" s="75">
        <f t="shared" si="32"/>
        <v>1.857</v>
      </c>
      <c r="S222" s="75">
        <f t="shared" si="34"/>
        <v>0.11534161490683228</v>
      </c>
      <c r="T222" s="76">
        <v>867</v>
      </c>
      <c r="U222" s="306">
        <f t="shared" si="30"/>
        <v>35.01615508885299</v>
      </c>
      <c r="V222" s="76">
        <v>31</v>
      </c>
      <c r="W222" s="3" t="s">
        <v>91</v>
      </c>
      <c r="X222" s="2">
        <v>45965</v>
      </c>
      <c r="Y222" s="3" t="s">
        <v>172</v>
      </c>
      <c r="Z222" s="3" t="s">
        <v>87</v>
      </c>
      <c r="AA222" s="76">
        <v>857</v>
      </c>
    </row>
    <row r="223" spans="1:30" ht="16.5" customHeight="1" x14ac:dyDescent="0.35">
      <c r="A223" s="351">
        <v>45966</v>
      </c>
      <c r="B223" s="76" t="s">
        <v>485</v>
      </c>
      <c r="C223" s="71" t="s">
        <v>104</v>
      </c>
      <c r="D223" s="3"/>
      <c r="E223" s="3" t="s">
        <v>86</v>
      </c>
      <c r="F223" s="3" t="s">
        <v>87</v>
      </c>
      <c r="H223" s="76">
        <v>2051</v>
      </c>
      <c r="I223" s="3" t="s">
        <v>88</v>
      </c>
      <c r="J223" s="3" t="s">
        <v>90</v>
      </c>
      <c r="K223" s="3" t="s">
        <v>479</v>
      </c>
      <c r="L223" s="326" t="s">
        <v>454</v>
      </c>
      <c r="M223" s="3"/>
      <c r="N223" s="356" cm="1">
        <f t="array" ref="N223">_xlfn.IFS(I223="AEX",H223/400,I223="RP",H223/200)</f>
        <v>5.1275000000000004</v>
      </c>
      <c r="O223" s="3">
        <v>23.5</v>
      </c>
      <c r="P223" s="75">
        <f t="shared" si="31"/>
        <v>87.276595744680847</v>
      </c>
      <c r="Q223" s="3" t="str" cm="1">
        <f t="array" ref="Q223">_xlfn.IFS(P223&lt;200, "10", P223&lt;400, "12", P223&lt;600, "14", P223&gt;600, "16")</f>
        <v>10</v>
      </c>
      <c r="R223" s="75">
        <f t="shared" si="32"/>
        <v>1.5382499999999999</v>
      </c>
      <c r="S223" s="75">
        <f t="shared" si="34"/>
        <v>6.5457446808510636E-2</v>
      </c>
      <c r="T223" s="76">
        <v>868</v>
      </c>
      <c r="U223" s="306">
        <f t="shared" si="30"/>
        <v>42.320819112627987</v>
      </c>
      <c r="V223" s="76">
        <v>18</v>
      </c>
      <c r="W223" s="3" t="s">
        <v>91</v>
      </c>
      <c r="X223" s="2">
        <v>45965</v>
      </c>
      <c r="Y223" s="3" t="s">
        <v>172</v>
      </c>
      <c r="Z223" s="3" t="s">
        <v>87</v>
      </c>
      <c r="AA223" s="76">
        <v>854</v>
      </c>
    </row>
    <row r="224" spans="1:30" ht="16.5" customHeight="1" x14ac:dyDescent="0.35">
      <c r="A224" s="351">
        <v>45966</v>
      </c>
      <c r="B224" s="259" t="s">
        <v>486</v>
      </c>
      <c r="C224" s="71" t="s">
        <v>104</v>
      </c>
      <c r="D224" s="3"/>
      <c r="E224" s="3" t="s">
        <v>194</v>
      </c>
      <c r="F224" s="3" t="s">
        <v>87</v>
      </c>
      <c r="H224" s="76">
        <v>37000</v>
      </c>
      <c r="I224" s="3" t="s">
        <v>88</v>
      </c>
      <c r="J224" s="3" t="s">
        <v>89</v>
      </c>
      <c r="K224" s="3" t="s">
        <v>479</v>
      </c>
      <c r="L224" s="326" t="s">
        <v>454</v>
      </c>
      <c r="M224" s="3"/>
      <c r="N224" s="356" cm="1">
        <f t="array" ref="N224">_xlfn.IFS(I224="AEX",H224/400,I224="RP",H224/200)</f>
        <v>92.5</v>
      </c>
      <c r="O224" s="3">
        <v>288</v>
      </c>
      <c r="P224" s="75">
        <f t="shared" si="31"/>
        <v>128.47222222222223</v>
      </c>
      <c r="Q224" s="3" t="str" cm="1">
        <f t="array" ref="Q224">_xlfn.IFS(P224&lt;200, "10", P224&lt;400, "12", P224&lt;600, "14", P224&gt;600, "16")</f>
        <v>10</v>
      </c>
      <c r="R224" s="75">
        <f t="shared" si="32"/>
        <v>27.75</v>
      </c>
      <c r="S224" s="75">
        <f t="shared" si="34"/>
        <v>9.6354166666666671E-2</v>
      </c>
      <c r="T224" s="76">
        <v>21391</v>
      </c>
      <c r="U224" s="306">
        <f t="shared" ref="U224:U319" si="35">T224/H224*100</f>
        <v>57.813513513513513</v>
      </c>
      <c r="V224" s="76">
        <v>411.37</v>
      </c>
      <c r="W224" s="3" t="s">
        <v>91</v>
      </c>
      <c r="X224" s="2">
        <v>45966</v>
      </c>
      <c r="Y224" s="3" t="s">
        <v>318</v>
      </c>
      <c r="Z224" s="3" t="s">
        <v>87</v>
      </c>
      <c r="AA224" s="76">
        <v>21637.41</v>
      </c>
      <c r="AB224" s="76">
        <v>214.33</v>
      </c>
    </row>
    <row r="225" spans="1:28" ht="16.5" customHeight="1" x14ac:dyDescent="0.35">
      <c r="A225" s="351">
        <v>45966</v>
      </c>
      <c r="B225" s="76" t="s">
        <v>484</v>
      </c>
      <c r="C225" s="71" t="s">
        <v>104</v>
      </c>
      <c r="D225" s="3"/>
      <c r="E225" s="3" t="s">
        <v>87</v>
      </c>
      <c r="F225" s="3" t="s">
        <v>87</v>
      </c>
      <c r="H225" s="76">
        <v>2584</v>
      </c>
      <c r="I225" s="3" t="s">
        <v>70</v>
      </c>
      <c r="J225" s="3" t="s">
        <v>209</v>
      </c>
      <c r="K225" s="3" t="s">
        <v>489</v>
      </c>
      <c r="L225" s="326" t="s">
        <v>459</v>
      </c>
      <c r="M225" s="3"/>
      <c r="N225" s="356" cm="1">
        <f t="array" ref="N225">_xlfn.IFS(I225="AEX",H225/400,I225="RP",H225/200)</f>
        <v>12.92</v>
      </c>
      <c r="O225" s="3">
        <v>22</v>
      </c>
      <c r="P225" s="75">
        <f t="shared" si="31"/>
        <v>117.45454545454545</v>
      </c>
      <c r="Q225" s="3" t="str" cm="1">
        <f t="array" ref="Q225">_xlfn.IFS(P225&lt;200, "10", P225&lt;400, "12", P225&lt;600, "14", P225&gt;600, "16")</f>
        <v>10</v>
      </c>
      <c r="R225" s="75">
        <f t="shared" si="32"/>
        <v>3.8759999999999994</v>
      </c>
      <c r="S225" s="75">
        <f t="shared" si="34"/>
        <v>0.17618181818181816</v>
      </c>
      <c r="T225" s="76">
        <v>1624</v>
      </c>
      <c r="U225" s="306">
        <f t="shared" si="35"/>
        <v>62.848297213622295</v>
      </c>
      <c r="V225" s="76">
        <v>52</v>
      </c>
      <c r="X225" s="2"/>
    </row>
    <row r="226" spans="1:28" ht="16.5" customHeight="1" x14ac:dyDescent="0.35">
      <c r="A226" s="351">
        <v>45967</v>
      </c>
      <c r="B226" s="76" t="s">
        <v>482</v>
      </c>
      <c r="C226" s="71" t="s">
        <v>104</v>
      </c>
      <c r="D226" s="3"/>
      <c r="E226" s="3" t="s">
        <v>87</v>
      </c>
      <c r="F226" s="3" t="s">
        <v>87</v>
      </c>
      <c r="H226" s="76">
        <v>4197</v>
      </c>
      <c r="I226" s="3" t="s">
        <v>88</v>
      </c>
      <c r="J226" s="3" t="s">
        <v>90</v>
      </c>
      <c r="K226" s="327" t="s">
        <v>479</v>
      </c>
      <c r="L226" s="326" t="s">
        <v>454</v>
      </c>
      <c r="M226" s="3"/>
      <c r="N226" s="356" cm="1">
        <f t="array" ref="N226">_xlfn.IFS(I226="AEX",H226/400,I226="RP",H226/200)</f>
        <v>10.4925</v>
      </c>
      <c r="O226" s="3">
        <v>23.5</v>
      </c>
      <c r="P226" s="75">
        <f>H226/O226</f>
        <v>178.59574468085106</v>
      </c>
      <c r="Q226" s="3" t="str" cm="1">
        <f t="array" ref="Q226">_xlfn.IFS(P226&lt;200, "10", P226&lt;400, "12", P226&lt;600, "14", P226&gt;600, "16")</f>
        <v>10</v>
      </c>
      <c r="R226" s="75">
        <f>IF(I226="AEX",H226*0.3/400,H226*0.3/200)</f>
        <v>3.1477499999999998</v>
      </c>
      <c r="S226" s="75">
        <f>R226/O226</f>
        <v>0.13394680851063828</v>
      </c>
      <c r="T226" s="76">
        <v>2304</v>
      </c>
      <c r="U226" s="306">
        <f>T226/H226*100</f>
        <v>54.896354538956395</v>
      </c>
      <c r="V226" s="76">
        <v>39</v>
      </c>
      <c r="X226" s="2">
        <v>45967</v>
      </c>
      <c r="Y226" s="3" t="s">
        <v>172</v>
      </c>
      <c r="Z226" s="3" t="s">
        <v>87</v>
      </c>
      <c r="AA226" s="76">
        <v>2304</v>
      </c>
    </row>
    <row r="227" spans="1:28" ht="16.5" customHeight="1" x14ac:dyDescent="0.35">
      <c r="A227" s="351">
        <v>45967</v>
      </c>
      <c r="B227" s="76" t="s">
        <v>474</v>
      </c>
      <c r="C227" s="71" t="s">
        <v>104</v>
      </c>
      <c r="D227" s="3"/>
      <c r="E227" s="3" t="s">
        <v>194</v>
      </c>
      <c r="F227" s="3" t="s">
        <v>87</v>
      </c>
      <c r="H227" s="76">
        <v>34422</v>
      </c>
      <c r="I227" s="3" t="s">
        <v>70</v>
      </c>
      <c r="J227" s="3" t="s">
        <v>209</v>
      </c>
      <c r="K227" s="327" t="s">
        <v>489</v>
      </c>
      <c r="L227" s="326" t="s">
        <v>459</v>
      </c>
      <c r="M227" s="3"/>
      <c r="N227" s="356" cm="1">
        <f t="array" ref="N227">_xlfn.IFS(I227="AEX",H227/400,I227="RP",H227/200)</f>
        <v>172.11</v>
      </c>
      <c r="O227" s="3">
        <v>251</v>
      </c>
      <c r="P227" s="75">
        <f t="shared" si="31"/>
        <v>137.13944223107569</v>
      </c>
      <c r="Q227" s="3" t="str" cm="1">
        <f t="array" ref="Q227">_xlfn.IFS(P227&lt;200, "10", P227&lt;400, "12", P227&lt;600, "14", P227&gt;600, "16")</f>
        <v>10</v>
      </c>
      <c r="R227" s="75">
        <v>45</v>
      </c>
      <c r="S227" s="75">
        <f t="shared" si="34"/>
        <v>0.17928286852589642</v>
      </c>
      <c r="T227" s="76">
        <v>13389</v>
      </c>
      <c r="U227" s="306">
        <f t="shared" si="35"/>
        <v>38.896635872407181</v>
      </c>
      <c r="V227" s="76">
        <v>382</v>
      </c>
      <c r="W227" s="3" t="s">
        <v>87</v>
      </c>
      <c r="X227" s="2">
        <v>45967</v>
      </c>
      <c r="Y227" s="3" t="s">
        <v>318</v>
      </c>
      <c r="Z227" s="3" t="s">
        <v>91</v>
      </c>
      <c r="AA227" s="76">
        <v>12298.04</v>
      </c>
      <c r="AB227" s="76">
        <v>213.8</v>
      </c>
    </row>
    <row r="228" spans="1:28" ht="16.5" customHeight="1" x14ac:dyDescent="0.35">
      <c r="A228" s="351">
        <v>45967</v>
      </c>
      <c r="B228" s="76" t="s">
        <v>490</v>
      </c>
      <c r="C228" s="71" t="s">
        <v>104</v>
      </c>
      <c r="D228" s="3"/>
      <c r="E228" s="3" t="s">
        <v>87</v>
      </c>
      <c r="F228" s="3" t="s">
        <v>87</v>
      </c>
      <c r="H228" s="76">
        <v>31521</v>
      </c>
      <c r="I228" s="3" t="s">
        <v>88</v>
      </c>
      <c r="J228" s="3" t="s">
        <v>89</v>
      </c>
      <c r="K228" s="327" t="s">
        <v>479</v>
      </c>
      <c r="L228" s="326" t="s">
        <v>454</v>
      </c>
      <c r="M228" s="3"/>
      <c r="N228" s="356" cm="1">
        <f t="array" ref="N228">_xlfn.IFS(I228="AEX",H228/400,I228="RP",H228/200)</f>
        <v>78.802499999999995</v>
      </c>
      <c r="O228" s="3">
        <v>288</v>
      </c>
      <c r="P228" s="75">
        <f t="shared" ref="P228:P235" si="36">H228/O228</f>
        <v>109.44791666666667</v>
      </c>
      <c r="Q228" s="3" t="str" cm="1">
        <f t="array" ref="Q228">_xlfn.IFS(P228&lt;200, "10", P228&lt;400, "12", P228&lt;600, "14", P228&gt;600, "16")</f>
        <v>10</v>
      </c>
      <c r="R228" s="75">
        <v>20</v>
      </c>
      <c r="S228" s="75">
        <f>R228/O228</f>
        <v>6.9444444444444448E-2</v>
      </c>
      <c r="T228" s="76">
        <v>16376</v>
      </c>
      <c r="U228" s="306">
        <f t="shared" ref="U228:U235" si="37">T228/H228*100</f>
        <v>51.952666476317376</v>
      </c>
      <c r="V228" s="76">
        <v>333.63</v>
      </c>
      <c r="W228" s="3" t="s">
        <v>91</v>
      </c>
      <c r="X228" s="2">
        <v>45968</v>
      </c>
      <c r="Y228" s="3" t="s">
        <v>318</v>
      </c>
      <c r="Z228" s="3" t="s">
        <v>87</v>
      </c>
      <c r="AA228" s="76">
        <v>17627.46</v>
      </c>
      <c r="AB228" s="76">
        <v>206.68</v>
      </c>
    </row>
    <row r="229" spans="1:28" ht="16.5" customHeight="1" x14ac:dyDescent="0.35">
      <c r="A229" s="351">
        <v>45967</v>
      </c>
      <c r="B229" s="76" t="s">
        <v>487</v>
      </c>
      <c r="C229" s="71" t="s">
        <v>104</v>
      </c>
      <c r="D229" s="3"/>
      <c r="E229" s="3" t="s">
        <v>87</v>
      </c>
      <c r="F229" s="3" t="s">
        <v>87</v>
      </c>
      <c r="H229" s="76">
        <v>1624</v>
      </c>
      <c r="I229" s="3" t="s">
        <v>88</v>
      </c>
      <c r="J229" s="3" t="s">
        <v>90</v>
      </c>
      <c r="K229" s="327" t="s">
        <v>488</v>
      </c>
      <c r="L229" s="326" t="s">
        <v>455</v>
      </c>
      <c r="M229" s="3"/>
      <c r="N229" s="356" cm="1">
        <f t="array" ref="N229">_xlfn.IFS(I229="AEX",H229/400,I229="RP",H229/200)</f>
        <v>4.0599999999999996</v>
      </c>
      <c r="O229" s="3">
        <v>23.5</v>
      </c>
      <c r="P229" s="75">
        <f t="shared" si="36"/>
        <v>69.106382978723403</v>
      </c>
      <c r="Q229" s="3" t="str" cm="1">
        <f t="array" ref="Q229">_xlfn.IFS(P229&lt;200, "10", P229&lt;400, "12", P229&lt;600, "14", P229&gt;600, "16")</f>
        <v>10</v>
      </c>
      <c r="R229" s="75">
        <v>1</v>
      </c>
      <c r="S229" s="75">
        <f>R229/O229</f>
        <v>4.2553191489361701E-2</v>
      </c>
      <c r="T229" s="76">
        <v>830</v>
      </c>
      <c r="U229" s="306">
        <f t="shared" si="37"/>
        <v>51.108374384236456</v>
      </c>
      <c r="V229" s="76">
        <v>19</v>
      </c>
      <c r="X229" s="2">
        <v>45967</v>
      </c>
      <c r="Y229" s="3" t="s">
        <v>172</v>
      </c>
      <c r="Z229" s="3" t="s">
        <v>87</v>
      </c>
      <c r="AA229" s="76">
        <v>798</v>
      </c>
    </row>
    <row r="230" spans="1:28" ht="16.5" customHeight="1" x14ac:dyDescent="0.35">
      <c r="A230" s="351">
        <v>45967</v>
      </c>
      <c r="B230" s="76" t="s">
        <v>492</v>
      </c>
      <c r="C230" s="71" t="s">
        <v>104</v>
      </c>
      <c r="D230" s="3"/>
      <c r="E230" s="3" t="s">
        <v>87</v>
      </c>
      <c r="F230" s="3" t="s">
        <v>87</v>
      </c>
      <c r="H230" s="76">
        <v>4151</v>
      </c>
      <c r="I230" s="3" t="s">
        <v>88</v>
      </c>
      <c r="J230" s="3" t="s">
        <v>89</v>
      </c>
      <c r="K230" s="327" t="s">
        <v>479</v>
      </c>
      <c r="L230" s="326" t="s">
        <v>454</v>
      </c>
      <c r="M230" s="3"/>
      <c r="N230" s="356" cm="1">
        <f t="array" ref="N230">_xlfn.IFS(I230="AEX",H230/400,I230="RP",H230/200)</f>
        <v>10.3775</v>
      </c>
      <c r="O230" s="3">
        <v>16.100000000000001</v>
      </c>
      <c r="P230" s="75">
        <f t="shared" si="36"/>
        <v>257.82608695652169</v>
      </c>
      <c r="Q230" s="3" t="str" cm="1">
        <f t="array" ref="Q230">_xlfn.IFS(P230&lt;200, "10", P230&lt;400, "12", P230&lt;600, "14", P230&gt;600, "16")</f>
        <v>12</v>
      </c>
      <c r="R230" s="75">
        <f>IF(I230="AEX",H230*0.3/400,H230*0.3/200)</f>
        <v>3.1132499999999999</v>
      </c>
      <c r="S230" s="75">
        <f>R230/O230</f>
        <v>0.19336956521739126</v>
      </c>
      <c r="T230" s="76">
        <v>2518</v>
      </c>
      <c r="U230" s="306">
        <f t="shared" si="37"/>
        <v>60.660081907973982</v>
      </c>
      <c r="V230" s="76">
        <v>11</v>
      </c>
      <c r="X230" s="2">
        <v>45967</v>
      </c>
      <c r="Y230" s="3" t="s">
        <v>172</v>
      </c>
      <c r="Z230" s="3" t="s">
        <v>87</v>
      </c>
      <c r="AA230" s="76">
        <v>2518</v>
      </c>
    </row>
    <row r="231" spans="1:28" ht="16.5" customHeight="1" x14ac:dyDescent="0.35">
      <c r="A231" s="351">
        <v>45967</v>
      </c>
      <c r="B231" s="259" t="s">
        <v>491</v>
      </c>
      <c r="C231" s="71" t="s">
        <v>104</v>
      </c>
      <c r="D231" s="3"/>
      <c r="E231" s="3" t="s">
        <v>87</v>
      </c>
      <c r="F231" s="3" t="s">
        <v>87</v>
      </c>
      <c r="H231" s="76">
        <v>4057</v>
      </c>
      <c r="I231" s="3" t="s">
        <v>88</v>
      </c>
      <c r="J231" s="3" t="s">
        <v>90</v>
      </c>
      <c r="K231" s="3" t="s">
        <v>479</v>
      </c>
      <c r="L231" s="326" t="s">
        <v>454</v>
      </c>
      <c r="M231" s="3"/>
      <c r="N231" s="356" cm="1">
        <f t="array" ref="N231">_xlfn.IFS(I231="AEX",H231/400,I231="RP",H231/200)</f>
        <v>10.1425</v>
      </c>
      <c r="O231" s="3">
        <v>23.5</v>
      </c>
      <c r="P231" s="75">
        <f t="shared" si="36"/>
        <v>172.63829787234042</v>
      </c>
      <c r="Q231" s="3" t="str" cm="1">
        <f t="array" ref="Q231">_xlfn.IFS(P231&lt;200, "10", P231&lt;400, "12", P231&lt;600, "14", P231&gt;600, "16")</f>
        <v>10</v>
      </c>
      <c r="R231" s="75">
        <v>3</v>
      </c>
      <c r="S231" s="75">
        <f>R231/O231</f>
        <v>0.1276595744680851</v>
      </c>
      <c r="T231" s="76">
        <v>1512</v>
      </c>
      <c r="U231" s="306">
        <f t="shared" si="37"/>
        <v>37.268917919645055</v>
      </c>
      <c r="X231" s="2">
        <v>45967</v>
      </c>
      <c r="Y231" s="3" t="s">
        <v>172</v>
      </c>
      <c r="Z231" s="3" t="s">
        <v>87</v>
      </c>
      <c r="AA231" s="76">
        <v>1512</v>
      </c>
    </row>
    <row r="232" spans="1:28" ht="16.5" customHeight="1" x14ac:dyDescent="0.35">
      <c r="A232" s="351">
        <v>45968</v>
      </c>
      <c r="B232" s="259" t="s">
        <v>494</v>
      </c>
      <c r="C232" s="71" t="s">
        <v>104</v>
      </c>
      <c r="D232" s="3"/>
      <c r="E232" s="3" t="s">
        <v>87</v>
      </c>
      <c r="F232" s="3" t="s">
        <v>87</v>
      </c>
      <c r="H232" s="76">
        <v>58635</v>
      </c>
      <c r="I232" s="3" t="s">
        <v>88</v>
      </c>
      <c r="J232" s="3" t="s">
        <v>89</v>
      </c>
      <c r="K232" s="3" t="s">
        <v>479</v>
      </c>
      <c r="L232" s="326" t="s">
        <v>454</v>
      </c>
      <c r="M232" s="3"/>
      <c r="N232" s="356" cm="1">
        <f t="array" ref="N232">_xlfn.IFS(I232="AEX",H232/400,I232="RP",H232/200)</f>
        <v>146.58750000000001</v>
      </c>
      <c r="O232" s="3">
        <v>288</v>
      </c>
      <c r="P232" s="75">
        <f t="shared" si="36"/>
        <v>203.59375</v>
      </c>
      <c r="Q232" s="3" t="str" cm="1">
        <f t="array" ref="Q232">_xlfn.IFS(P232&lt;200, "10", P232&lt;400, "12", P232&lt;600, "14", P232&gt;600, "16")</f>
        <v>12</v>
      </c>
      <c r="R232" s="75">
        <f>IF(I232="AEX",H232*0.3/400,H232*0.3/200)</f>
        <v>43.97625</v>
      </c>
      <c r="S232" s="75">
        <f t="shared" ref="S232:S233" si="38">R232/O232</f>
        <v>0.15269531250000001</v>
      </c>
      <c r="T232" s="76">
        <v>31294</v>
      </c>
      <c r="U232" s="306">
        <f t="shared" si="37"/>
        <v>53.370853585742303</v>
      </c>
      <c r="V232" s="76">
        <v>487.45</v>
      </c>
      <c r="W232" s="3" t="s">
        <v>91</v>
      </c>
      <c r="X232" s="2">
        <v>45971</v>
      </c>
      <c r="Y232" s="3" t="s">
        <v>318</v>
      </c>
      <c r="Z232" s="3" t="s">
        <v>87</v>
      </c>
      <c r="AA232" s="76">
        <v>31212.05</v>
      </c>
      <c r="AB232" s="76">
        <v>244.96</v>
      </c>
    </row>
    <row r="233" spans="1:28" ht="16.5" customHeight="1" x14ac:dyDescent="0.35">
      <c r="A233" s="351">
        <v>45968</v>
      </c>
      <c r="B233" s="259" t="s">
        <v>495</v>
      </c>
      <c r="C233" s="71" t="s">
        <v>104</v>
      </c>
      <c r="D233" s="3"/>
      <c r="E233" s="3" t="s">
        <v>87</v>
      </c>
      <c r="F233" s="3" t="s">
        <v>87</v>
      </c>
      <c r="H233" s="76">
        <v>11410</v>
      </c>
      <c r="I233" s="3" t="s">
        <v>88</v>
      </c>
      <c r="J233" s="3" t="s">
        <v>90</v>
      </c>
      <c r="K233" s="3" t="s">
        <v>496</v>
      </c>
      <c r="L233" s="326" t="s">
        <v>455</v>
      </c>
      <c r="M233" s="3" t="s">
        <v>502</v>
      </c>
      <c r="N233" s="356" cm="1">
        <f t="array" ref="N233">_xlfn.IFS(I233="AEX",H233/400,I233="RP",H233/200)</f>
        <v>28.524999999999999</v>
      </c>
      <c r="O233" s="3">
        <v>63.8</v>
      </c>
      <c r="P233" s="75">
        <f t="shared" si="36"/>
        <v>178.84012539184954</v>
      </c>
      <c r="Q233" s="3" t="str" cm="1">
        <f t="array" ref="Q233">_xlfn.IFS(P233&lt;200, "10", P233&lt;400, "12", P233&lt;600, "14", P233&gt;600, "16")</f>
        <v>10</v>
      </c>
      <c r="R233" s="75">
        <f>IF(I233="AEX",H233*0.3/400,H233*0.3/200)</f>
        <v>8.5574999999999992</v>
      </c>
      <c r="S233" s="75">
        <f t="shared" si="38"/>
        <v>0.13413009404388715</v>
      </c>
      <c r="T233" s="76">
        <v>3866</v>
      </c>
      <c r="U233" s="306">
        <f t="shared" si="37"/>
        <v>33.88255915863278</v>
      </c>
      <c r="W233" s="3" t="s">
        <v>91</v>
      </c>
      <c r="X233" s="2">
        <v>45968</v>
      </c>
      <c r="Y233" s="3" t="s">
        <v>172</v>
      </c>
      <c r="Z233" s="3" t="s">
        <v>87</v>
      </c>
      <c r="AA233" s="76">
        <v>3155</v>
      </c>
    </row>
    <row r="234" spans="1:28" ht="16.5" customHeight="1" x14ac:dyDescent="0.35">
      <c r="A234" s="351">
        <v>45968</v>
      </c>
      <c r="B234" s="259" t="s">
        <v>497</v>
      </c>
      <c r="C234" s="71" t="s">
        <v>104</v>
      </c>
      <c r="D234" s="3"/>
      <c r="E234" s="3" t="s">
        <v>87</v>
      </c>
      <c r="F234" s="3" t="s">
        <v>87</v>
      </c>
      <c r="H234" s="76">
        <v>2348</v>
      </c>
      <c r="I234" s="3" t="s">
        <v>88</v>
      </c>
      <c r="J234" s="3" t="s">
        <v>90</v>
      </c>
      <c r="K234" s="327" t="s">
        <v>498</v>
      </c>
      <c r="L234" s="326" t="s">
        <v>455</v>
      </c>
      <c r="M234" s="3">
        <v>60</v>
      </c>
      <c r="N234" s="356" cm="1">
        <f t="array" ref="N234">_xlfn.IFS(I234="AEX",H234/400,I234="RP",H234/200)</f>
        <v>5.87</v>
      </c>
      <c r="O234" s="3">
        <v>23.5</v>
      </c>
      <c r="P234" s="75">
        <f t="shared" si="36"/>
        <v>99.914893617021278</v>
      </c>
      <c r="Q234" s="3" t="str" cm="1">
        <f t="array" ref="Q234">_xlfn.IFS(P234&lt;200, "10", P234&lt;400, "12", P234&lt;600, "14", P234&gt;600, "16")</f>
        <v>10</v>
      </c>
      <c r="R234" s="75">
        <v>2</v>
      </c>
      <c r="S234" s="75">
        <f t="shared" ref="S234" si="39">R234/O234</f>
        <v>8.5106382978723402E-2</v>
      </c>
      <c r="T234" s="76">
        <v>490</v>
      </c>
      <c r="U234" s="306">
        <f t="shared" si="37"/>
        <v>20.868824531516182</v>
      </c>
      <c r="V234" s="76">
        <v>16</v>
      </c>
      <c r="W234" s="3" t="s">
        <v>87</v>
      </c>
      <c r="X234" s="2">
        <v>45968</v>
      </c>
      <c r="Y234" s="3" t="s">
        <v>172</v>
      </c>
      <c r="Z234" s="3" t="s">
        <v>87</v>
      </c>
      <c r="AA234" s="76">
        <v>466</v>
      </c>
    </row>
    <row r="235" spans="1:28" ht="16.5" customHeight="1" x14ac:dyDescent="0.35">
      <c r="A235" s="351">
        <v>45971</v>
      </c>
      <c r="B235" s="259" t="s">
        <v>499</v>
      </c>
      <c r="C235" s="71" t="s">
        <v>104</v>
      </c>
      <c r="D235" s="3"/>
      <c r="E235" s="3" t="s">
        <v>87</v>
      </c>
      <c r="F235" s="3" t="s">
        <v>87</v>
      </c>
      <c r="H235" s="76">
        <v>43075</v>
      </c>
      <c r="I235" s="3" t="s">
        <v>88</v>
      </c>
      <c r="J235" s="3" t="s">
        <v>89</v>
      </c>
      <c r="K235" s="327" t="s">
        <v>479</v>
      </c>
      <c r="L235" s="326" t="s">
        <v>454</v>
      </c>
      <c r="M235" s="3" t="s">
        <v>502</v>
      </c>
      <c r="N235" s="356" cm="1">
        <f t="array" ref="N235">_xlfn.IFS(I235="AEX",H235/400,I235="RP",H235/200)</f>
        <v>107.6875</v>
      </c>
      <c r="O235" s="3">
        <v>288</v>
      </c>
      <c r="P235" s="75">
        <f t="shared" si="36"/>
        <v>149.56597222222223</v>
      </c>
      <c r="Q235" s="3" t="str" cm="1">
        <f t="array" ref="Q235">_xlfn.IFS(P235&lt;200, "10", P235&lt;400, "12", P235&lt;600, "14", P235&gt;600, "16")</f>
        <v>10</v>
      </c>
      <c r="R235" s="75">
        <f>IF(I235="AEX",H235*0.3/400,H235*0.3/200)</f>
        <v>32.306249999999999</v>
      </c>
      <c r="S235" s="75">
        <f t="shared" ref="S235:S245" si="40">R235/O235</f>
        <v>0.11217447916666666</v>
      </c>
      <c r="T235" s="76">
        <v>20658</v>
      </c>
      <c r="U235" s="306">
        <f t="shared" si="37"/>
        <v>47.958212420197334</v>
      </c>
      <c r="V235" s="76">
        <v>298.39999999999998</v>
      </c>
      <c r="W235" s="3" t="s">
        <v>91</v>
      </c>
      <c r="X235" s="2">
        <v>45971</v>
      </c>
      <c r="Y235" s="3" t="s">
        <v>318</v>
      </c>
      <c r="Z235" s="3" t="s">
        <v>87</v>
      </c>
      <c r="AA235" s="76">
        <v>21015</v>
      </c>
      <c r="AB235" s="76">
        <v>219.67</v>
      </c>
    </row>
    <row r="236" spans="1:28" ht="16.5" customHeight="1" x14ac:dyDescent="0.35">
      <c r="A236" s="351">
        <v>45971</v>
      </c>
      <c r="B236" s="76" t="s">
        <v>504</v>
      </c>
      <c r="C236" s="71" t="s">
        <v>104</v>
      </c>
      <c r="D236" s="3"/>
      <c r="E236" s="3" t="s">
        <v>86</v>
      </c>
      <c r="F236" s="3" t="s">
        <v>87</v>
      </c>
      <c r="H236" s="76">
        <v>3023</v>
      </c>
      <c r="I236" s="3" t="s">
        <v>88</v>
      </c>
      <c r="J236" s="3" t="s">
        <v>90</v>
      </c>
      <c r="K236" s="327" t="s">
        <v>479</v>
      </c>
      <c r="L236" s="326" t="s">
        <v>454</v>
      </c>
      <c r="M236" s="3" t="s">
        <v>502</v>
      </c>
      <c r="N236" s="356" cm="1">
        <f t="array" ref="N236">_xlfn.IFS(I236="AEX",H236/400,I236="RP",H236/200)</f>
        <v>7.5575000000000001</v>
      </c>
      <c r="O236" s="3">
        <v>23.5</v>
      </c>
      <c r="P236" s="75">
        <f t="shared" ref="P236:P246" si="41">H236/O236</f>
        <v>128.63829787234042</v>
      </c>
      <c r="Q236" s="3" t="str" cm="1">
        <f t="array" ref="Q236">_xlfn.IFS(P236&lt;200, "10", P236&lt;400, "12", P236&lt;600, "14", P236&gt;600, "16")</f>
        <v>10</v>
      </c>
      <c r="R236" s="75">
        <f>IF(I236="AEX",H236*0.3/400,H236*0.3/200)</f>
        <v>2.2672499999999998</v>
      </c>
      <c r="S236" s="75">
        <f t="shared" si="40"/>
        <v>9.6478723404255312E-2</v>
      </c>
      <c r="T236" s="76">
        <v>955</v>
      </c>
      <c r="U236" s="306">
        <f t="shared" ref="U236:U257" si="42">T236/H236*100</f>
        <v>31.591134634469071</v>
      </c>
      <c r="V236" s="76">
        <v>16</v>
      </c>
      <c r="W236" s="3" t="s">
        <v>91</v>
      </c>
      <c r="X236" s="2">
        <v>45971</v>
      </c>
      <c r="Y236" s="3" t="s">
        <v>172</v>
      </c>
      <c r="Z236" s="3" t="s">
        <v>87</v>
      </c>
      <c r="AA236" s="76">
        <v>955</v>
      </c>
      <c r="AB236" s="76">
        <v>29.4</v>
      </c>
    </row>
    <row r="237" spans="1:28" ht="16.5" customHeight="1" x14ac:dyDescent="0.35">
      <c r="A237" s="351">
        <v>45972</v>
      </c>
      <c r="B237" s="76" t="s">
        <v>503</v>
      </c>
      <c r="C237" s="71" t="s">
        <v>104</v>
      </c>
      <c r="D237" s="3"/>
      <c r="E237" s="3" t="s">
        <v>87</v>
      </c>
      <c r="F237" s="3" t="s">
        <v>87</v>
      </c>
      <c r="H237" s="76">
        <v>269374</v>
      </c>
      <c r="I237" s="3" t="s">
        <v>88</v>
      </c>
      <c r="J237" s="3" t="s">
        <v>89</v>
      </c>
      <c r="K237" s="327" t="s">
        <v>515</v>
      </c>
      <c r="L237" s="326" t="s">
        <v>454</v>
      </c>
      <c r="M237" s="3" t="s">
        <v>502</v>
      </c>
      <c r="N237" s="356" cm="1">
        <f t="array" ref="N237">_xlfn.IFS(I237="AEX",H237/400,I237="RP",H237/200)</f>
        <v>673.43499999999995</v>
      </c>
      <c r="O237" s="3">
        <v>760</v>
      </c>
      <c r="P237" s="75">
        <f t="shared" si="41"/>
        <v>354.43947368421055</v>
      </c>
      <c r="Q237" s="3" t="str" cm="1">
        <f t="array" ref="Q237">_xlfn.IFS(P237&lt;200, "10", P237&lt;400, "12", P237&lt;600, "14", P237&gt;600, "16")</f>
        <v>12</v>
      </c>
      <c r="R237" s="75">
        <v>45</v>
      </c>
      <c r="S237" s="75">
        <f t="shared" si="40"/>
        <v>5.921052631578947E-2</v>
      </c>
      <c r="T237" s="76">
        <v>145441</v>
      </c>
      <c r="U237" s="306">
        <f t="shared" si="42"/>
        <v>53.992218996636645</v>
      </c>
      <c r="V237" s="76">
        <v>2616.8000000000002</v>
      </c>
      <c r="W237" s="3" t="s">
        <v>91</v>
      </c>
      <c r="X237" s="2">
        <v>45973</v>
      </c>
      <c r="Y237" s="3" t="s">
        <v>318</v>
      </c>
      <c r="Z237" s="3" t="s">
        <v>87</v>
      </c>
      <c r="AA237" s="76">
        <v>138577.03</v>
      </c>
      <c r="AB237" s="76">
        <v>372.56</v>
      </c>
    </row>
    <row r="238" spans="1:28" ht="16.5" customHeight="1" x14ac:dyDescent="0.35">
      <c r="A238" s="351">
        <v>45972</v>
      </c>
      <c r="B238" s="76" t="s">
        <v>505</v>
      </c>
      <c r="C238" s="71" t="s">
        <v>104</v>
      </c>
      <c r="D238" s="3"/>
      <c r="E238" s="3" t="s">
        <v>87</v>
      </c>
      <c r="F238" s="3" t="s">
        <v>87</v>
      </c>
      <c r="H238" s="76">
        <v>2200</v>
      </c>
      <c r="I238" s="3" t="s">
        <v>88</v>
      </c>
      <c r="J238" s="3" t="s">
        <v>90</v>
      </c>
      <c r="K238" s="327" t="s">
        <v>479</v>
      </c>
      <c r="L238" s="326" t="s">
        <v>454</v>
      </c>
      <c r="M238" s="3" t="s">
        <v>502</v>
      </c>
      <c r="N238" s="356" cm="1">
        <f t="array" ref="N238">_xlfn.IFS(I238="AEX",H238/400,I238="RP",H238/200)</f>
        <v>5.5</v>
      </c>
      <c r="O238" s="3">
        <v>23.5</v>
      </c>
      <c r="P238" s="75">
        <f t="shared" si="41"/>
        <v>93.61702127659575</v>
      </c>
      <c r="Q238" s="3" t="str" cm="1">
        <f t="array" ref="Q238">_xlfn.IFS(P238&lt;200, "10", P238&lt;400, "12", P238&lt;600, "14", P238&gt;600, "16")</f>
        <v>10</v>
      </c>
      <c r="R238" s="75">
        <f>IF(I238="AEX",H238*0.3/400,H238*0.3/200)</f>
        <v>1.65</v>
      </c>
      <c r="S238" s="75">
        <f t="shared" si="40"/>
        <v>7.0212765957446799E-2</v>
      </c>
      <c r="T238" s="76">
        <v>1121</v>
      </c>
      <c r="U238" s="306">
        <f t="shared" si="42"/>
        <v>50.954545454545453</v>
      </c>
      <c r="V238" s="76">
        <v>26</v>
      </c>
      <c r="W238" s="3" t="s">
        <v>91</v>
      </c>
      <c r="X238" s="2">
        <v>45972</v>
      </c>
      <c r="Y238" s="3" t="s">
        <v>172</v>
      </c>
    </row>
    <row r="239" spans="1:28" ht="16.5" customHeight="1" x14ac:dyDescent="0.35">
      <c r="A239" s="351">
        <v>45972</v>
      </c>
      <c r="B239" s="76" t="s">
        <v>513</v>
      </c>
      <c r="C239" s="71" t="s">
        <v>104</v>
      </c>
      <c r="D239" s="3"/>
      <c r="E239" s="3" t="s">
        <v>86</v>
      </c>
      <c r="F239" s="3" t="s">
        <v>87</v>
      </c>
      <c r="H239" s="76">
        <v>2000</v>
      </c>
      <c r="I239" s="3" t="s">
        <v>70</v>
      </c>
      <c r="J239" s="3" t="s">
        <v>209</v>
      </c>
      <c r="K239" s="327" t="s">
        <v>514</v>
      </c>
      <c r="L239" s="326" t="s">
        <v>459</v>
      </c>
      <c r="M239" s="3">
        <v>40</v>
      </c>
      <c r="N239" s="356" cm="1">
        <f t="array" ref="N239">_xlfn.IFS(I239="AEX",H239/400,I239="RP",H239/200)</f>
        <v>10</v>
      </c>
      <c r="O239" s="3">
        <v>22</v>
      </c>
      <c r="P239" s="75">
        <f t="shared" si="41"/>
        <v>90.909090909090907</v>
      </c>
      <c r="Q239" s="3" t="str" cm="1">
        <f t="array" ref="Q239">_xlfn.IFS(P239&lt;200, "10", P239&lt;400, "12", P239&lt;600, "14", P239&gt;600, "16")</f>
        <v>10</v>
      </c>
      <c r="R239" s="75">
        <f>IF(I239="AEX",H239*0.3/400,H239*0.3/200)</f>
        <v>3</v>
      </c>
      <c r="S239" s="75">
        <f t="shared" si="40"/>
        <v>0.13636363636363635</v>
      </c>
      <c r="T239" s="76">
        <v>734</v>
      </c>
      <c r="U239" s="306">
        <f t="shared" si="42"/>
        <v>36.700000000000003</v>
      </c>
      <c r="V239" s="76">
        <v>15</v>
      </c>
      <c r="W239" s="3" t="s">
        <v>87</v>
      </c>
      <c r="X239" s="2">
        <v>45973</v>
      </c>
      <c r="Y239" s="3" t="s">
        <v>172</v>
      </c>
      <c r="Z239" s="3" t="s">
        <v>91</v>
      </c>
      <c r="AA239" s="76">
        <v>643</v>
      </c>
    </row>
    <row r="240" spans="1:28" ht="16.5" customHeight="1" x14ac:dyDescent="0.35">
      <c r="A240" s="351">
        <v>45974</v>
      </c>
      <c r="B240" s="76" t="s">
        <v>516</v>
      </c>
      <c r="C240" s="71" t="s">
        <v>104</v>
      </c>
      <c r="D240" s="3"/>
      <c r="E240" s="3" t="s">
        <v>87</v>
      </c>
      <c r="F240" s="3" t="s">
        <v>87</v>
      </c>
      <c r="H240" s="76">
        <v>1548</v>
      </c>
      <c r="I240" s="3" t="s">
        <v>70</v>
      </c>
      <c r="J240" s="3" t="s">
        <v>209</v>
      </c>
      <c r="K240" s="327" t="s">
        <v>489</v>
      </c>
      <c r="L240" s="326" t="s">
        <v>459</v>
      </c>
      <c r="M240" s="3">
        <v>40</v>
      </c>
      <c r="N240" s="356" cm="1">
        <f t="array" ref="N240">_xlfn.IFS(I240="AEX",H240/400,I240="RP",H240/200)</f>
        <v>7.74</v>
      </c>
      <c r="O240" s="3">
        <v>24</v>
      </c>
      <c r="P240" s="75">
        <f t="shared" si="41"/>
        <v>64.5</v>
      </c>
      <c r="Q240" s="3" t="str" cm="1">
        <f t="array" ref="Q240">_xlfn.IFS(P240&lt;200, "10", P240&lt;400, "12", P240&lt;600, "14", P240&gt;600, "16")</f>
        <v>10</v>
      </c>
      <c r="R240" s="75">
        <f>IF(I240="AEX",H240*0.3/400,H240*0.3/200)</f>
        <v>2.3220000000000001</v>
      </c>
      <c r="S240" s="75">
        <f t="shared" si="40"/>
        <v>9.6750000000000003E-2</v>
      </c>
      <c r="T240" s="76">
        <v>543</v>
      </c>
      <c r="U240" s="306">
        <f t="shared" si="42"/>
        <v>35.077519379844965</v>
      </c>
      <c r="V240" s="76">
        <v>20</v>
      </c>
      <c r="W240" s="3" t="s">
        <v>87</v>
      </c>
      <c r="X240" s="2">
        <v>45974</v>
      </c>
      <c r="Y240" s="3" t="s">
        <v>172</v>
      </c>
      <c r="Z240" s="3" t="s">
        <v>91</v>
      </c>
      <c r="AA240" s="76">
        <v>464</v>
      </c>
    </row>
    <row r="241" spans="1:30" ht="16.5" customHeight="1" x14ac:dyDescent="0.35">
      <c r="A241" s="351">
        <v>45975</v>
      </c>
      <c r="B241" s="76" t="s">
        <v>521</v>
      </c>
      <c r="C241" s="71" t="s">
        <v>104</v>
      </c>
      <c r="D241" s="3"/>
      <c r="E241" s="3" t="s">
        <v>86</v>
      </c>
      <c r="F241" s="3" t="s">
        <v>87</v>
      </c>
      <c r="H241" s="76">
        <v>105975</v>
      </c>
      <c r="I241" s="3" t="s">
        <v>88</v>
      </c>
      <c r="J241" s="3" t="s">
        <v>89</v>
      </c>
      <c r="K241" s="327" t="s">
        <v>479</v>
      </c>
      <c r="L241" s="326" t="s">
        <v>454</v>
      </c>
      <c r="M241" s="3" t="s">
        <v>502</v>
      </c>
      <c r="N241" s="356" cm="1">
        <f t="array" ref="N241">_xlfn.IFS(I241="AEX",H241/400,I241="RP",H241/200)</f>
        <v>264.9375</v>
      </c>
      <c r="O241" s="3">
        <v>400</v>
      </c>
      <c r="P241" s="75">
        <f t="shared" si="41"/>
        <v>264.9375</v>
      </c>
      <c r="Q241" s="3" t="str" cm="1">
        <f t="array" ref="Q241">_xlfn.IFS(P241&lt;200, "10", P241&lt;400, "12", P241&lt;600, "14", P241&gt;600, "16")</f>
        <v>12</v>
      </c>
      <c r="R241" s="75">
        <v>45</v>
      </c>
      <c r="S241" s="75">
        <f t="shared" si="40"/>
        <v>0.1125</v>
      </c>
      <c r="T241" s="76">
        <v>41830.36</v>
      </c>
      <c r="U241" s="306">
        <f t="shared" si="42"/>
        <v>39.471913187072424</v>
      </c>
      <c r="V241" s="76">
        <v>657.4</v>
      </c>
      <c r="W241" s="3" t="s">
        <v>91</v>
      </c>
      <c r="X241" s="2">
        <v>45975</v>
      </c>
      <c r="Y241" s="3" t="s">
        <v>318</v>
      </c>
      <c r="Z241" s="3" t="s">
        <v>87</v>
      </c>
      <c r="AA241" s="76">
        <v>43903.66</v>
      </c>
      <c r="AB241" s="76">
        <v>224.58</v>
      </c>
    </row>
    <row r="242" spans="1:30" ht="16.5" customHeight="1" x14ac:dyDescent="0.35">
      <c r="A242" s="351">
        <v>45975</v>
      </c>
      <c r="B242" s="76" t="s">
        <v>518</v>
      </c>
      <c r="C242" s="71" t="s">
        <v>104</v>
      </c>
      <c r="D242" s="3"/>
      <c r="E242" s="3" t="s">
        <v>257</v>
      </c>
      <c r="F242" s="3" t="s">
        <v>87</v>
      </c>
      <c r="H242" s="76">
        <v>3292</v>
      </c>
      <c r="I242" s="3" t="s">
        <v>88</v>
      </c>
      <c r="J242" s="3" t="s">
        <v>90</v>
      </c>
      <c r="K242" s="327" t="s">
        <v>479</v>
      </c>
      <c r="L242" s="326" t="s">
        <v>454</v>
      </c>
      <c r="M242" s="3" t="s">
        <v>502</v>
      </c>
      <c r="N242" s="356" cm="1">
        <f t="array" ref="N242">_xlfn.IFS(I242="AEX",H242/400,I242="RP",H242/200)</f>
        <v>8.23</v>
      </c>
      <c r="O242" s="3">
        <v>23.5</v>
      </c>
      <c r="P242" s="75">
        <f t="shared" si="41"/>
        <v>140.08510638297872</v>
      </c>
      <c r="Q242" s="3" t="str" cm="1">
        <f t="array" ref="Q242">_xlfn.IFS(P242&lt;200, "10", P242&lt;400, "12", P242&lt;600, "14", P242&gt;600, "16")</f>
        <v>10</v>
      </c>
      <c r="R242" s="75">
        <f>IF(I242="AEX",H242*0.3/400,H242*0.3/200)</f>
        <v>2.4689999999999999</v>
      </c>
      <c r="S242" s="75">
        <f t="shared" si="40"/>
        <v>0.10506382978723404</v>
      </c>
      <c r="T242" s="76">
        <v>1698</v>
      </c>
      <c r="U242" s="306">
        <f t="shared" si="42"/>
        <v>51.579586877278253</v>
      </c>
      <c r="X242" s="2"/>
      <c r="Y242" s="3" t="s">
        <v>172</v>
      </c>
      <c r="AA242" s="76">
        <v>1698</v>
      </c>
    </row>
    <row r="243" spans="1:30" ht="16.5" customHeight="1" x14ac:dyDescent="0.35">
      <c r="A243" s="351">
        <v>45975</v>
      </c>
      <c r="B243" s="76" t="s">
        <v>520</v>
      </c>
      <c r="C243" s="71" t="s">
        <v>104</v>
      </c>
      <c r="D243" s="3"/>
      <c r="E243" s="3" t="s">
        <v>87</v>
      </c>
      <c r="F243" s="3" t="s">
        <v>87</v>
      </c>
      <c r="H243" s="76">
        <v>4100</v>
      </c>
      <c r="I243" s="3" t="s">
        <v>88</v>
      </c>
      <c r="J243" s="3" t="s">
        <v>90</v>
      </c>
      <c r="K243" s="327" t="s">
        <v>496</v>
      </c>
      <c r="L243" s="326" t="s">
        <v>455</v>
      </c>
      <c r="M243" s="3">
        <v>60</v>
      </c>
      <c r="N243" s="356" cm="1">
        <f t="array" ref="N243">_xlfn.IFS(I243="AEX",H243/400,I243="RP",H243/200)</f>
        <v>10.25</v>
      </c>
      <c r="O243" s="3">
        <v>23.5</v>
      </c>
      <c r="P243" s="75">
        <f t="shared" si="41"/>
        <v>174.46808510638297</v>
      </c>
      <c r="Q243" s="3" t="str" cm="1">
        <f t="array" ref="Q243">_xlfn.IFS(P243&lt;200, "10", P243&lt;400, "12", P243&lt;600, "14", P243&gt;600, "16")</f>
        <v>10</v>
      </c>
      <c r="R243" s="75">
        <f>IF(I243="AEX",H243*0.3/400,H243*0.3/200)</f>
        <v>3.0750000000000002</v>
      </c>
      <c r="S243" s="75">
        <f t="shared" si="40"/>
        <v>0.13085106382978723</v>
      </c>
      <c r="T243" s="76">
        <v>963</v>
      </c>
      <c r="U243" s="306">
        <f t="shared" si="42"/>
        <v>23.487804878048777</v>
      </c>
      <c r="V243" s="76">
        <v>12</v>
      </c>
      <c r="X243" s="2"/>
      <c r="Y243" s="3" t="s">
        <v>172</v>
      </c>
    </row>
    <row r="244" spans="1:30" ht="16.5" customHeight="1" x14ac:dyDescent="0.35">
      <c r="A244" s="351">
        <v>45975</v>
      </c>
      <c r="B244" s="76" t="s">
        <v>519</v>
      </c>
      <c r="C244" s="71" t="s">
        <v>104</v>
      </c>
      <c r="D244" s="3"/>
      <c r="E244" s="3" t="s">
        <v>87</v>
      </c>
      <c r="F244" s="3" t="s">
        <v>87</v>
      </c>
      <c r="H244" s="76">
        <v>4204</v>
      </c>
      <c r="I244" s="3" t="s">
        <v>88</v>
      </c>
      <c r="J244" s="3" t="s">
        <v>90</v>
      </c>
      <c r="K244" s="327" t="s">
        <v>496</v>
      </c>
      <c r="L244" s="326" t="s">
        <v>455</v>
      </c>
      <c r="M244" s="3">
        <v>60</v>
      </c>
      <c r="N244" s="356" cm="1">
        <f t="array" ref="N244">_xlfn.IFS(I244="AEX",H244/400,I244="RP",H244/200)</f>
        <v>10.51</v>
      </c>
      <c r="O244" s="3">
        <v>16.100000000000001</v>
      </c>
      <c r="P244" s="75">
        <f t="shared" si="41"/>
        <v>261.11801242236021</v>
      </c>
      <c r="Q244" s="3" t="str" cm="1">
        <f t="array" ref="Q244">_xlfn.IFS(P244&lt;200, "10", P244&lt;400, "12", P244&lt;600, "14", P244&gt;600, "16")</f>
        <v>12</v>
      </c>
      <c r="R244" s="75">
        <f>IF(I244="AEX",H244*0.3/400,H244*0.3/200)</f>
        <v>3.153</v>
      </c>
      <c r="S244" s="75">
        <f t="shared" si="40"/>
        <v>0.19583850931677016</v>
      </c>
      <c r="U244" s="306">
        <f t="shared" si="42"/>
        <v>0</v>
      </c>
      <c r="X244" s="2"/>
      <c r="Y244" s="3" t="s">
        <v>172</v>
      </c>
    </row>
    <row r="245" spans="1:30" ht="16.5" customHeight="1" x14ac:dyDescent="0.35">
      <c r="A245" s="351">
        <v>45975</v>
      </c>
      <c r="B245" s="76" t="s">
        <v>522</v>
      </c>
      <c r="C245" s="71" t="s">
        <v>104</v>
      </c>
      <c r="D245" s="3"/>
      <c r="E245" s="3" t="s">
        <v>87</v>
      </c>
      <c r="F245" s="3" t="s">
        <v>87</v>
      </c>
      <c r="H245" s="76">
        <v>6458</v>
      </c>
      <c r="I245" s="2" t="s">
        <v>88</v>
      </c>
      <c r="J245" s="3" t="s">
        <v>89</v>
      </c>
      <c r="K245" s="327" t="s">
        <v>479</v>
      </c>
      <c r="L245" s="326" t="s">
        <v>454</v>
      </c>
      <c r="M245" s="3" t="s">
        <v>502</v>
      </c>
      <c r="N245" s="356" cm="1">
        <f t="array" ref="N245">_xlfn.IFS(I245="AEX",H245/400,I245="RP",H245/200)</f>
        <v>16.145</v>
      </c>
      <c r="O245" s="3">
        <v>64.7</v>
      </c>
      <c r="P245" s="75">
        <f t="shared" si="41"/>
        <v>99.814528593508498</v>
      </c>
      <c r="Q245" s="3" t="str" cm="1">
        <f t="array" ref="Q245">_xlfn.IFS(P245&lt;200, "10", P245&lt;400, "12", P245&lt;600, "14", P245&gt;600, "16")</f>
        <v>10</v>
      </c>
      <c r="R245" s="75">
        <v>5</v>
      </c>
      <c r="S245" s="75">
        <f t="shared" si="40"/>
        <v>7.7279752704791344E-2</v>
      </c>
      <c r="T245" s="76">
        <v>3499.7</v>
      </c>
      <c r="U245" s="306">
        <f t="shared" si="42"/>
        <v>54.191700216785378</v>
      </c>
      <c r="V245" s="76">
        <v>73.739999999999995</v>
      </c>
      <c r="W245" s="3" t="s">
        <v>91</v>
      </c>
      <c r="X245" s="2">
        <v>45975</v>
      </c>
      <c r="Y245" s="3" t="s">
        <v>97</v>
      </c>
      <c r="Z245" s="3" t="s">
        <v>87</v>
      </c>
      <c r="AA245" s="76">
        <v>3282.5</v>
      </c>
      <c r="AB245" s="76">
        <v>122.94</v>
      </c>
    </row>
    <row r="246" spans="1:30" ht="16.5" customHeight="1" x14ac:dyDescent="0.35">
      <c r="A246" s="351">
        <v>45978</v>
      </c>
      <c r="B246" s="76" t="s">
        <v>525</v>
      </c>
      <c r="C246" s="71" t="s">
        <v>321</v>
      </c>
      <c r="D246" s="3"/>
      <c r="E246" s="3" t="s">
        <v>86</v>
      </c>
      <c r="F246" s="3" t="s">
        <v>87</v>
      </c>
      <c r="H246" s="76">
        <v>2140</v>
      </c>
      <c r="I246" s="2" t="s">
        <v>88</v>
      </c>
      <c r="J246" s="3" t="s">
        <v>90</v>
      </c>
      <c r="K246" s="327" t="s">
        <v>479</v>
      </c>
      <c r="L246" s="326" t="s">
        <v>454</v>
      </c>
      <c r="M246" s="3" t="s">
        <v>502</v>
      </c>
      <c r="N246" s="356" cm="1">
        <f t="array" ref="N246">_xlfn.IFS(I246="AEX",H246/400,I246="RP",H246/200)</f>
        <v>5.35</v>
      </c>
      <c r="O246" s="3">
        <v>23.5</v>
      </c>
      <c r="P246" s="75">
        <f t="shared" si="41"/>
        <v>91.063829787234042</v>
      </c>
      <c r="Q246" s="3" t="str" cm="1">
        <f t="array" ref="Q246">_xlfn.IFS(P246&lt;200, "10", P246&lt;400, "12", P246&lt;600, "14", P246&gt;600, "16")</f>
        <v>10</v>
      </c>
      <c r="R246" s="75">
        <f>IF(I246="AEX",H246*0.3/400,H246*0.3/200)</f>
        <v>1.605</v>
      </c>
      <c r="S246" s="75">
        <f t="shared" ref="S246" si="43">R246/O246</f>
        <v>6.8297872340425531E-2</v>
      </c>
      <c r="T246" s="76">
        <v>235</v>
      </c>
      <c r="U246" s="306">
        <f t="shared" si="42"/>
        <v>10.981308411214954</v>
      </c>
      <c r="X246" s="2"/>
      <c r="Y246" s="3" t="s">
        <v>172</v>
      </c>
      <c r="AA246" s="76">
        <v>219</v>
      </c>
    </row>
    <row r="247" spans="1:30" ht="16.5" customHeight="1" x14ac:dyDescent="0.35">
      <c r="A247" s="351">
        <v>45979</v>
      </c>
      <c r="B247" s="76" t="s">
        <v>527</v>
      </c>
      <c r="C247" s="71" t="s">
        <v>104</v>
      </c>
      <c r="D247" s="3"/>
      <c r="E247" s="3" t="s">
        <v>194</v>
      </c>
      <c r="F247" s="3" t="s">
        <v>87</v>
      </c>
      <c r="H247" s="76">
        <v>16053</v>
      </c>
      <c r="I247" s="2" t="s">
        <v>88</v>
      </c>
      <c r="J247" s="3" t="s">
        <v>89</v>
      </c>
      <c r="K247" s="327" t="s">
        <v>479</v>
      </c>
      <c r="L247" s="326" t="s">
        <v>454</v>
      </c>
      <c r="M247" s="3" t="s">
        <v>502</v>
      </c>
      <c r="N247" s="356" cm="1">
        <f t="array" ref="N247">_xlfn.IFS(I247="AEX",H247/400,I247="RP",H247/200)</f>
        <v>40.1325</v>
      </c>
      <c r="O247" s="3">
        <v>63.8</v>
      </c>
      <c r="P247" s="75">
        <f t="shared" ref="P247" si="44">H247/O247</f>
        <v>251.61442006269593</v>
      </c>
      <c r="Q247" s="3" t="str" cm="1">
        <f t="array" ref="Q247">_xlfn.IFS(P247&lt;200, "10", P247&lt;400, "12", P247&lt;600, "14", P247&gt;600, "16")</f>
        <v>12</v>
      </c>
      <c r="R247" s="75">
        <f t="shared" ref="R247" si="45">IF(I247="AEX",H247*0.3/400,H247*0.3/200)</f>
        <v>12.03975</v>
      </c>
      <c r="S247" s="75">
        <f t="shared" ref="S247" si="46">R247/O247</f>
        <v>0.18871081504702195</v>
      </c>
      <c r="T247" s="76">
        <v>3922</v>
      </c>
      <c r="U247" s="306">
        <f t="shared" si="42"/>
        <v>24.431570422973898</v>
      </c>
      <c r="V247" s="76">
        <v>84</v>
      </c>
      <c r="X247" s="2"/>
      <c r="Y247" s="3" t="s">
        <v>172</v>
      </c>
      <c r="Z247" s="3" t="s">
        <v>87</v>
      </c>
      <c r="AA247" s="76">
        <v>3922</v>
      </c>
    </row>
    <row r="248" spans="1:30" ht="16.5" customHeight="1" x14ac:dyDescent="0.35">
      <c r="A248" s="351">
        <v>45979</v>
      </c>
      <c r="B248" s="76" t="s">
        <v>533</v>
      </c>
      <c r="C248" s="71" t="s">
        <v>104</v>
      </c>
      <c r="D248" s="3"/>
      <c r="E248" s="3" t="s">
        <v>86</v>
      </c>
      <c r="F248" s="3" t="s">
        <v>87</v>
      </c>
      <c r="H248" s="76">
        <v>1587</v>
      </c>
      <c r="I248" s="2" t="s">
        <v>88</v>
      </c>
      <c r="J248" s="3" t="s">
        <v>529</v>
      </c>
      <c r="K248" s="327" t="s">
        <v>479</v>
      </c>
      <c r="L248" s="326" t="s">
        <v>454</v>
      </c>
      <c r="M248" s="3" t="s">
        <v>502</v>
      </c>
      <c r="N248" s="356" cm="1">
        <f t="array" ref="N248">_xlfn.IFS(I248="AEX",H248/400,I248="RP",H248/200)</f>
        <v>3.9674999999999998</v>
      </c>
      <c r="O248" s="3">
        <v>16.100000000000001</v>
      </c>
      <c r="P248" s="75">
        <f t="shared" ref="P248:P256" si="47">H248/O248</f>
        <v>98.571428571428569</v>
      </c>
      <c r="Q248" s="3" t="str" cm="1">
        <f t="array" ref="Q248">_xlfn.IFS(P248&lt;200, "10", P248&lt;400, "12", P248&lt;600, "14", P248&gt;600, "16")</f>
        <v>10</v>
      </c>
      <c r="R248" s="75">
        <f t="shared" ref="R248:R256" si="48">IF(I248="AEX",H248*0.3/400,H248*0.3/200)</f>
        <v>1.1902499999999998</v>
      </c>
      <c r="S248" s="75">
        <f t="shared" ref="S248:S256" si="49">R248/O248</f>
        <v>7.3928571428571413E-2</v>
      </c>
      <c r="T248" s="76">
        <v>216</v>
      </c>
      <c r="U248" s="306">
        <f>T248/H248*100</f>
        <v>13.610586011342155</v>
      </c>
      <c r="V248" s="76">
        <v>15</v>
      </c>
      <c r="X248" s="2"/>
      <c r="Y248" s="3" t="s">
        <v>172</v>
      </c>
      <c r="AA248" s="76">
        <v>201</v>
      </c>
      <c r="AD248" s="47" t="s">
        <v>532</v>
      </c>
    </row>
    <row r="249" spans="1:30" ht="16.5" customHeight="1" x14ac:dyDescent="0.35">
      <c r="A249" s="351">
        <v>45980</v>
      </c>
      <c r="B249" s="76" t="s">
        <v>548</v>
      </c>
      <c r="C249" s="71" t="s">
        <v>104</v>
      </c>
      <c r="D249" s="3"/>
      <c r="E249" s="3" t="s">
        <v>86</v>
      </c>
      <c r="F249" s="3" t="s">
        <v>87</v>
      </c>
      <c r="H249" s="76">
        <v>8197</v>
      </c>
      <c r="I249" s="2" t="s">
        <v>88</v>
      </c>
      <c r="J249" s="3" t="s">
        <v>90</v>
      </c>
      <c r="K249" s="327" t="s">
        <v>496</v>
      </c>
      <c r="L249" s="326" t="s">
        <v>455</v>
      </c>
      <c r="M249" s="3">
        <v>60</v>
      </c>
      <c r="N249" s="356" cm="1">
        <f t="array" ref="N249">_xlfn.IFS(I249="AEX",H249/400,I249="RP",H249/200)</f>
        <v>20.4925</v>
      </c>
      <c r="O249" s="3">
        <v>23.5</v>
      </c>
      <c r="P249" s="75">
        <f t="shared" si="47"/>
        <v>348.80851063829789</v>
      </c>
      <c r="Q249" s="3" t="str" cm="1">
        <f t="array" ref="Q249">_xlfn.IFS(P249&lt;200, "10", P249&lt;400, "12", P249&lt;600, "14", P249&gt;600, "16")</f>
        <v>12</v>
      </c>
      <c r="R249" s="75">
        <f t="shared" si="48"/>
        <v>6.1477499999999994</v>
      </c>
      <c r="S249" s="75">
        <f t="shared" si="49"/>
        <v>0.26160638297872335</v>
      </c>
      <c r="T249" s="76">
        <v>2260</v>
      </c>
      <c r="U249" s="306">
        <f>T249/H249*100</f>
        <v>27.571062583872148</v>
      </c>
      <c r="V249" s="76">
        <v>50</v>
      </c>
      <c r="W249" s="3" t="s">
        <v>87</v>
      </c>
      <c r="X249" s="2">
        <v>45980</v>
      </c>
      <c r="Y249" s="3" t="s">
        <v>172</v>
      </c>
      <c r="Z249" s="3" t="s">
        <v>87</v>
      </c>
      <c r="AA249" s="76">
        <v>2260</v>
      </c>
    </row>
    <row r="250" spans="1:30" ht="16.5" customHeight="1" x14ac:dyDescent="0.35">
      <c r="A250" s="351">
        <v>45980</v>
      </c>
      <c r="B250" s="76" t="s">
        <v>526</v>
      </c>
      <c r="C250" s="71" t="s">
        <v>104</v>
      </c>
      <c r="D250" s="3"/>
      <c r="E250" s="3" t="s">
        <v>86</v>
      </c>
      <c r="F250" s="330">
        <v>4.0000000000000001E-3</v>
      </c>
      <c r="H250" s="76">
        <v>549920</v>
      </c>
      <c r="I250" s="2" t="s">
        <v>88</v>
      </c>
      <c r="J250" s="3" t="s">
        <v>89</v>
      </c>
      <c r="K250" s="327" t="s">
        <v>479</v>
      </c>
      <c r="L250" s="326" t="s">
        <v>454</v>
      </c>
      <c r="M250" s="3" t="s">
        <v>502</v>
      </c>
      <c r="N250" s="356" cm="1">
        <f t="array" ref="N250">_xlfn.IFS(I250="AEX",H250/400,I250="RP",H250/200)</f>
        <v>1374.8</v>
      </c>
      <c r="O250" s="3">
        <v>1823</v>
      </c>
      <c r="P250" s="75">
        <f t="shared" si="47"/>
        <v>301.6566099835436</v>
      </c>
      <c r="Q250" s="3" t="str" cm="1">
        <f t="array" ref="Q250">_xlfn.IFS(P250&lt;200, "10", P250&lt;400, "12", P250&lt;600, "14", P250&gt;600, "16")</f>
        <v>12</v>
      </c>
      <c r="R250" s="75">
        <f t="shared" si="48"/>
        <v>412.44</v>
      </c>
      <c r="S250" s="75">
        <f t="shared" si="49"/>
        <v>0.2262424574876577</v>
      </c>
      <c r="T250" s="76">
        <v>434161</v>
      </c>
      <c r="U250" s="306">
        <f t="shared" si="42"/>
        <v>78.949847250509166</v>
      </c>
      <c r="V250" s="76">
        <v>7078.3</v>
      </c>
      <c r="W250" s="3" t="s">
        <v>91</v>
      </c>
      <c r="X250" s="2">
        <v>45981</v>
      </c>
      <c r="Y250" s="3" t="s">
        <v>94</v>
      </c>
      <c r="Z250" s="3" t="s">
        <v>87</v>
      </c>
      <c r="AA250" s="76">
        <v>319916.86</v>
      </c>
      <c r="AB250" s="76">
        <v>787.5</v>
      </c>
      <c r="AC250" s="76" t="s">
        <v>554</v>
      </c>
    </row>
    <row r="251" spans="1:30" ht="16.5" customHeight="1" x14ac:dyDescent="0.35">
      <c r="A251" s="351">
        <v>45980</v>
      </c>
      <c r="B251" s="76" t="s">
        <v>538</v>
      </c>
      <c r="C251" s="71" t="s">
        <v>104</v>
      </c>
      <c r="D251" s="3"/>
      <c r="E251" s="3" t="s">
        <v>86</v>
      </c>
      <c r="F251" s="3" t="s">
        <v>87</v>
      </c>
      <c r="H251" s="76">
        <v>490</v>
      </c>
      <c r="I251" s="2" t="s">
        <v>70</v>
      </c>
      <c r="J251" s="3" t="s">
        <v>209</v>
      </c>
      <c r="K251" s="327" t="s">
        <v>536</v>
      </c>
      <c r="L251" s="326" t="s">
        <v>459</v>
      </c>
      <c r="M251" s="3">
        <v>40</v>
      </c>
      <c r="N251" s="356" cm="1">
        <f t="array" ref="N251">_xlfn.IFS(I251="AEX",H251/400,I251="RP",H251/200)</f>
        <v>2.4500000000000002</v>
      </c>
      <c r="O251" s="3">
        <v>22</v>
      </c>
      <c r="P251" s="75">
        <f t="shared" si="47"/>
        <v>22.272727272727273</v>
      </c>
      <c r="Q251" s="3" t="str" cm="1">
        <f t="array" ref="Q251">_xlfn.IFS(P251&lt;200, "10", P251&lt;400, "12", P251&lt;600, "14", P251&gt;600, "16")</f>
        <v>10</v>
      </c>
      <c r="R251" s="75">
        <f t="shared" si="48"/>
        <v>0.73499999999999999</v>
      </c>
      <c r="S251" s="75">
        <f t="shared" si="49"/>
        <v>3.3409090909090909E-2</v>
      </c>
      <c r="T251" s="76">
        <v>208</v>
      </c>
      <c r="U251" s="306">
        <f t="shared" si="42"/>
        <v>42.448979591836732</v>
      </c>
      <c r="V251" s="76">
        <v>7</v>
      </c>
      <c r="W251" s="3" t="s">
        <v>87</v>
      </c>
      <c r="X251" s="2">
        <v>45980</v>
      </c>
      <c r="Y251" s="3" t="s">
        <v>172</v>
      </c>
      <c r="Z251" s="3" t="s">
        <v>91</v>
      </c>
      <c r="AA251" s="76">
        <v>182</v>
      </c>
    </row>
    <row r="252" spans="1:30" ht="16.5" customHeight="1" x14ac:dyDescent="0.35">
      <c r="A252" s="351">
        <v>45981</v>
      </c>
      <c r="B252" s="76" t="s">
        <v>528</v>
      </c>
      <c r="C252" s="71" t="s">
        <v>104</v>
      </c>
      <c r="D252" s="3"/>
      <c r="E252" s="3" t="s">
        <v>257</v>
      </c>
      <c r="F252" s="3">
        <v>0.01</v>
      </c>
      <c r="H252" s="76">
        <v>21579</v>
      </c>
      <c r="I252" s="2" t="s">
        <v>88</v>
      </c>
      <c r="J252" s="3" t="s">
        <v>89</v>
      </c>
      <c r="K252" s="327" t="s">
        <v>479</v>
      </c>
      <c r="L252" s="326" t="s">
        <v>454</v>
      </c>
      <c r="M252" s="3" t="s">
        <v>502</v>
      </c>
      <c r="N252" s="356" cm="1">
        <f t="array" ref="N252">_xlfn.IFS(I252="AEX",H252/400,I252="RP",H252/200)</f>
        <v>53.947499999999998</v>
      </c>
      <c r="O252" s="3">
        <v>64.7</v>
      </c>
      <c r="P252" s="75">
        <f t="shared" si="47"/>
        <v>333.52395672333847</v>
      </c>
      <c r="Q252" s="3" t="str" cm="1">
        <f t="array" ref="Q252">_xlfn.IFS(P252&lt;200, "10", P252&lt;400, "12", P252&lt;600, "14", P252&gt;600, "16")</f>
        <v>12</v>
      </c>
      <c r="R252" s="75">
        <f t="shared" si="48"/>
        <v>16.184249999999999</v>
      </c>
      <c r="S252" s="75">
        <f t="shared" si="49"/>
        <v>0.25014296754250381</v>
      </c>
      <c r="T252" s="76">
        <v>10397</v>
      </c>
      <c r="U252" s="306">
        <f>T252/H252*100</f>
        <v>48.181101997312204</v>
      </c>
      <c r="V252" s="76">
        <v>206.02</v>
      </c>
      <c r="W252" s="3" t="s">
        <v>91</v>
      </c>
      <c r="X252" s="2">
        <v>45981</v>
      </c>
      <c r="Y252" s="3" t="s">
        <v>318</v>
      </c>
      <c r="Z252" s="3" t="s">
        <v>87</v>
      </c>
      <c r="AA252" s="76">
        <v>10804</v>
      </c>
      <c r="AB252" s="76">
        <v>197.69</v>
      </c>
    </row>
    <row r="253" spans="1:30" ht="16.5" customHeight="1" x14ac:dyDescent="0.35">
      <c r="A253" s="351">
        <v>45981</v>
      </c>
      <c r="B253" s="76" t="s">
        <v>531</v>
      </c>
      <c r="C253" s="71" t="s">
        <v>104</v>
      </c>
      <c r="D253" s="3"/>
      <c r="E253" s="3" t="s">
        <v>87</v>
      </c>
      <c r="F253" s="3" t="s">
        <v>87</v>
      </c>
      <c r="H253" s="76">
        <v>16504</v>
      </c>
      <c r="I253" s="2" t="s">
        <v>88</v>
      </c>
      <c r="J253" s="3" t="s">
        <v>89</v>
      </c>
      <c r="K253" s="327" t="s">
        <v>479</v>
      </c>
      <c r="L253" s="326" t="s">
        <v>454</v>
      </c>
      <c r="M253" s="3" t="s">
        <v>502</v>
      </c>
      <c r="N253" s="356" cm="1">
        <f t="array" ref="N253">_xlfn.IFS(I253="AEX",H253/400,I253="RP",H253/200)</f>
        <v>41.26</v>
      </c>
      <c r="O253" s="3">
        <v>64.7</v>
      </c>
      <c r="P253" s="75">
        <f t="shared" si="47"/>
        <v>255.08500772797527</v>
      </c>
      <c r="Q253" s="3" t="str" cm="1">
        <f t="array" ref="Q253">_xlfn.IFS(P253&lt;200, "10", P253&lt;400, "12", P253&lt;600, "14", P253&gt;600, "16")</f>
        <v>12</v>
      </c>
      <c r="R253" s="75">
        <f t="shared" si="48"/>
        <v>12.378</v>
      </c>
      <c r="S253" s="75">
        <f t="shared" si="49"/>
        <v>0.19131375579598145</v>
      </c>
      <c r="T253" s="76">
        <v>8173</v>
      </c>
      <c r="U253" s="306">
        <f t="shared" si="42"/>
        <v>49.521328162869608</v>
      </c>
      <c r="V253" s="76">
        <v>237.6</v>
      </c>
      <c r="W253" s="3" t="s">
        <v>91</v>
      </c>
      <c r="X253" s="2">
        <v>45982</v>
      </c>
      <c r="Y253" s="3" t="s">
        <v>94</v>
      </c>
      <c r="Z253" s="3" t="s">
        <v>87</v>
      </c>
      <c r="AA253" s="76">
        <v>7691.52</v>
      </c>
      <c r="AB253" s="76">
        <v>203.97</v>
      </c>
    </row>
    <row r="254" spans="1:30" ht="16.5" customHeight="1" x14ac:dyDescent="0.35">
      <c r="A254" s="351">
        <v>45981</v>
      </c>
      <c r="B254" s="76" t="s">
        <v>539</v>
      </c>
      <c r="C254" s="71" t="s">
        <v>104</v>
      </c>
      <c r="D254" s="3"/>
      <c r="E254" s="3" t="s">
        <v>87</v>
      </c>
      <c r="F254" s="3" t="s">
        <v>87</v>
      </c>
      <c r="H254" s="76">
        <v>38011</v>
      </c>
      <c r="I254" s="2" t="s">
        <v>88</v>
      </c>
      <c r="J254" s="3" t="s">
        <v>90</v>
      </c>
      <c r="K254" s="327" t="s">
        <v>540</v>
      </c>
      <c r="L254" s="326" t="s">
        <v>454</v>
      </c>
      <c r="M254" s="3" t="s">
        <v>502</v>
      </c>
      <c r="N254" s="356" cm="1">
        <f t="array" ref="N254">_xlfn.IFS(I254="AEX",H254/400,I254="RP",H254/200)</f>
        <v>95.027500000000003</v>
      </c>
      <c r="O254" s="3">
        <v>288</v>
      </c>
      <c r="P254" s="75">
        <f t="shared" si="47"/>
        <v>131.98263888888889</v>
      </c>
      <c r="Q254" s="3" t="str" cm="1">
        <f t="array" ref="Q254">_xlfn.IFS(P254&lt;200, "10", P254&lt;400, "12", P254&lt;600, "14", P254&gt;600, "16")</f>
        <v>10</v>
      </c>
      <c r="R254" s="75">
        <f t="shared" si="48"/>
        <v>28.508249999999997</v>
      </c>
      <c r="S254" s="75">
        <f t="shared" si="49"/>
        <v>9.8986979166666655E-2</v>
      </c>
      <c r="T254" s="76">
        <v>20482</v>
      </c>
      <c r="U254" s="306">
        <f t="shared" si="42"/>
        <v>53.884401883665255</v>
      </c>
      <c r="V254" s="76">
        <v>537</v>
      </c>
      <c r="W254" s="3" t="s">
        <v>91</v>
      </c>
      <c r="X254" s="2">
        <v>45982</v>
      </c>
      <c r="Y254" s="3" t="s">
        <v>94</v>
      </c>
      <c r="Z254" s="3" t="s">
        <v>87</v>
      </c>
      <c r="AA254" s="76">
        <v>20008.580000000002</v>
      </c>
      <c r="AB254" s="76">
        <v>228.79</v>
      </c>
    </row>
    <row r="255" spans="1:30" ht="17.149999999999999" customHeight="1" x14ac:dyDescent="0.35">
      <c r="A255" s="351">
        <v>45982</v>
      </c>
      <c r="B255" s="76" t="s">
        <v>541</v>
      </c>
      <c r="C255" s="333" t="s">
        <v>321</v>
      </c>
      <c r="D255" s="3"/>
      <c r="E255" s="3" t="s">
        <v>86</v>
      </c>
      <c r="F255" s="3" t="s">
        <v>87</v>
      </c>
      <c r="H255" s="76">
        <v>7380</v>
      </c>
      <c r="I255" s="2" t="s">
        <v>88</v>
      </c>
      <c r="J255" s="3" t="s">
        <v>90</v>
      </c>
      <c r="K255" s="327" t="s">
        <v>496</v>
      </c>
      <c r="L255" s="326" t="s">
        <v>455</v>
      </c>
      <c r="M255" s="3">
        <v>60</v>
      </c>
      <c r="N255" s="356" cm="1">
        <f t="array" ref="N255">_xlfn.IFS(I255="AEX",H255/400,I255="RP",H255/200)</f>
        <v>18.45</v>
      </c>
      <c r="O255" s="3">
        <v>23.5</v>
      </c>
      <c r="P255" s="75">
        <f t="shared" si="47"/>
        <v>314.04255319148939</v>
      </c>
      <c r="Q255" s="3" t="str" cm="1">
        <f t="array" ref="Q255">_xlfn.IFS(P255&lt;200, "10", P255&lt;400, "12", P255&lt;600, "14", P255&gt;600, "16")</f>
        <v>12</v>
      </c>
      <c r="R255" s="75">
        <f t="shared" si="48"/>
        <v>5.5350000000000001</v>
      </c>
      <c r="S255" s="75">
        <f t="shared" si="49"/>
        <v>0.23553191489361702</v>
      </c>
      <c r="T255" s="76">
        <v>3732</v>
      </c>
      <c r="U255" s="306">
        <f>T255/H255*100</f>
        <v>50.569105691056912</v>
      </c>
      <c r="X255" s="2"/>
      <c r="AD255" s="47" t="s">
        <v>546</v>
      </c>
    </row>
    <row r="256" spans="1:30" ht="17.149999999999999" customHeight="1" x14ac:dyDescent="0.35">
      <c r="A256" s="351">
        <v>45982</v>
      </c>
      <c r="B256" s="76" t="s">
        <v>547</v>
      </c>
      <c r="C256" s="333" t="s">
        <v>104</v>
      </c>
      <c r="D256" s="3"/>
      <c r="E256" s="3" t="s">
        <v>86</v>
      </c>
      <c r="F256" s="3" t="s">
        <v>87</v>
      </c>
      <c r="H256" s="76">
        <v>3732</v>
      </c>
      <c r="I256" s="2" t="s">
        <v>88</v>
      </c>
      <c r="J256" s="3" t="s">
        <v>377</v>
      </c>
      <c r="K256" s="327" t="s">
        <v>496</v>
      </c>
      <c r="L256" s="326" t="s">
        <v>455</v>
      </c>
      <c r="M256" s="3">
        <v>60</v>
      </c>
      <c r="N256" s="356" cm="1">
        <f t="array" ref="N256">_xlfn.IFS(I256="AEX",H256/400,I256="RP",H256/200)</f>
        <v>9.33</v>
      </c>
      <c r="O256" s="3">
        <v>23.5</v>
      </c>
      <c r="P256" s="75">
        <f t="shared" si="47"/>
        <v>158.80851063829786</v>
      </c>
      <c r="Q256" s="3" t="str" cm="1">
        <f t="array" ref="Q256">_xlfn.IFS(P256&lt;200, "10", P256&lt;400, "12", P256&lt;600, "14", P256&gt;600, "16")</f>
        <v>10</v>
      </c>
      <c r="R256" s="75">
        <f t="shared" si="48"/>
        <v>2.7989999999999999</v>
      </c>
      <c r="S256" s="75">
        <f t="shared" si="49"/>
        <v>0.1191063829787234</v>
      </c>
      <c r="U256" s="306">
        <f>T256/H256*100</f>
        <v>0</v>
      </c>
      <c r="X256" s="2"/>
      <c r="AD256" s="47" t="s">
        <v>546</v>
      </c>
    </row>
    <row r="257" spans="1:29" ht="16.5" customHeight="1" x14ac:dyDescent="0.35">
      <c r="A257" s="351">
        <v>45982</v>
      </c>
      <c r="B257" s="76" t="s">
        <v>543</v>
      </c>
      <c r="C257" s="71" t="s">
        <v>104</v>
      </c>
      <c r="D257" s="3"/>
      <c r="E257" s="3" t="s">
        <v>86</v>
      </c>
      <c r="F257" s="3">
        <v>0.01</v>
      </c>
      <c r="H257" s="76">
        <v>1700</v>
      </c>
      <c r="I257" s="3" t="s">
        <v>70</v>
      </c>
      <c r="J257" s="3" t="s">
        <v>209</v>
      </c>
      <c r="K257" s="327" t="s">
        <v>493</v>
      </c>
      <c r="L257" s="326" t="s">
        <v>459</v>
      </c>
      <c r="M257" s="3">
        <v>40</v>
      </c>
      <c r="N257" s="356" cm="1">
        <f t="array" ref="N257">_xlfn.IFS(I257="AEX",H257/400,I257="RP",H257/200)</f>
        <v>8.5</v>
      </c>
      <c r="O257" s="3">
        <v>24</v>
      </c>
      <c r="P257" s="75">
        <f t="shared" si="31"/>
        <v>70.833333333333329</v>
      </c>
      <c r="Q257" s="3" t="str" cm="1">
        <f t="array" ref="Q257">_xlfn.IFS(P257&lt;200, "10", P257&lt;400, "12", P257&lt;600, "14", P257&gt;600, "16")</f>
        <v>10</v>
      </c>
      <c r="R257" s="75">
        <f t="shared" si="32"/>
        <v>2.5499999999999998</v>
      </c>
      <c r="S257" s="75">
        <f t="shared" si="34"/>
        <v>0.10625</v>
      </c>
      <c r="T257" s="76">
        <v>653</v>
      </c>
      <c r="U257" s="306">
        <f t="shared" si="42"/>
        <v>38.411764705882348</v>
      </c>
      <c r="X257" s="2"/>
    </row>
    <row r="258" spans="1:29" ht="16.5" customHeight="1" x14ac:dyDescent="0.35">
      <c r="A258" s="351">
        <v>45982</v>
      </c>
      <c r="B258" s="76" t="s">
        <v>544</v>
      </c>
      <c r="C258" s="71" t="s">
        <v>104</v>
      </c>
      <c r="D258" s="3"/>
      <c r="E258" s="3" t="s">
        <v>86</v>
      </c>
      <c r="F258" s="3">
        <v>0.01</v>
      </c>
      <c r="H258" s="76">
        <v>1700</v>
      </c>
      <c r="I258" s="3" t="s">
        <v>70</v>
      </c>
      <c r="J258" s="3" t="s">
        <v>195</v>
      </c>
      <c r="K258" s="327" t="s">
        <v>545</v>
      </c>
      <c r="L258" s="326" t="s">
        <v>459</v>
      </c>
      <c r="M258" s="3">
        <v>40</v>
      </c>
      <c r="N258" s="356" cm="1">
        <f t="array" ref="N258">_xlfn.IFS(I258="AEX",H258/400,I258="RP",H258/200)</f>
        <v>8.5</v>
      </c>
      <c r="O258" s="3">
        <v>24</v>
      </c>
      <c r="P258" s="75">
        <f t="shared" si="31"/>
        <v>70.833333333333329</v>
      </c>
      <c r="Q258" s="3" t="str" cm="1">
        <f t="array" ref="Q258">_xlfn.IFS(P258&lt;200, "10", P258&lt;400, "12", P258&lt;600, "14", P258&gt;600, "16")</f>
        <v>10</v>
      </c>
      <c r="R258" s="75">
        <f t="shared" si="32"/>
        <v>2.5499999999999998</v>
      </c>
      <c r="S258" s="75">
        <f t="shared" si="34"/>
        <v>0.10625</v>
      </c>
      <c r="T258" s="76">
        <v>703</v>
      </c>
      <c r="U258" s="306">
        <f t="shared" si="35"/>
        <v>41.352941176470587</v>
      </c>
      <c r="X258" s="2"/>
    </row>
    <row r="259" spans="1:29" ht="16.5" customHeight="1" x14ac:dyDescent="0.35">
      <c r="A259" s="351">
        <v>45985</v>
      </c>
      <c r="B259" s="76" t="s">
        <v>549</v>
      </c>
      <c r="C259" s="71" t="s">
        <v>104</v>
      </c>
      <c r="D259" s="3"/>
      <c r="E259" s="3" t="s">
        <v>86</v>
      </c>
      <c r="F259" s="330">
        <v>4.0000000000000001E-3</v>
      </c>
      <c r="H259" s="76">
        <v>664031</v>
      </c>
      <c r="I259" s="3" t="s">
        <v>88</v>
      </c>
      <c r="J259" s="3" t="s">
        <v>89</v>
      </c>
      <c r="K259" s="327" t="s">
        <v>479</v>
      </c>
      <c r="L259" s="326" t="s">
        <v>454</v>
      </c>
      <c r="M259" s="3" t="s">
        <v>502</v>
      </c>
      <c r="N259" s="356" cm="1">
        <f t="array" ref="N259">_xlfn.IFS(I259="AEX",H259/400,I259="RP",H259/200)</f>
        <v>1660.0775000000001</v>
      </c>
      <c r="O259" s="3">
        <v>1823</v>
      </c>
      <c r="P259" s="75">
        <f t="shared" ref="P259:P260" si="50">H259/O259</f>
        <v>364.25178277564453</v>
      </c>
      <c r="Q259" s="3" t="str" cm="1">
        <f t="array" ref="Q259">_xlfn.IFS(P259&lt;200, "10", P259&lt;400, "12", P259&lt;600, "14", P259&gt;600, "16")</f>
        <v>12</v>
      </c>
      <c r="R259" s="75">
        <f t="shared" ref="R259:R260" si="51">IF(I259="AEX",H259*0.3/400,H259*0.3/200)</f>
        <v>498.02324999999996</v>
      </c>
      <c r="S259" s="75">
        <f t="shared" ref="S259:S260" si="52">R259/O259</f>
        <v>0.27318883708173336</v>
      </c>
      <c r="T259" s="76">
        <v>548611</v>
      </c>
      <c r="U259" s="306">
        <f t="shared" ref="U259:U261" si="53">T259/H259*100</f>
        <v>82.618281375417709</v>
      </c>
      <c r="W259" s="3" t="s">
        <v>91</v>
      </c>
      <c r="X259" s="2">
        <v>45986</v>
      </c>
      <c r="Y259" s="3" t="s">
        <v>94</v>
      </c>
      <c r="Z259" s="3" t="s">
        <v>87</v>
      </c>
      <c r="AA259" s="387">
        <v>910656.53</v>
      </c>
      <c r="AB259" s="387">
        <v>1072.46</v>
      </c>
      <c r="AC259" s="387" t="s">
        <v>554</v>
      </c>
    </row>
    <row r="260" spans="1:29" ht="16.5" customHeight="1" x14ac:dyDescent="0.35">
      <c r="A260" s="351">
        <v>45985</v>
      </c>
      <c r="B260" s="76" t="s">
        <v>550</v>
      </c>
      <c r="C260" s="71" t="s">
        <v>104</v>
      </c>
      <c r="D260" s="3"/>
      <c r="E260" s="3" t="s">
        <v>86</v>
      </c>
      <c r="F260" s="330">
        <v>4.0000000000000001E-3</v>
      </c>
      <c r="H260" s="76">
        <v>664031</v>
      </c>
      <c r="I260" s="3" t="s">
        <v>88</v>
      </c>
      <c r="J260" s="3" t="s">
        <v>89</v>
      </c>
      <c r="K260" s="327" t="s">
        <v>479</v>
      </c>
      <c r="L260" s="326" t="s">
        <v>454</v>
      </c>
      <c r="M260" s="3" t="s">
        <v>502</v>
      </c>
      <c r="N260" s="356" cm="1">
        <f t="array" ref="N260">_xlfn.IFS(I260="AEX",H260/400,I260="RP",H260/200)</f>
        <v>1660.0775000000001</v>
      </c>
      <c r="O260" s="3">
        <v>1823</v>
      </c>
      <c r="P260" s="75">
        <f t="shared" si="50"/>
        <v>364.25178277564453</v>
      </c>
      <c r="Q260" s="3" t="str" cm="1">
        <f t="array" ref="Q260">_xlfn.IFS(P260&lt;200, "10", P260&lt;400, "12", P260&lt;600, "14", P260&gt;600, "16")</f>
        <v>12</v>
      </c>
      <c r="R260" s="75">
        <f t="shared" si="51"/>
        <v>498.02324999999996</v>
      </c>
      <c r="S260" s="75">
        <f t="shared" si="52"/>
        <v>0.27318883708173336</v>
      </c>
      <c r="T260" s="76">
        <v>447313</v>
      </c>
      <c r="U260" s="306">
        <f t="shared" si="53"/>
        <v>67.363270690675577</v>
      </c>
      <c r="W260" s="3" t="s">
        <v>91</v>
      </c>
      <c r="X260" s="2">
        <v>45986</v>
      </c>
      <c r="Y260" s="3" t="s">
        <v>94</v>
      </c>
      <c r="Z260" s="3" t="s">
        <v>87</v>
      </c>
      <c r="AA260" s="387"/>
      <c r="AB260" s="387"/>
      <c r="AC260" s="387"/>
    </row>
    <row r="261" spans="1:29" ht="16.5" customHeight="1" x14ac:dyDescent="0.35">
      <c r="B261" s="76" t="s">
        <v>814</v>
      </c>
      <c r="D261" s="365"/>
      <c r="E261" s="365"/>
      <c r="F261" s="365"/>
      <c r="G261" s="365"/>
      <c r="H261" s="76">
        <v>1328063</v>
      </c>
      <c r="I261" s="365"/>
      <c r="J261" s="365"/>
      <c r="K261" s="366"/>
      <c r="L261" s="367"/>
      <c r="M261" s="365"/>
      <c r="N261" s="368"/>
      <c r="O261" s="365"/>
      <c r="P261" s="369"/>
      <c r="Q261" s="365"/>
      <c r="R261" s="369"/>
      <c r="S261" s="369"/>
      <c r="T261" s="76">
        <v>995925</v>
      </c>
      <c r="U261" s="306">
        <f t="shared" si="53"/>
        <v>74.990794864400257</v>
      </c>
      <c r="X261" s="2"/>
      <c r="AA261" s="357"/>
      <c r="AB261" s="357"/>
      <c r="AC261" s="357"/>
    </row>
    <row r="262" spans="1:29" ht="16.5" customHeight="1" x14ac:dyDescent="0.35">
      <c r="A262" s="351">
        <v>45986</v>
      </c>
      <c r="B262" s="76" t="s">
        <v>542</v>
      </c>
      <c r="C262" s="71" t="s">
        <v>104</v>
      </c>
      <c r="D262" s="3"/>
      <c r="E262" s="3" t="s">
        <v>86</v>
      </c>
      <c r="F262" s="3" t="s">
        <v>87</v>
      </c>
      <c r="H262" s="76">
        <v>3204</v>
      </c>
      <c r="I262" s="3" t="s">
        <v>88</v>
      </c>
      <c r="J262" s="3" t="s">
        <v>89</v>
      </c>
      <c r="K262" s="327" t="s">
        <v>479</v>
      </c>
      <c r="L262" s="326" t="s">
        <v>454</v>
      </c>
      <c r="M262" s="3" t="s">
        <v>502</v>
      </c>
      <c r="N262" s="356" cm="1">
        <f t="array" ref="N262">_xlfn.IFS(I262="AEX",H262/400,I262="RP",H262/200)</f>
        <v>8.01</v>
      </c>
      <c r="O262" s="3">
        <v>23.5</v>
      </c>
      <c r="P262" s="75">
        <f>H262/O262</f>
        <v>136.34042553191489</v>
      </c>
      <c r="Q262" s="3" t="str" cm="1">
        <f t="array" ref="Q262">_xlfn.IFS(P262&lt;200, "10", P262&lt;400, "12", P262&lt;600, "14", P262&gt;600, "16")</f>
        <v>10</v>
      </c>
      <c r="R262" s="75">
        <f>IF(I262="AEX",H262*0.3/400,H262*0.3/200)</f>
        <v>2.403</v>
      </c>
      <c r="S262" s="75">
        <f>R262/O262</f>
        <v>0.10225531914893617</v>
      </c>
      <c r="T262" s="76">
        <v>1123</v>
      </c>
      <c r="U262" s="306">
        <f>T262/H262*100</f>
        <v>35.049937578027468</v>
      </c>
      <c r="X262" s="2"/>
    </row>
    <row r="263" spans="1:29" ht="16.5" customHeight="1" x14ac:dyDescent="0.35">
      <c r="A263" s="351">
        <v>45986</v>
      </c>
      <c r="B263" s="259" t="s">
        <v>551</v>
      </c>
      <c r="C263" s="71" t="s">
        <v>104</v>
      </c>
      <c r="D263" s="3"/>
      <c r="E263" s="3" t="s">
        <v>86</v>
      </c>
      <c r="F263" s="3" t="s">
        <v>87</v>
      </c>
      <c r="H263" s="76">
        <v>4000</v>
      </c>
      <c r="I263" s="3" t="s">
        <v>88</v>
      </c>
      <c r="J263" s="3" t="s">
        <v>377</v>
      </c>
      <c r="K263" s="327" t="s">
        <v>479</v>
      </c>
      <c r="L263" s="326" t="s">
        <v>454</v>
      </c>
      <c r="M263" s="3" t="s">
        <v>502</v>
      </c>
      <c r="N263" s="356" cm="1">
        <f t="array" ref="N263">_xlfn.IFS(I263="AEX",H263/400,I263="RP",H263/200)</f>
        <v>10</v>
      </c>
      <c r="O263" s="3">
        <v>24</v>
      </c>
      <c r="P263" s="75">
        <f t="shared" ref="P263:P265" si="54">H263/O263</f>
        <v>166.66666666666666</v>
      </c>
      <c r="Q263" s="3" t="str" cm="1">
        <f t="array" ref="Q263">_xlfn.IFS(P263&lt;200, "10", P263&lt;400, "12", P263&lt;600, "14", P263&gt;600, "16")</f>
        <v>10</v>
      </c>
      <c r="R263" s="75">
        <f t="shared" ref="R263:R265" si="55">IF(I263="AEX",H263*0.3/400,H263*0.3/200)</f>
        <v>3</v>
      </c>
      <c r="S263" s="75">
        <f t="shared" ref="S263:S265" si="56">R263/O263</f>
        <v>0.125</v>
      </c>
      <c r="T263" s="76">
        <v>1297</v>
      </c>
      <c r="U263" s="306">
        <f>T263/H263*100</f>
        <v>32.424999999999997</v>
      </c>
      <c r="W263" s="3" t="s">
        <v>91</v>
      </c>
      <c r="X263" s="2">
        <v>45986</v>
      </c>
      <c r="Y263" s="3" t="s">
        <v>172</v>
      </c>
      <c r="Z263" s="3" t="s">
        <v>87</v>
      </c>
      <c r="AA263" s="76">
        <v>1219</v>
      </c>
    </row>
    <row r="264" spans="1:29" ht="16.5" customHeight="1" x14ac:dyDescent="0.35">
      <c r="A264" s="351">
        <v>45986</v>
      </c>
      <c r="B264" s="259" t="s">
        <v>552</v>
      </c>
      <c r="C264" s="71" t="s">
        <v>104</v>
      </c>
      <c r="D264" s="3"/>
      <c r="E264" s="3" t="s">
        <v>86</v>
      </c>
      <c r="F264" s="3" t="s">
        <v>87</v>
      </c>
      <c r="H264" s="76">
        <v>3084</v>
      </c>
      <c r="I264" s="3" t="s">
        <v>88</v>
      </c>
      <c r="J264" s="3" t="s">
        <v>89</v>
      </c>
      <c r="K264" s="327" t="s">
        <v>479</v>
      </c>
      <c r="L264" s="326" t="s">
        <v>454</v>
      </c>
      <c r="M264" s="3" t="s">
        <v>502</v>
      </c>
      <c r="N264" s="356" cm="1">
        <f t="array" ref="N264">_xlfn.IFS(I264="AEX",H264/400,I264="RP",H264/200)</f>
        <v>7.71</v>
      </c>
      <c r="O264" s="3">
        <v>23.5</v>
      </c>
      <c r="P264" s="75">
        <f t="shared" si="54"/>
        <v>131.2340425531915</v>
      </c>
      <c r="Q264" s="3" t="str" cm="1">
        <f t="array" ref="Q264">_xlfn.IFS(P264&lt;200, "10", P264&lt;400, "12", P264&lt;600, "14", P264&gt;600, "16")</f>
        <v>10</v>
      </c>
      <c r="R264" s="75">
        <f t="shared" si="55"/>
        <v>2.3129999999999997</v>
      </c>
      <c r="S264" s="75">
        <f t="shared" si="56"/>
        <v>9.8425531914893602E-2</v>
      </c>
      <c r="T264" s="76">
        <v>1191</v>
      </c>
      <c r="U264" s="306">
        <f>T264/H264*100</f>
        <v>38.618677042801558</v>
      </c>
      <c r="X264" s="2"/>
    </row>
    <row r="265" spans="1:29" ht="16.5" customHeight="1" x14ac:dyDescent="0.35">
      <c r="A265" s="351">
        <v>45986</v>
      </c>
      <c r="B265" s="76" t="s">
        <v>553</v>
      </c>
      <c r="C265" s="71" t="s">
        <v>104</v>
      </c>
      <c r="D265" s="3"/>
      <c r="E265" s="3" t="s">
        <v>86</v>
      </c>
      <c r="F265" s="3" t="s">
        <v>87</v>
      </c>
      <c r="H265" s="76">
        <v>4080</v>
      </c>
      <c r="I265" s="3" t="s">
        <v>88</v>
      </c>
      <c r="J265" s="3" t="s">
        <v>377</v>
      </c>
      <c r="K265" s="327" t="s">
        <v>479</v>
      </c>
      <c r="L265" s="326" t="s">
        <v>454</v>
      </c>
      <c r="M265" s="3" t="s">
        <v>502</v>
      </c>
      <c r="N265" s="356" cm="1">
        <f t="array" ref="N265">_xlfn.IFS(I265="AEX",H265/400,I265="RP",H265/200)</f>
        <v>10.199999999999999</v>
      </c>
      <c r="O265" s="3">
        <v>24</v>
      </c>
      <c r="P265" s="75">
        <f t="shared" si="54"/>
        <v>170</v>
      </c>
      <c r="Q265" s="3" t="str" cm="1">
        <f t="array" ref="Q265">_xlfn.IFS(P265&lt;200, "10", P265&lt;400, "12", P265&lt;600, "14", P265&gt;600, "16")</f>
        <v>10</v>
      </c>
      <c r="R265" s="75">
        <f t="shared" si="55"/>
        <v>3.06</v>
      </c>
      <c r="S265" s="75">
        <f t="shared" si="56"/>
        <v>0.1275</v>
      </c>
      <c r="T265" s="76">
        <v>1518</v>
      </c>
      <c r="U265" s="306">
        <f>T265/H265*100</f>
        <v>37.205882352941174</v>
      </c>
      <c r="X265" s="2"/>
    </row>
    <row r="266" spans="1:29" ht="16.5" customHeight="1" x14ac:dyDescent="0.35">
      <c r="A266" s="351">
        <v>45986</v>
      </c>
      <c r="B266" s="76" t="s">
        <v>573</v>
      </c>
      <c r="C266" s="71" t="s">
        <v>104</v>
      </c>
      <c r="D266" s="3"/>
      <c r="E266" s="3" t="s">
        <v>87</v>
      </c>
      <c r="F266" s="3" t="s">
        <v>87</v>
      </c>
      <c r="H266" s="76">
        <v>3334</v>
      </c>
      <c r="I266" s="3" t="s">
        <v>88</v>
      </c>
      <c r="J266" s="3" t="s">
        <v>89</v>
      </c>
      <c r="K266" s="327" t="s">
        <v>479</v>
      </c>
      <c r="L266" s="326" t="s">
        <v>454</v>
      </c>
      <c r="M266" s="3" t="s">
        <v>502</v>
      </c>
      <c r="N266" s="356" cm="1">
        <f t="array" ref="N266">_xlfn.IFS(I266="AEX",H266/400,I266="RP",H266/200)</f>
        <v>8.3350000000000009</v>
      </c>
      <c r="O266" s="3">
        <v>23.5</v>
      </c>
      <c r="P266" s="75">
        <f t="shared" ref="P266:P267" si="57">H266/O266</f>
        <v>141.87234042553192</v>
      </c>
      <c r="Q266" s="3" t="str" cm="1">
        <f t="array" ref="Q266">_xlfn.IFS(P266&lt;200, "10", P266&lt;400, "12", P266&lt;600, "14", P266&gt;600, "16")</f>
        <v>10</v>
      </c>
      <c r="R266" s="75">
        <f t="shared" ref="R266:R267" si="58">IF(I266="AEX",H266*0.3/400,H266*0.3/200)</f>
        <v>2.5004999999999997</v>
      </c>
      <c r="S266" s="75">
        <f t="shared" ref="S266:S267" si="59">R266/O266</f>
        <v>0.10640425531914892</v>
      </c>
      <c r="T266" s="76">
        <v>1200</v>
      </c>
      <c r="U266" s="306">
        <f t="shared" si="35"/>
        <v>35.992801439712061</v>
      </c>
      <c r="X266" s="2"/>
    </row>
    <row r="267" spans="1:29" ht="16.5" customHeight="1" x14ac:dyDescent="0.35">
      <c r="A267" s="351">
        <v>45986</v>
      </c>
      <c r="B267" s="76" t="s">
        <v>572</v>
      </c>
      <c r="C267" s="71" t="s">
        <v>104</v>
      </c>
      <c r="D267" s="3"/>
      <c r="E267" s="3" t="s">
        <v>87</v>
      </c>
      <c r="F267" s="3" t="s">
        <v>87</v>
      </c>
      <c r="H267" s="76">
        <v>6000</v>
      </c>
      <c r="I267" s="3" t="s">
        <v>88</v>
      </c>
      <c r="J267" s="3" t="s">
        <v>377</v>
      </c>
      <c r="K267" s="327" t="s">
        <v>479</v>
      </c>
      <c r="L267" s="326" t="s">
        <v>454</v>
      </c>
      <c r="M267" s="3" t="s">
        <v>502</v>
      </c>
      <c r="N267" s="356" cm="1">
        <f t="array" ref="N267">_xlfn.IFS(I267="AEX",H267/400,I267="RP",H267/200)</f>
        <v>15</v>
      </c>
      <c r="O267" s="3">
        <v>24</v>
      </c>
      <c r="P267" s="75">
        <f t="shared" si="57"/>
        <v>250</v>
      </c>
      <c r="Q267" s="3" t="str" cm="1">
        <f t="array" ref="Q267">_xlfn.IFS(P267&lt;200, "10", P267&lt;400, "12", P267&lt;600, "14", P267&gt;600, "16")</f>
        <v>12</v>
      </c>
      <c r="R267" s="75">
        <f t="shared" si="58"/>
        <v>4.5</v>
      </c>
      <c r="S267" s="75">
        <f t="shared" si="59"/>
        <v>0.1875</v>
      </c>
      <c r="T267" s="76">
        <v>1480</v>
      </c>
      <c r="U267" s="306">
        <f t="shared" si="35"/>
        <v>24.666666666666668</v>
      </c>
      <c r="X267" s="2"/>
    </row>
    <row r="268" spans="1:29" ht="16.5" customHeight="1" x14ac:dyDescent="0.35">
      <c r="A268" s="351">
        <v>45987</v>
      </c>
      <c r="B268" s="76" t="s">
        <v>555</v>
      </c>
      <c r="C268" s="71" t="s">
        <v>104</v>
      </c>
      <c r="D268" s="3"/>
      <c r="E268" s="3" t="s">
        <v>86</v>
      </c>
      <c r="F268" s="3" t="s">
        <v>87</v>
      </c>
      <c r="H268" s="76">
        <v>6842</v>
      </c>
      <c r="I268" s="3" t="s">
        <v>88</v>
      </c>
      <c r="J268" s="3" t="s">
        <v>377</v>
      </c>
      <c r="K268" s="3" t="s">
        <v>479</v>
      </c>
      <c r="L268" s="326" t="s">
        <v>454</v>
      </c>
      <c r="M268" s="3" t="s">
        <v>502</v>
      </c>
      <c r="N268" s="356" cm="1">
        <f t="array" ref="N268">_xlfn.IFS(I268="AEX",H268/400,I268="RP",H268/200)</f>
        <v>17.105</v>
      </c>
      <c r="O268" s="3">
        <v>23.5</v>
      </c>
      <c r="P268" s="75">
        <f>H268/O268</f>
        <v>291.14893617021278</v>
      </c>
      <c r="Q268" s="3" t="str" cm="1">
        <f t="array" ref="Q268">_xlfn.IFS(P268&lt;200, "10", P268&lt;400, "12", P268&lt;600, "14", P268&gt;600, "16")</f>
        <v>12</v>
      </c>
      <c r="R268" s="75">
        <f>IF(I268="AEX",H268*0.3/400,H268*0.3/200)</f>
        <v>5.1315</v>
      </c>
      <c r="S268" s="75">
        <f>R268/O268</f>
        <v>0.21836170212765957</v>
      </c>
      <c r="T268" s="76">
        <v>3334</v>
      </c>
      <c r="U268" s="306">
        <f>T268/H268*100</f>
        <v>48.728441976030403</v>
      </c>
      <c r="X268" s="2"/>
      <c r="AA268" s="76">
        <v>3252</v>
      </c>
    </row>
    <row r="269" spans="1:29" ht="16.5" customHeight="1" x14ac:dyDescent="0.35">
      <c r="A269" s="351">
        <v>45987</v>
      </c>
      <c r="B269" s="76" t="s">
        <v>571</v>
      </c>
      <c r="C269" s="71" t="s">
        <v>104</v>
      </c>
      <c r="D269" s="3"/>
      <c r="E269" s="3" t="s">
        <v>86</v>
      </c>
      <c r="F269" s="3" t="s">
        <v>87</v>
      </c>
      <c r="H269" s="76">
        <v>4513</v>
      </c>
      <c r="I269" s="3" t="s">
        <v>88</v>
      </c>
      <c r="J269" s="3" t="s">
        <v>89</v>
      </c>
      <c r="K269" s="327" t="s">
        <v>479</v>
      </c>
      <c r="L269" s="326" t="s">
        <v>454</v>
      </c>
      <c r="M269" s="3" t="s">
        <v>502</v>
      </c>
      <c r="N269" s="356" cm="1">
        <f t="array" ref="N269">_xlfn.IFS(I269="AEX",H269/400,I269="RP",H269/200)</f>
        <v>11.282500000000001</v>
      </c>
      <c r="O269" s="3">
        <v>16.100000000000001</v>
      </c>
      <c r="P269" s="75">
        <f t="shared" si="31"/>
        <v>280.31055900621118</v>
      </c>
      <c r="Q269" s="3" t="str" cm="1">
        <f t="array" ref="Q269">_xlfn.IFS(P269&lt;200, "10", P269&lt;400, "12", P269&lt;600, "14", P269&gt;600, "16")</f>
        <v>12</v>
      </c>
      <c r="R269" s="75">
        <f t="shared" si="32"/>
        <v>3.3847499999999995</v>
      </c>
      <c r="S269" s="75">
        <f t="shared" si="34"/>
        <v>0.21023291925465834</v>
      </c>
      <c r="T269" s="76">
        <v>1742</v>
      </c>
      <c r="U269" s="306">
        <f t="shared" si="35"/>
        <v>38.599601152226896</v>
      </c>
      <c r="X269" s="2"/>
    </row>
    <row r="270" spans="1:29" ht="16.5" customHeight="1" x14ac:dyDescent="0.35">
      <c r="A270" s="351">
        <v>45987</v>
      </c>
      <c r="B270" s="76" t="s">
        <v>570</v>
      </c>
      <c r="C270" s="71" t="s">
        <v>104</v>
      </c>
      <c r="D270" s="3"/>
      <c r="E270" s="3" t="s">
        <v>86</v>
      </c>
      <c r="F270" s="3" t="s">
        <v>87</v>
      </c>
      <c r="H270" s="76">
        <v>6582</v>
      </c>
      <c r="I270" s="3" t="s">
        <v>88</v>
      </c>
      <c r="J270" s="3" t="s">
        <v>377</v>
      </c>
      <c r="K270" s="327" t="s">
        <v>479</v>
      </c>
      <c r="L270" s="326" t="s">
        <v>454</v>
      </c>
      <c r="M270" s="3" t="s">
        <v>502</v>
      </c>
      <c r="N270" s="356" cm="1">
        <f t="array" ref="N270">_xlfn.IFS(I270="AEX",H270/400,I270="RP",H270/200)</f>
        <v>16.454999999999998</v>
      </c>
      <c r="O270" s="3">
        <v>23.5</v>
      </c>
      <c r="P270" s="75">
        <f t="shared" si="31"/>
        <v>280.08510638297872</v>
      </c>
      <c r="Q270" s="3" t="str" cm="1">
        <f t="array" ref="Q270">_xlfn.IFS(P270&lt;200, "10", P270&lt;400, "12", P270&lt;600, "14", P270&gt;600, "16")</f>
        <v>12</v>
      </c>
      <c r="R270" s="75">
        <f t="shared" si="32"/>
        <v>4.9364999999999997</v>
      </c>
      <c r="S270" s="75">
        <f t="shared" si="34"/>
        <v>0.21006382978723404</v>
      </c>
      <c r="T270" s="76">
        <v>1760</v>
      </c>
      <c r="U270" s="306">
        <f t="shared" si="35"/>
        <v>26.739592828927378</v>
      </c>
      <c r="X270" s="2"/>
    </row>
    <row r="271" spans="1:29" ht="16.5" customHeight="1" x14ac:dyDescent="0.35">
      <c r="A271" s="351">
        <v>45987</v>
      </c>
      <c r="B271" s="76" t="s">
        <v>569</v>
      </c>
      <c r="C271" s="71" t="s">
        <v>104</v>
      </c>
      <c r="D271" s="3"/>
      <c r="E271" s="3" t="s">
        <v>86</v>
      </c>
      <c r="F271" s="3" t="s">
        <v>87</v>
      </c>
      <c r="H271" s="76">
        <v>4194</v>
      </c>
      <c r="I271" s="3" t="s">
        <v>88</v>
      </c>
      <c r="J271" s="3" t="s">
        <v>89</v>
      </c>
      <c r="K271" s="327" t="s">
        <v>479</v>
      </c>
      <c r="L271" s="326" t="s">
        <v>454</v>
      </c>
      <c r="M271" s="3" t="s">
        <v>502</v>
      </c>
      <c r="N271" s="356" cm="1">
        <f t="array" ref="N271">_xlfn.IFS(I271="AEX",H271/400,I271="RP",H271/200)</f>
        <v>10.484999999999999</v>
      </c>
      <c r="O271" s="3">
        <v>16.100000000000001</v>
      </c>
      <c r="P271" s="75">
        <f t="shared" si="31"/>
        <v>260.49689440993785</v>
      </c>
      <c r="Q271" s="3" t="str" cm="1">
        <f t="array" ref="Q271">_xlfn.IFS(P271&lt;200, "10", P271&lt;400, "12", P271&lt;600, "14", P271&gt;600, "16")</f>
        <v>12</v>
      </c>
      <c r="R271" s="75">
        <f t="shared" si="32"/>
        <v>3.1455000000000002</v>
      </c>
      <c r="S271" s="75">
        <f t="shared" si="34"/>
        <v>0.19537267080745341</v>
      </c>
      <c r="T271" s="76">
        <v>2099</v>
      </c>
      <c r="U271" s="306">
        <f t="shared" si="35"/>
        <v>50.047687172150688</v>
      </c>
      <c r="X271" s="2"/>
      <c r="AA271" s="76">
        <v>2019</v>
      </c>
    </row>
    <row r="272" spans="1:29" ht="16.5" customHeight="1" x14ac:dyDescent="0.35">
      <c r="A272" s="351">
        <v>45987</v>
      </c>
      <c r="B272" s="76" t="s">
        <v>556</v>
      </c>
      <c r="C272" s="71" t="s">
        <v>104</v>
      </c>
      <c r="D272" s="3"/>
      <c r="E272" s="3" t="s">
        <v>86</v>
      </c>
      <c r="F272" s="3" t="s">
        <v>87</v>
      </c>
      <c r="H272" s="76">
        <v>2100</v>
      </c>
      <c r="I272" s="3" t="s">
        <v>88</v>
      </c>
      <c r="J272" s="3" t="s">
        <v>377</v>
      </c>
      <c r="K272" s="3" t="s">
        <v>557</v>
      </c>
      <c r="L272" s="326" t="s">
        <v>454</v>
      </c>
      <c r="M272" s="3" t="s">
        <v>502</v>
      </c>
      <c r="N272" s="356" cm="1">
        <f t="array" ref="N272">_xlfn.IFS(I272="AEX",H272/400,I272="RP",H272/200)</f>
        <v>5.25</v>
      </c>
      <c r="O272" s="3">
        <v>24</v>
      </c>
      <c r="P272" s="75">
        <f t="shared" si="31"/>
        <v>87.5</v>
      </c>
      <c r="Q272" s="3" t="str" cm="1">
        <f t="array" ref="Q272">_xlfn.IFS(P272&lt;200, "10", P272&lt;400, "12", P272&lt;600, "14", P272&gt;600, "16")</f>
        <v>10</v>
      </c>
      <c r="R272" s="75">
        <f t="shared" si="32"/>
        <v>1.575</v>
      </c>
      <c r="S272" s="75">
        <f t="shared" si="34"/>
        <v>6.5625000000000003E-2</v>
      </c>
      <c r="T272" s="76">
        <v>799</v>
      </c>
      <c r="U272" s="306">
        <f t="shared" si="35"/>
        <v>38.047619047619044</v>
      </c>
      <c r="X272" s="2"/>
    </row>
    <row r="273" spans="1:30" ht="16.5" customHeight="1" x14ac:dyDescent="0.35">
      <c r="A273" s="351">
        <v>45987</v>
      </c>
      <c r="B273" s="76" t="s">
        <v>558</v>
      </c>
      <c r="C273" s="71" t="s">
        <v>104</v>
      </c>
      <c r="D273" s="3"/>
      <c r="E273" s="3" t="s">
        <v>86</v>
      </c>
      <c r="F273" s="3" t="s">
        <v>87</v>
      </c>
      <c r="H273" s="76">
        <v>1000</v>
      </c>
      <c r="I273" s="3" t="s">
        <v>88</v>
      </c>
      <c r="J273" s="3" t="s">
        <v>561</v>
      </c>
      <c r="K273" s="3" t="s">
        <v>559</v>
      </c>
      <c r="L273" s="326" t="s">
        <v>454</v>
      </c>
      <c r="M273" s="3" t="s">
        <v>502</v>
      </c>
      <c r="N273" s="356" cm="1">
        <f t="array" ref="N273">_xlfn.IFS(I273="AEX",H273/400,I273="RP",H273/200)</f>
        <v>2.5</v>
      </c>
      <c r="O273" s="3">
        <v>24</v>
      </c>
      <c r="P273" s="75">
        <f t="shared" ref="P273" si="60">H273/O273</f>
        <v>41.666666666666664</v>
      </c>
      <c r="Q273" s="3" t="str" cm="1">
        <f t="array" ref="Q273">_xlfn.IFS(P273&lt;200, "10", P273&lt;400, "12", P273&lt;600, "14", P273&gt;600, "16")</f>
        <v>10</v>
      </c>
      <c r="R273" s="75">
        <f t="shared" ref="R273" si="61">IF(I273="AEX",H273*0.3/400,H273*0.3/200)</f>
        <v>0.75</v>
      </c>
      <c r="S273" s="75">
        <f t="shared" ref="S273" si="62">R273/O273</f>
        <v>3.125E-2</v>
      </c>
      <c r="T273" s="76">
        <v>642</v>
      </c>
      <c r="U273" s="306">
        <f t="shared" ref="U273" si="63">T273/H273*100</f>
        <v>64.2</v>
      </c>
      <c r="X273" s="2"/>
    </row>
    <row r="274" spans="1:30" ht="16.5" customHeight="1" x14ac:dyDescent="0.35">
      <c r="A274" s="351">
        <v>45987</v>
      </c>
      <c r="B274" s="76" t="s">
        <v>560</v>
      </c>
      <c r="C274" s="71" t="s">
        <v>321</v>
      </c>
      <c r="D274" s="3"/>
      <c r="E274" s="3" t="s">
        <v>87</v>
      </c>
      <c r="F274" s="3" t="s">
        <v>87</v>
      </c>
      <c r="H274" s="76">
        <v>2928</v>
      </c>
      <c r="I274" s="3" t="s">
        <v>70</v>
      </c>
      <c r="J274" s="3" t="s">
        <v>377</v>
      </c>
      <c r="K274" s="327" t="s">
        <v>489</v>
      </c>
      <c r="L274" s="326" t="s">
        <v>459</v>
      </c>
      <c r="M274" s="3">
        <v>40</v>
      </c>
      <c r="N274" s="356" cm="1">
        <f t="array" ref="N274">_xlfn.IFS(I274="AEX",H274/400,I274="RP",H274/200)</f>
        <v>14.64</v>
      </c>
      <c r="O274" s="3">
        <v>22</v>
      </c>
      <c r="P274" s="75">
        <f t="shared" si="31"/>
        <v>133.09090909090909</v>
      </c>
      <c r="Q274" s="3" t="str" cm="1">
        <f t="array" ref="Q274">_xlfn.IFS(P274&lt;200, "10", P274&lt;400, "12", P274&lt;600, "14", P274&gt;600, "16")</f>
        <v>10</v>
      </c>
      <c r="R274" s="75">
        <f t="shared" si="32"/>
        <v>4.3919999999999995</v>
      </c>
      <c r="S274" s="75">
        <f t="shared" si="34"/>
        <v>0.19963636363636361</v>
      </c>
      <c r="T274" s="76">
        <v>997</v>
      </c>
      <c r="U274" s="306">
        <f t="shared" si="35"/>
        <v>34.050546448087431</v>
      </c>
      <c r="X274" s="2"/>
    </row>
    <row r="275" spans="1:30" ht="16.5" customHeight="1" x14ac:dyDescent="0.35">
      <c r="A275" s="351">
        <v>45992</v>
      </c>
      <c r="B275" s="76" t="s">
        <v>568</v>
      </c>
      <c r="C275" s="71" t="s">
        <v>104</v>
      </c>
      <c r="D275" s="3"/>
      <c r="E275" s="3" t="s">
        <v>86</v>
      </c>
      <c r="F275" s="3" t="s">
        <v>87</v>
      </c>
      <c r="G275" s="3" t="s">
        <v>641</v>
      </c>
      <c r="H275" s="76">
        <v>4134</v>
      </c>
      <c r="I275" s="3" t="s">
        <v>88</v>
      </c>
      <c r="J275" s="3" t="s">
        <v>89</v>
      </c>
      <c r="K275" s="327" t="s">
        <v>479</v>
      </c>
      <c r="L275" s="326" t="s">
        <v>454</v>
      </c>
      <c r="M275" s="3" t="s">
        <v>502</v>
      </c>
      <c r="N275" s="356" cm="1">
        <f t="array" ref="N275">_xlfn.IFS(I275="AEX",H275/400,I275="RP",H275/200)</f>
        <v>10.335000000000001</v>
      </c>
      <c r="O275" s="3">
        <v>23.5</v>
      </c>
      <c r="P275" s="75">
        <f>H275/O275</f>
        <v>175.91489361702128</v>
      </c>
      <c r="Q275" s="3" t="str" cm="1">
        <f t="array" ref="Q275">_xlfn.IFS(P275&lt;200, "10", P275&lt;400, "12", P275&lt;600, "14", P275&gt;600, "16")</f>
        <v>10</v>
      </c>
      <c r="R275" s="75">
        <f>IF(I275="AEX",H275*0.3/400,H275*0.3/200)</f>
        <v>3.1005000000000003</v>
      </c>
      <c r="S275" s="75">
        <f>R275/O275</f>
        <v>0.13193617021276596</v>
      </c>
      <c r="T275" s="76">
        <v>2667</v>
      </c>
      <c r="U275" s="306">
        <f>T275/H275*100</f>
        <v>64.513788098693752</v>
      </c>
      <c r="W275" s="3" t="s">
        <v>91</v>
      </c>
      <c r="X275" s="2">
        <v>45992</v>
      </c>
      <c r="Y275" s="3" t="s">
        <v>172</v>
      </c>
      <c r="Z275" s="3" t="s">
        <v>87</v>
      </c>
      <c r="AA275" s="76">
        <v>2667</v>
      </c>
    </row>
    <row r="276" spans="1:30" ht="16.5" customHeight="1" x14ac:dyDescent="0.35">
      <c r="A276" s="351">
        <v>45992</v>
      </c>
      <c r="B276" s="76" t="s">
        <v>562</v>
      </c>
      <c r="C276" s="71" t="s">
        <v>104</v>
      </c>
      <c r="D276" s="3"/>
      <c r="E276" s="3" t="s">
        <v>87</v>
      </c>
      <c r="F276" s="3" t="s">
        <v>87</v>
      </c>
      <c r="G276" s="3" t="s">
        <v>640</v>
      </c>
      <c r="H276" s="76">
        <v>7075</v>
      </c>
      <c r="I276" s="3" t="s">
        <v>88</v>
      </c>
      <c r="J276" s="3" t="s">
        <v>377</v>
      </c>
      <c r="K276" s="327" t="s">
        <v>479</v>
      </c>
      <c r="L276" s="326" t="s">
        <v>454</v>
      </c>
      <c r="M276" s="3" t="s">
        <v>502</v>
      </c>
      <c r="N276" s="356" cm="1">
        <f t="array" ref="N276">_xlfn.IFS(I276="AEX",H276/400,I276="RP",H276/200)</f>
        <v>17.6875</v>
      </c>
      <c r="O276" s="3">
        <v>24</v>
      </c>
      <c r="P276" s="75">
        <f t="shared" si="31"/>
        <v>294.79166666666669</v>
      </c>
      <c r="Q276" s="3" t="str" cm="1">
        <f t="array" ref="Q276">_xlfn.IFS(P276&lt;200, "10", P276&lt;400, "12", P276&lt;600, "14", P276&gt;600, "16")</f>
        <v>12</v>
      </c>
      <c r="R276" s="75">
        <f t="shared" si="32"/>
        <v>5.3062500000000004</v>
      </c>
      <c r="S276" s="75">
        <f t="shared" si="34"/>
        <v>0.22109375000000001</v>
      </c>
      <c r="T276" s="76">
        <v>1417</v>
      </c>
      <c r="U276" s="306">
        <f t="shared" si="35"/>
        <v>20.028268551236749</v>
      </c>
      <c r="W276" s="3" t="s">
        <v>91</v>
      </c>
      <c r="X276" s="2">
        <v>45992</v>
      </c>
      <c r="Y276" s="3" t="s">
        <v>172</v>
      </c>
      <c r="Z276" s="3" t="s">
        <v>87</v>
      </c>
      <c r="AA276" s="76">
        <v>1417</v>
      </c>
    </row>
    <row r="277" spans="1:30" ht="16.5" customHeight="1" x14ac:dyDescent="0.35">
      <c r="A277" s="351">
        <v>45992</v>
      </c>
      <c r="B277" s="76" t="s">
        <v>567</v>
      </c>
      <c r="C277" s="71" t="s">
        <v>104</v>
      </c>
      <c r="D277" s="3"/>
      <c r="E277" s="3" t="s">
        <v>87</v>
      </c>
      <c r="F277" s="3" t="s">
        <v>87</v>
      </c>
      <c r="G277" s="3" t="s">
        <v>641</v>
      </c>
      <c r="H277" s="76">
        <v>4088</v>
      </c>
      <c r="I277" s="3" t="s">
        <v>88</v>
      </c>
      <c r="J277" s="3" t="s">
        <v>89</v>
      </c>
      <c r="K277" s="3" t="s">
        <v>479</v>
      </c>
      <c r="L277" s="326" t="s">
        <v>454</v>
      </c>
      <c r="M277" s="3" t="s">
        <v>502</v>
      </c>
      <c r="N277" s="356" cm="1">
        <f t="array" ref="N277">_xlfn.IFS(I277="AEX",H277/400,I277="RP",H277/200)</f>
        <v>10.220000000000001</v>
      </c>
      <c r="O277" s="3">
        <v>23.5</v>
      </c>
      <c r="P277" s="75">
        <f t="shared" si="31"/>
        <v>173.95744680851064</v>
      </c>
      <c r="Q277" s="3" t="str" cm="1">
        <f t="array" ref="Q277">_xlfn.IFS(P277&lt;200, "10", P277&lt;400, "12", P277&lt;600, "14", P277&gt;600, "16")</f>
        <v>10</v>
      </c>
      <c r="R277" s="75">
        <f t="shared" si="32"/>
        <v>3.0659999999999998</v>
      </c>
      <c r="S277" s="75">
        <f t="shared" si="34"/>
        <v>0.13046808510638297</v>
      </c>
      <c r="T277" s="76">
        <v>2860</v>
      </c>
      <c r="U277" s="306">
        <f t="shared" si="35"/>
        <v>69.960861056751469</v>
      </c>
      <c r="V277" s="76">
        <v>45</v>
      </c>
      <c r="W277" s="3" t="s">
        <v>91</v>
      </c>
      <c r="X277" s="2">
        <v>45992</v>
      </c>
      <c r="Y277" s="3" t="s">
        <v>172</v>
      </c>
      <c r="Z277" s="3" t="s">
        <v>87</v>
      </c>
      <c r="AA277" s="76">
        <v>2605</v>
      </c>
    </row>
    <row r="278" spans="1:30" ht="16.5" customHeight="1" x14ac:dyDescent="0.35">
      <c r="A278" s="351">
        <v>45993</v>
      </c>
      <c r="B278" s="76" t="s">
        <v>578</v>
      </c>
      <c r="C278" s="71" t="s">
        <v>104</v>
      </c>
      <c r="D278" s="3"/>
      <c r="E278" s="3" t="s">
        <v>87</v>
      </c>
      <c r="F278" s="3" t="s">
        <v>87</v>
      </c>
      <c r="G278" s="3" t="s">
        <v>641</v>
      </c>
      <c r="H278" s="76">
        <v>7566</v>
      </c>
      <c r="I278" s="3" t="s">
        <v>88</v>
      </c>
      <c r="J278" s="3" t="s">
        <v>377</v>
      </c>
      <c r="K278" s="3" t="s">
        <v>582</v>
      </c>
      <c r="L278" s="326" t="s">
        <v>454</v>
      </c>
      <c r="M278" s="3" t="s">
        <v>502</v>
      </c>
      <c r="N278" s="356" cm="1">
        <f t="array" ref="N278">_xlfn.IFS(I278="AEX",H278/400,I278="RP",H278/200)</f>
        <v>18.914999999999999</v>
      </c>
      <c r="O278" s="3">
        <v>24</v>
      </c>
      <c r="P278" s="75">
        <f t="shared" si="31"/>
        <v>315.25</v>
      </c>
      <c r="Q278" s="3" t="str" cm="1">
        <f t="array" ref="Q278">_xlfn.IFS(P278&lt;200, "10", P278&lt;400, "12", P278&lt;600, "14", P278&gt;600, "16")</f>
        <v>12</v>
      </c>
      <c r="R278" s="75">
        <f t="shared" si="32"/>
        <v>5.6744999999999992</v>
      </c>
      <c r="S278" s="75">
        <f t="shared" si="34"/>
        <v>0.23643749999999997</v>
      </c>
      <c r="T278" s="76">
        <v>2021</v>
      </c>
      <c r="U278" s="306">
        <f t="shared" si="35"/>
        <v>26.711604546656094</v>
      </c>
      <c r="X278" s="2"/>
      <c r="AA278" s="76">
        <v>2021</v>
      </c>
    </row>
    <row r="279" spans="1:30" ht="16.5" customHeight="1" x14ac:dyDescent="0.35">
      <c r="A279" s="351">
        <v>45993</v>
      </c>
      <c r="B279" s="76" t="s">
        <v>577</v>
      </c>
      <c r="C279" s="71" t="s">
        <v>104</v>
      </c>
      <c r="D279" s="3"/>
      <c r="E279" s="3" t="s">
        <v>87</v>
      </c>
      <c r="F279" s="3" t="s">
        <v>87</v>
      </c>
      <c r="G279" s="3" t="s">
        <v>641</v>
      </c>
      <c r="H279" s="76">
        <v>6221</v>
      </c>
      <c r="I279" s="3" t="s">
        <v>88</v>
      </c>
      <c r="J279" s="3" t="s">
        <v>89</v>
      </c>
      <c r="K279" s="3" t="s">
        <v>479</v>
      </c>
      <c r="L279" s="326" t="s">
        <v>454</v>
      </c>
      <c r="M279" s="3" t="s">
        <v>502</v>
      </c>
      <c r="N279" s="356" cm="1">
        <f t="array" ref="N279">_xlfn.IFS(I279="AEX",H279/400,I279="RP",H279/200)</f>
        <v>15.5525</v>
      </c>
      <c r="O279" s="3">
        <v>23.5</v>
      </c>
      <c r="P279" s="75">
        <f t="shared" si="31"/>
        <v>264.72340425531917</v>
      </c>
      <c r="Q279" s="3" t="str" cm="1">
        <f t="array" ref="Q279">_xlfn.IFS(P279&lt;200, "10", P279&lt;400, "12", P279&lt;600, "14", P279&gt;600, "16")</f>
        <v>12</v>
      </c>
      <c r="R279" s="75">
        <f t="shared" si="32"/>
        <v>4.6657500000000001</v>
      </c>
      <c r="S279" s="75">
        <f t="shared" si="34"/>
        <v>0.19854255319148936</v>
      </c>
      <c r="T279" s="76">
        <v>1838</v>
      </c>
      <c r="U279" s="306">
        <f t="shared" si="35"/>
        <v>29.545089213952743</v>
      </c>
    </row>
    <row r="280" spans="1:30" ht="16.5" customHeight="1" x14ac:dyDescent="0.35">
      <c r="A280" s="351">
        <v>45993</v>
      </c>
      <c r="B280" s="76" t="s">
        <v>576</v>
      </c>
      <c r="C280" s="71" t="s">
        <v>104</v>
      </c>
      <c r="D280" s="3"/>
      <c r="E280" s="3" t="s">
        <v>87</v>
      </c>
      <c r="F280" s="3" t="s">
        <v>87</v>
      </c>
      <c r="G280" s="3" t="s">
        <v>641</v>
      </c>
      <c r="H280" s="76">
        <v>6099</v>
      </c>
      <c r="I280" s="3" t="s">
        <v>88</v>
      </c>
      <c r="J280" s="3" t="s">
        <v>89</v>
      </c>
      <c r="K280" s="3" t="s">
        <v>540</v>
      </c>
      <c r="L280" s="326" t="s">
        <v>454</v>
      </c>
      <c r="M280" s="3" t="s">
        <v>502</v>
      </c>
      <c r="N280" s="356" cm="1">
        <f t="array" ref="N280">_xlfn.IFS(I280="AEX",H280/400,I280="RP",H280/200)</f>
        <v>15.2475</v>
      </c>
      <c r="O280" s="3">
        <v>23.5</v>
      </c>
      <c r="P280" s="75">
        <f t="shared" si="31"/>
        <v>259.531914893617</v>
      </c>
      <c r="Q280" s="3" t="str" cm="1">
        <f t="array" ref="Q280">_xlfn.IFS(P280&lt;200, "10", P280&lt;400, "12", P280&lt;600, "14", P280&gt;600, "16")</f>
        <v>12</v>
      </c>
      <c r="R280" s="75">
        <f t="shared" si="32"/>
        <v>4.5742500000000001</v>
      </c>
      <c r="S280" s="75">
        <f t="shared" si="34"/>
        <v>0.19464893617021278</v>
      </c>
      <c r="T280" s="76">
        <v>3303</v>
      </c>
      <c r="U280" s="306">
        <f t="shared" si="35"/>
        <v>54.156419085095919</v>
      </c>
    </row>
    <row r="281" spans="1:30" ht="16.5" customHeight="1" x14ac:dyDescent="0.35">
      <c r="A281" s="351" t="s">
        <v>580</v>
      </c>
      <c r="B281" s="76" t="s">
        <v>575</v>
      </c>
      <c r="C281" s="71" t="s">
        <v>104</v>
      </c>
      <c r="D281" s="3"/>
      <c r="E281" s="3" t="s">
        <v>87</v>
      </c>
      <c r="F281" s="3" t="s">
        <v>87</v>
      </c>
      <c r="G281" s="3" t="s">
        <v>641</v>
      </c>
      <c r="H281" s="76">
        <v>3187</v>
      </c>
      <c r="I281" s="3" t="s">
        <v>88</v>
      </c>
      <c r="J281" s="3" t="s">
        <v>529</v>
      </c>
      <c r="K281" s="3" t="s">
        <v>479</v>
      </c>
      <c r="L281" s="326" t="s">
        <v>454</v>
      </c>
      <c r="M281" s="3" t="s">
        <v>502</v>
      </c>
      <c r="N281" s="356" cm="1">
        <f t="array" ref="N281">_xlfn.IFS(I281="AEX",H281/400,I281="RP",H281/200)</f>
        <v>7.9675000000000002</v>
      </c>
      <c r="P281" s="75"/>
      <c r="Q281" s="3">
        <v>10</v>
      </c>
      <c r="R281" s="75">
        <f t="shared" si="32"/>
        <v>2.39025</v>
      </c>
      <c r="S281" s="75"/>
      <c r="U281" s="306">
        <f t="shared" si="35"/>
        <v>0</v>
      </c>
    </row>
    <row r="282" spans="1:30" ht="16.5" customHeight="1" x14ac:dyDescent="0.35">
      <c r="A282" s="351">
        <v>45993</v>
      </c>
      <c r="B282" s="76" t="s">
        <v>566</v>
      </c>
      <c r="C282" s="71" t="s">
        <v>104</v>
      </c>
      <c r="D282" s="3"/>
      <c r="E282" s="3" t="s">
        <v>86</v>
      </c>
      <c r="F282" s="3" t="s">
        <v>87</v>
      </c>
      <c r="G282" s="3" t="s">
        <v>640</v>
      </c>
      <c r="H282" s="76">
        <v>5562</v>
      </c>
      <c r="I282" s="3" t="s">
        <v>88</v>
      </c>
      <c r="J282" s="3" t="s">
        <v>377</v>
      </c>
      <c r="K282" s="3" t="s">
        <v>479</v>
      </c>
      <c r="L282" s="326" t="s">
        <v>454</v>
      </c>
      <c r="M282" s="3" t="s">
        <v>502</v>
      </c>
      <c r="N282" s="356" cm="1">
        <f t="array" ref="N282">_xlfn.IFS(I282="AEX",H282/400,I282="RP",H282/200)</f>
        <v>13.904999999999999</v>
      </c>
      <c r="O282" s="3">
        <v>24</v>
      </c>
      <c r="P282" s="75">
        <f t="shared" si="31"/>
        <v>231.75</v>
      </c>
      <c r="Q282" s="3" t="str" cm="1">
        <f t="array" ref="Q282">_xlfn.IFS(P282&lt;200, "10", P282&lt;400, "12", P282&lt;600, "14", P282&gt;600, "16")</f>
        <v>12</v>
      </c>
      <c r="R282" s="75">
        <f t="shared" si="32"/>
        <v>4.1715</v>
      </c>
      <c r="S282" s="75">
        <f t="shared" si="34"/>
        <v>0.17381250000000001</v>
      </c>
      <c r="T282" s="76">
        <v>1910</v>
      </c>
      <c r="U282" s="306">
        <f t="shared" si="35"/>
        <v>34.340165408126573</v>
      </c>
    </row>
    <row r="283" spans="1:30" ht="16.5" customHeight="1" x14ac:dyDescent="0.35">
      <c r="A283" s="351">
        <v>45993</v>
      </c>
      <c r="B283" s="76" t="s">
        <v>579</v>
      </c>
      <c r="C283" s="71" t="s">
        <v>104</v>
      </c>
      <c r="D283" s="3"/>
      <c r="E283" s="3" t="s">
        <v>87</v>
      </c>
      <c r="F283" s="3" t="s">
        <v>87</v>
      </c>
      <c r="G283" s="3" t="s">
        <v>640</v>
      </c>
      <c r="H283" s="76">
        <v>59352</v>
      </c>
      <c r="I283" s="3" t="s">
        <v>88</v>
      </c>
      <c r="J283" s="3" t="s">
        <v>89</v>
      </c>
      <c r="K283" s="3" t="s">
        <v>479</v>
      </c>
      <c r="L283" s="326" t="s">
        <v>454</v>
      </c>
      <c r="M283" s="3" t="s">
        <v>502</v>
      </c>
      <c r="N283" s="356" cm="1">
        <f t="array" ref="N283">_xlfn.IFS(I283="AEX",H283/400,I283="RP",H283/200)</f>
        <v>148.38</v>
      </c>
      <c r="O283" s="3">
        <v>298</v>
      </c>
      <c r="P283" s="75">
        <f t="shared" si="31"/>
        <v>199.16778523489933</v>
      </c>
      <c r="Q283" s="3" t="str" cm="1">
        <f t="array" ref="Q283">_xlfn.IFS(P283&lt;200, "10", P283&lt;400, "12", P283&lt;600, "14", P283&gt;600, "16")</f>
        <v>10</v>
      </c>
      <c r="R283" s="75">
        <f t="shared" si="32"/>
        <v>44.513999999999996</v>
      </c>
      <c r="S283" s="75">
        <f t="shared" si="34"/>
        <v>0.14937583892617448</v>
      </c>
      <c r="T283" s="76">
        <v>24836</v>
      </c>
      <c r="U283" s="306">
        <f t="shared" si="35"/>
        <v>41.845262164712224</v>
      </c>
      <c r="W283" s="3" t="s">
        <v>91</v>
      </c>
      <c r="X283" s="2">
        <v>45994</v>
      </c>
      <c r="Y283" s="3" t="s">
        <v>318</v>
      </c>
      <c r="Z283" s="3" t="s">
        <v>87</v>
      </c>
    </row>
    <row r="284" spans="1:30" ht="16.5" customHeight="1" x14ac:dyDescent="0.35">
      <c r="A284" s="351">
        <v>45993</v>
      </c>
      <c r="B284" s="76" t="s">
        <v>565</v>
      </c>
      <c r="C284" s="71" t="s">
        <v>321</v>
      </c>
      <c r="D284" s="3"/>
      <c r="E284" s="3" t="s">
        <v>87</v>
      </c>
      <c r="F284" s="3" t="s">
        <v>87</v>
      </c>
      <c r="G284" s="3" t="s">
        <v>87</v>
      </c>
      <c r="H284" s="76">
        <v>3400</v>
      </c>
      <c r="I284" s="3" t="s">
        <v>70</v>
      </c>
      <c r="J284" s="3" t="s">
        <v>209</v>
      </c>
      <c r="K284" s="327" t="s">
        <v>489</v>
      </c>
      <c r="L284" s="326" t="s">
        <v>454</v>
      </c>
      <c r="M284" s="3" t="s">
        <v>502</v>
      </c>
      <c r="N284" s="356" cm="1">
        <f t="array" ref="N284">_xlfn.IFS(I284="AEX",H284/400,I284="RP",H284/200)</f>
        <v>17</v>
      </c>
      <c r="O284" s="3">
        <v>22</v>
      </c>
      <c r="P284" s="75">
        <f t="shared" si="31"/>
        <v>154.54545454545453</v>
      </c>
      <c r="Q284" s="3" t="str" cm="1">
        <f t="array" ref="Q284">_xlfn.IFS(P284&lt;200, "10", P284&lt;400, "12", P284&lt;600, "14", P284&gt;600, "16")</f>
        <v>10</v>
      </c>
      <c r="R284" s="75">
        <f t="shared" si="32"/>
        <v>5.0999999999999996</v>
      </c>
      <c r="S284" s="75">
        <f t="shared" si="34"/>
        <v>0.23181818181818181</v>
      </c>
      <c r="U284" s="306">
        <f t="shared" si="35"/>
        <v>0</v>
      </c>
    </row>
    <row r="285" spans="1:30" ht="16.5" customHeight="1" x14ac:dyDescent="0.35">
      <c r="A285" s="351" t="s">
        <v>580</v>
      </c>
      <c r="B285" s="76" t="s">
        <v>574</v>
      </c>
      <c r="C285" s="71" t="s">
        <v>104</v>
      </c>
      <c r="D285" s="3"/>
      <c r="E285" s="3" t="s">
        <v>87</v>
      </c>
      <c r="F285" s="3" t="s">
        <v>87</v>
      </c>
      <c r="G285" s="3" t="s">
        <v>641</v>
      </c>
      <c r="I285" s="3" t="s">
        <v>88</v>
      </c>
      <c r="J285" s="3" t="s">
        <v>581</v>
      </c>
      <c r="K285" s="3" t="s">
        <v>479</v>
      </c>
      <c r="L285" s="326" t="s">
        <v>454</v>
      </c>
      <c r="M285" s="3" t="s">
        <v>502</v>
      </c>
      <c r="N285" s="356" cm="1">
        <f t="array" ref="N285">_xlfn.IFS(I284="AEX",H284/400,I284="RP",H284/200)</f>
        <v>17</v>
      </c>
      <c r="O285" s="353"/>
      <c r="P285" s="75" t="e">
        <f t="shared" si="31"/>
        <v>#DIV/0!</v>
      </c>
      <c r="Q285" s="3" t="e" cm="1">
        <f t="array" ref="Q285">_xlfn.IFS(P285&lt;200, "10", P285&lt;400, "12", P285&lt;600, "14", P285&gt;600, "16")</f>
        <v>#DIV/0!</v>
      </c>
      <c r="R285" s="75">
        <f t="shared" si="32"/>
        <v>0</v>
      </c>
      <c r="S285" s="75" t="e">
        <f t="shared" si="34"/>
        <v>#DIV/0!</v>
      </c>
      <c r="U285" s="306" t="e">
        <f t="shared" si="35"/>
        <v>#DIV/0!</v>
      </c>
    </row>
    <row r="286" spans="1:30" ht="16.5" customHeight="1" x14ac:dyDescent="0.35">
      <c r="A286" s="351">
        <v>45993</v>
      </c>
      <c r="B286" s="76" t="s">
        <v>584</v>
      </c>
      <c r="C286" s="71" t="s">
        <v>104</v>
      </c>
      <c r="D286" s="3"/>
      <c r="E286" s="3" t="s">
        <v>87</v>
      </c>
      <c r="F286" s="3" t="s">
        <v>87</v>
      </c>
      <c r="G286" s="3" t="s">
        <v>640</v>
      </c>
      <c r="H286" s="76">
        <v>7580</v>
      </c>
      <c r="I286" s="3" t="s">
        <v>88</v>
      </c>
      <c r="J286" s="3" t="s">
        <v>377</v>
      </c>
      <c r="K286" s="3" t="s">
        <v>479</v>
      </c>
      <c r="L286" s="326" t="s">
        <v>454</v>
      </c>
      <c r="M286" s="3" t="s">
        <v>502</v>
      </c>
      <c r="N286" s="356" cm="1">
        <f t="array" ref="N286">_xlfn.IFS(I286="AEX",H286/400,I286="RP",H286/200)</f>
        <v>18.95</v>
      </c>
      <c r="O286" s="3">
        <v>63.8</v>
      </c>
      <c r="P286" s="75">
        <f t="shared" si="31"/>
        <v>118.80877742946709</v>
      </c>
      <c r="Q286" s="3" t="str" cm="1">
        <f t="array" ref="Q286">_xlfn.IFS(P286&lt;200, "10", P286&lt;400, "12", P286&lt;600, "14", P286&gt;600, "16")</f>
        <v>10</v>
      </c>
      <c r="R286" s="75">
        <f t="shared" si="32"/>
        <v>5.6849999999999996</v>
      </c>
      <c r="S286" s="75">
        <f t="shared" si="34"/>
        <v>8.9106583072100315E-2</v>
      </c>
      <c r="T286" s="76">
        <v>4488</v>
      </c>
      <c r="U286" s="306">
        <f t="shared" si="35"/>
        <v>59.208443271767806</v>
      </c>
    </row>
    <row r="287" spans="1:30" ht="16.5" customHeight="1" x14ac:dyDescent="0.35">
      <c r="A287" s="351">
        <v>45994</v>
      </c>
      <c r="B287" s="76" t="s">
        <v>588</v>
      </c>
      <c r="C287" s="71" t="s">
        <v>104</v>
      </c>
      <c r="D287" s="3"/>
      <c r="E287" s="3" t="s">
        <v>87</v>
      </c>
      <c r="F287" s="3" t="s">
        <v>87</v>
      </c>
      <c r="G287" s="3" t="s">
        <v>640</v>
      </c>
      <c r="H287" s="76">
        <v>6795</v>
      </c>
      <c r="I287" s="3" t="s">
        <v>88</v>
      </c>
      <c r="J287" s="3" t="s">
        <v>89</v>
      </c>
      <c r="K287" s="3" t="s">
        <v>479</v>
      </c>
      <c r="L287" s="326" t="s">
        <v>454</v>
      </c>
      <c r="M287" s="3" t="s">
        <v>502</v>
      </c>
      <c r="N287" s="356" cm="1">
        <f t="array" ref="N287">_xlfn.IFS(I287="AEX",H287/400,I287="RP",H287/200)</f>
        <v>16.987500000000001</v>
      </c>
      <c r="O287" s="3">
        <v>63.8</v>
      </c>
      <c r="P287" s="75">
        <f t="shared" ref="P287" si="64">H287/O287</f>
        <v>106.50470219435738</v>
      </c>
      <c r="Q287" s="3" t="str" cm="1">
        <f t="array" ref="Q287">_xlfn.IFS(P287&lt;200, "10", P287&lt;400, "12", P287&lt;600, "14", P287&gt;600, "16")</f>
        <v>10</v>
      </c>
      <c r="R287" s="75">
        <f t="shared" ref="R287" si="65">IF(I287="AEX",H287*0.3/400,H287*0.3/200)</f>
        <v>5.0962500000000004</v>
      </c>
      <c r="S287" s="75">
        <f t="shared" ref="S287" si="66">R287/O287</f>
        <v>7.9878526645768042E-2</v>
      </c>
      <c r="T287" s="76">
        <v>2861</v>
      </c>
      <c r="U287" s="306">
        <f t="shared" ref="U287" si="67">T287/H287*100</f>
        <v>42.104488594554816</v>
      </c>
      <c r="W287" s="3" t="s">
        <v>91</v>
      </c>
      <c r="X287" s="2">
        <v>45994</v>
      </c>
      <c r="Y287" s="3" t="s">
        <v>318</v>
      </c>
      <c r="Z287" s="3" t="s">
        <v>87</v>
      </c>
      <c r="AA287" s="76">
        <v>25000</v>
      </c>
      <c r="AB287" s="76">
        <v>207.63</v>
      </c>
      <c r="AD287" s="47" t="s">
        <v>599</v>
      </c>
    </row>
    <row r="288" spans="1:30" ht="16.5" customHeight="1" x14ac:dyDescent="0.35">
      <c r="A288" s="351">
        <v>45994</v>
      </c>
      <c r="B288" s="76" t="s">
        <v>583</v>
      </c>
      <c r="C288" s="71" t="s">
        <v>104</v>
      </c>
      <c r="D288" s="3"/>
      <c r="E288" s="3" t="s">
        <v>87</v>
      </c>
      <c r="F288" s="3" t="s">
        <v>87</v>
      </c>
      <c r="G288" s="3" t="s">
        <v>641</v>
      </c>
      <c r="H288" s="76">
        <v>1481</v>
      </c>
      <c r="I288" s="3" t="s">
        <v>70</v>
      </c>
      <c r="J288" s="3" t="s">
        <v>209</v>
      </c>
      <c r="K288" s="3" t="s">
        <v>587</v>
      </c>
      <c r="L288" s="326" t="s">
        <v>454</v>
      </c>
      <c r="M288" s="3" t="s">
        <v>502</v>
      </c>
      <c r="N288" s="356" cm="1">
        <f t="array" ref="N288">_xlfn.IFS(I288="AEX",H288/400,I288="RP",H288/200)</f>
        <v>7.4050000000000002</v>
      </c>
      <c r="O288" s="3">
        <v>23.5</v>
      </c>
      <c r="P288" s="75">
        <f t="shared" si="31"/>
        <v>63.021276595744681</v>
      </c>
      <c r="Q288" s="3" t="str" cm="1">
        <f t="array" ref="Q288">_xlfn.IFS(P288&lt;200, "10", P288&lt;400, "12", P288&lt;600, "14", P288&gt;600, "16")</f>
        <v>10</v>
      </c>
      <c r="R288" s="75">
        <f t="shared" si="32"/>
        <v>2.2215000000000003</v>
      </c>
      <c r="S288" s="75">
        <f t="shared" si="34"/>
        <v>9.4531914893617036E-2</v>
      </c>
      <c r="U288" s="306">
        <f t="shared" si="35"/>
        <v>0</v>
      </c>
    </row>
    <row r="289" spans="1:28" ht="16.5" customHeight="1" x14ac:dyDescent="0.35">
      <c r="A289" s="351">
        <v>45994</v>
      </c>
      <c r="B289" s="76" t="s">
        <v>585</v>
      </c>
      <c r="C289" s="71" t="s">
        <v>104</v>
      </c>
      <c r="D289" s="3"/>
      <c r="E289" s="3" t="s">
        <v>87</v>
      </c>
      <c r="F289" s="3" t="s">
        <v>87</v>
      </c>
      <c r="G289" s="3" t="s">
        <v>641</v>
      </c>
      <c r="H289" s="76">
        <v>6900</v>
      </c>
      <c r="I289" s="3" t="s">
        <v>88</v>
      </c>
      <c r="J289" s="3" t="s">
        <v>377</v>
      </c>
      <c r="K289" s="3" t="s">
        <v>479</v>
      </c>
      <c r="L289" s="326" t="s">
        <v>454</v>
      </c>
      <c r="M289" s="3" t="s">
        <v>502</v>
      </c>
      <c r="N289" s="356" cm="1">
        <f t="array" ref="N289">_xlfn.IFS(I289="AEX",H289/400,I289="RP",H289/200)</f>
        <v>17.25</v>
      </c>
      <c r="O289" s="3">
        <v>24</v>
      </c>
      <c r="P289" s="75">
        <f t="shared" si="31"/>
        <v>287.5</v>
      </c>
      <c r="Q289" s="3" t="str" cm="1">
        <f t="array" ref="Q289">_xlfn.IFS(P289&lt;200, "10", P289&lt;400, "12", P289&lt;600, "14", P289&gt;600, "16")</f>
        <v>12</v>
      </c>
      <c r="R289" s="75">
        <f t="shared" si="32"/>
        <v>5.1749999999999998</v>
      </c>
      <c r="S289" s="75">
        <f t="shared" si="34"/>
        <v>0.21562499999999998</v>
      </c>
      <c r="T289" s="76">
        <v>4085</v>
      </c>
      <c r="U289" s="306">
        <f t="shared" si="35"/>
        <v>59.202898550724633</v>
      </c>
    </row>
    <row r="290" spans="1:28" ht="16.5" customHeight="1" x14ac:dyDescent="0.35">
      <c r="A290" s="351">
        <v>45994</v>
      </c>
      <c r="B290" s="76" t="s">
        <v>586</v>
      </c>
      <c r="C290" s="71" t="s">
        <v>104</v>
      </c>
      <c r="D290" s="3"/>
      <c r="E290" s="3" t="s">
        <v>87</v>
      </c>
      <c r="F290" s="3" t="s">
        <v>87</v>
      </c>
      <c r="G290" s="3" t="s">
        <v>641</v>
      </c>
      <c r="H290" s="76">
        <v>6678</v>
      </c>
      <c r="I290" s="3" t="s">
        <v>88</v>
      </c>
      <c r="J290" s="3" t="s">
        <v>89</v>
      </c>
      <c r="K290" s="3" t="s">
        <v>540</v>
      </c>
      <c r="L290" s="326" t="s">
        <v>454</v>
      </c>
      <c r="M290" s="3" t="s">
        <v>502</v>
      </c>
      <c r="N290" s="356" cm="1">
        <f t="array" ref="N290">_xlfn.IFS(I290="AEX",H290/400,I290="RP",H290/200)</f>
        <v>16.695</v>
      </c>
      <c r="O290" s="3">
        <v>23.5</v>
      </c>
      <c r="P290" s="75">
        <f t="shared" si="31"/>
        <v>284.17021276595744</v>
      </c>
      <c r="Q290" s="3" t="str" cm="1">
        <f t="array" ref="Q290">_xlfn.IFS(P290&lt;200, "10", P290&lt;400, "12", P290&lt;600, "14", P290&gt;600, "16")</f>
        <v>12</v>
      </c>
      <c r="R290" s="75">
        <f t="shared" si="32"/>
        <v>5.0084999999999997</v>
      </c>
      <c r="S290" s="75">
        <f t="shared" si="34"/>
        <v>0.21312765957446808</v>
      </c>
      <c r="T290" s="76">
        <v>3603</v>
      </c>
      <c r="U290" s="306">
        <f t="shared" si="35"/>
        <v>53.953279424977538</v>
      </c>
    </row>
    <row r="291" spans="1:28" ht="16.5" customHeight="1" x14ac:dyDescent="0.35">
      <c r="A291" s="351">
        <v>45994</v>
      </c>
      <c r="B291" s="76" t="s">
        <v>589</v>
      </c>
      <c r="C291" s="71" t="s">
        <v>104</v>
      </c>
      <c r="D291" s="3"/>
      <c r="E291" s="3" t="s">
        <v>87</v>
      </c>
      <c r="F291" s="3" t="s">
        <v>87</v>
      </c>
      <c r="G291" s="3" t="s">
        <v>640</v>
      </c>
      <c r="H291" s="76">
        <v>10612</v>
      </c>
      <c r="I291" s="2" t="s">
        <v>88</v>
      </c>
      <c r="J291" s="3" t="s">
        <v>377</v>
      </c>
      <c r="K291" s="3" t="s">
        <v>540</v>
      </c>
      <c r="L291" s="326" t="s">
        <v>454</v>
      </c>
      <c r="M291" s="3" t="s">
        <v>502</v>
      </c>
      <c r="N291" s="356" cm="1">
        <f t="array" ref="N291">_xlfn.IFS(I291="AEX",H291/400,I291="RP",H291/200)</f>
        <v>26.53</v>
      </c>
      <c r="O291" s="3">
        <v>63.8</v>
      </c>
      <c r="P291" s="75">
        <f t="shared" si="31"/>
        <v>166.33228840125392</v>
      </c>
      <c r="Q291" s="3" t="str" cm="1">
        <f t="array" ref="Q291">_xlfn.IFS(P291&lt;200, "10", P291&lt;400, "12", P291&lt;600, "14", P291&gt;600, "16")</f>
        <v>10</v>
      </c>
      <c r="R291" s="75">
        <f t="shared" si="32"/>
        <v>7.9589999999999996</v>
      </c>
      <c r="S291" s="75">
        <f t="shared" si="34"/>
        <v>0.12474921630094044</v>
      </c>
      <c r="T291" s="76">
        <v>4069</v>
      </c>
      <c r="U291" s="306">
        <f t="shared" si="35"/>
        <v>38.343384847342634</v>
      </c>
    </row>
    <row r="292" spans="1:28" ht="16.5" customHeight="1" x14ac:dyDescent="0.35">
      <c r="A292" s="351">
        <v>45994</v>
      </c>
      <c r="B292" s="76" t="s">
        <v>590</v>
      </c>
      <c r="C292" s="71" t="s">
        <v>104</v>
      </c>
      <c r="D292" s="3"/>
      <c r="E292" s="3" t="s">
        <v>194</v>
      </c>
      <c r="F292" s="3">
        <v>0.1</v>
      </c>
      <c r="G292" s="3" t="s">
        <v>641</v>
      </c>
      <c r="H292" s="76">
        <v>2400</v>
      </c>
      <c r="I292" s="2" t="s">
        <v>88</v>
      </c>
      <c r="J292" s="3" t="s">
        <v>89</v>
      </c>
      <c r="K292" s="3" t="s">
        <v>479</v>
      </c>
      <c r="L292" s="326" t="s">
        <v>454</v>
      </c>
      <c r="M292" s="3" t="s">
        <v>502</v>
      </c>
      <c r="N292" s="356" cm="1">
        <f t="array" ref="N292">_xlfn.IFS(I292="AEX",H292/400,I292="RP",H292/200)</f>
        <v>6</v>
      </c>
      <c r="O292" s="3">
        <v>16.100000000000001</v>
      </c>
      <c r="P292" s="75">
        <f t="shared" si="31"/>
        <v>149.06832298136644</v>
      </c>
      <c r="Q292" s="3" t="str" cm="1">
        <f t="array" ref="Q292">_xlfn.IFS(P292&lt;200, "10", P292&lt;400, "12", P292&lt;600, "14", P292&gt;600, "16")</f>
        <v>10</v>
      </c>
      <c r="R292" s="75">
        <f t="shared" si="32"/>
        <v>1.8</v>
      </c>
      <c r="S292" s="75">
        <f t="shared" si="34"/>
        <v>0.11180124223602483</v>
      </c>
      <c r="T292" s="76">
        <v>1267</v>
      </c>
      <c r="U292" s="306">
        <f t="shared" si="35"/>
        <v>52.791666666666671</v>
      </c>
    </row>
    <row r="293" spans="1:28" ht="16.5" customHeight="1" x14ac:dyDescent="0.35">
      <c r="A293" s="351">
        <v>45994</v>
      </c>
      <c r="B293" s="76" t="s">
        <v>591</v>
      </c>
      <c r="C293" s="71" t="s">
        <v>104</v>
      </c>
      <c r="D293" s="3"/>
      <c r="E293" s="3" t="s">
        <v>194</v>
      </c>
      <c r="F293" s="3">
        <v>0.1</v>
      </c>
      <c r="G293" s="3" t="s">
        <v>641</v>
      </c>
      <c r="H293" s="76">
        <v>2400</v>
      </c>
      <c r="I293" s="2" t="s">
        <v>88</v>
      </c>
      <c r="J293" s="3" t="s">
        <v>89</v>
      </c>
      <c r="K293" s="3" t="s">
        <v>479</v>
      </c>
      <c r="L293" s="326" t="s">
        <v>454</v>
      </c>
      <c r="M293" s="3" t="s">
        <v>502</v>
      </c>
      <c r="N293" s="356" cm="1">
        <f t="array" ref="N293">_xlfn.IFS(I293="AEX",H293/400,I293="RP",H293/200)</f>
        <v>6</v>
      </c>
      <c r="O293" s="3">
        <v>16.100000000000001</v>
      </c>
      <c r="P293" s="75">
        <f t="shared" si="31"/>
        <v>149.06832298136644</v>
      </c>
      <c r="Q293" s="3" t="str" cm="1">
        <f t="array" ref="Q293">_xlfn.IFS(P293&lt;200, "10", P293&lt;400, "12", P293&lt;600, "14", P293&gt;600, "16")</f>
        <v>10</v>
      </c>
      <c r="R293" s="75">
        <f t="shared" si="32"/>
        <v>1.8</v>
      </c>
      <c r="S293" s="75">
        <f t="shared" si="34"/>
        <v>0.11180124223602483</v>
      </c>
      <c r="T293" s="76">
        <v>1056</v>
      </c>
      <c r="U293" s="306">
        <f t="shared" si="35"/>
        <v>44</v>
      </c>
    </row>
    <row r="294" spans="1:28" ht="16.5" customHeight="1" x14ac:dyDescent="0.35">
      <c r="A294" s="351">
        <v>45994</v>
      </c>
      <c r="B294" s="345" t="s">
        <v>592</v>
      </c>
      <c r="C294" s="71" t="s">
        <v>104</v>
      </c>
      <c r="D294" s="3"/>
      <c r="E294" s="3" t="s">
        <v>194</v>
      </c>
      <c r="F294" s="3">
        <v>0.1</v>
      </c>
      <c r="G294" s="3" t="s">
        <v>641</v>
      </c>
      <c r="H294" s="76">
        <v>2400</v>
      </c>
      <c r="I294" s="2" t="s">
        <v>88</v>
      </c>
      <c r="J294" s="3" t="s">
        <v>377</v>
      </c>
      <c r="K294" s="3" t="s">
        <v>479</v>
      </c>
      <c r="L294" s="326" t="s">
        <v>454</v>
      </c>
      <c r="M294" s="3" t="s">
        <v>502</v>
      </c>
      <c r="N294" s="356" cm="1">
        <f t="array" ref="N294">_xlfn.IFS(I294="AEX",H294/400,I294="RP",H294/200)</f>
        <v>6</v>
      </c>
      <c r="O294" s="3">
        <v>16.100000000000001</v>
      </c>
      <c r="P294" s="75">
        <f t="shared" si="31"/>
        <v>149.06832298136644</v>
      </c>
      <c r="Q294" s="3" t="str" cm="1">
        <f t="array" ref="Q294">_xlfn.IFS(P294&lt;200, "10", P294&lt;400, "12", P294&lt;600, "14", P294&gt;600, "16")</f>
        <v>10</v>
      </c>
      <c r="R294" s="75">
        <f t="shared" si="32"/>
        <v>1.8</v>
      </c>
      <c r="S294" s="75">
        <f t="shared" si="34"/>
        <v>0.11180124223602483</v>
      </c>
      <c r="T294" s="76">
        <v>1161</v>
      </c>
      <c r="U294" s="306">
        <f t="shared" si="35"/>
        <v>48.375</v>
      </c>
      <c r="V294" s="76">
        <v>22</v>
      </c>
    </row>
    <row r="295" spans="1:28" ht="16.5" customHeight="1" x14ac:dyDescent="0.35">
      <c r="A295" s="351">
        <v>45994</v>
      </c>
      <c r="B295" s="76" t="s">
        <v>593</v>
      </c>
      <c r="C295" s="71" t="s">
        <v>104</v>
      </c>
      <c r="D295" s="3"/>
      <c r="E295" s="3" t="s">
        <v>194</v>
      </c>
      <c r="F295" s="3">
        <v>0.1</v>
      </c>
      <c r="G295" s="3" t="s">
        <v>641</v>
      </c>
      <c r="H295" s="76">
        <v>2400</v>
      </c>
      <c r="I295" s="2" t="s">
        <v>88</v>
      </c>
      <c r="J295" s="3" t="s">
        <v>89</v>
      </c>
      <c r="K295" s="3" t="s">
        <v>479</v>
      </c>
      <c r="L295" s="326" t="s">
        <v>454</v>
      </c>
      <c r="M295" s="3" t="s">
        <v>502</v>
      </c>
      <c r="N295" s="356" cm="1">
        <f t="array" ref="N295">_xlfn.IFS(I295="AEX",H295/400,I295="RP",H295/200)</f>
        <v>6</v>
      </c>
      <c r="O295" s="3">
        <v>16.100000000000001</v>
      </c>
      <c r="P295" s="75">
        <f t="shared" ref="P295:P336" si="68">H295/O295</f>
        <v>149.06832298136644</v>
      </c>
      <c r="Q295" s="3" t="str" cm="1">
        <f t="array" ref="Q295">_xlfn.IFS(P295&lt;200, "10", P295&lt;400, "12", P295&lt;600, "14", P295&gt;600, "16")</f>
        <v>10</v>
      </c>
      <c r="R295" s="75">
        <f t="shared" ref="R295:R336" si="69">IF(I295="AEX",H295*0.3/400,H295*0.3/200)</f>
        <v>1.8</v>
      </c>
      <c r="S295" s="75">
        <f t="shared" si="34"/>
        <v>0.11180124223602483</v>
      </c>
      <c r="T295" s="76">
        <v>1074</v>
      </c>
      <c r="U295" s="306">
        <f t="shared" si="35"/>
        <v>44.75</v>
      </c>
    </row>
    <row r="296" spans="1:28" ht="16.5" customHeight="1" x14ac:dyDescent="0.35">
      <c r="A296" s="351">
        <v>45995</v>
      </c>
      <c r="B296" s="76" t="s">
        <v>594</v>
      </c>
      <c r="C296" s="71" t="s">
        <v>104</v>
      </c>
      <c r="D296" s="3"/>
      <c r="E296" s="3" t="s">
        <v>86</v>
      </c>
      <c r="F296" s="3" t="s">
        <v>87</v>
      </c>
      <c r="G296" s="3" t="s">
        <v>641</v>
      </c>
      <c r="H296" s="76">
        <v>1071</v>
      </c>
      <c r="I296" s="3" t="s">
        <v>88</v>
      </c>
      <c r="J296" s="3" t="s">
        <v>377</v>
      </c>
      <c r="K296" s="3" t="s">
        <v>479</v>
      </c>
      <c r="L296" s="326" t="s">
        <v>454</v>
      </c>
      <c r="M296" s="3" t="s">
        <v>502</v>
      </c>
      <c r="N296" s="356" cm="1">
        <f t="array" ref="N296">_xlfn.IFS(I296="AEX",H296/400,I296="RP",H296/200)</f>
        <v>2.6775000000000002</v>
      </c>
      <c r="O296" s="3">
        <v>7.9</v>
      </c>
      <c r="P296" s="75">
        <f t="shared" si="68"/>
        <v>135.56962025316454</v>
      </c>
      <c r="Q296" s="3" t="str" cm="1">
        <f t="array" ref="Q296">_xlfn.IFS(P296&lt;200, "10", P296&lt;400, "12", P296&lt;600, "14", P296&gt;600, "16")</f>
        <v>10</v>
      </c>
      <c r="R296" s="75">
        <f t="shared" si="69"/>
        <v>0.80325000000000002</v>
      </c>
      <c r="S296" s="75">
        <f t="shared" si="34"/>
        <v>0.10167721518987341</v>
      </c>
      <c r="T296" s="76">
        <v>637</v>
      </c>
      <c r="U296" s="306">
        <f t="shared" si="35"/>
        <v>59.477124183006538</v>
      </c>
    </row>
    <row r="297" spans="1:28" ht="16.5" customHeight="1" x14ac:dyDescent="0.35">
      <c r="A297" s="351">
        <v>45995</v>
      </c>
      <c r="B297" s="76" t="s">
        <v>595</v>
      </c>
      <c r="C297" s="71" t="s">
        <v>104</v>
      </c>
      <c r="D297" s="3"/>
      <c r="E297" s="3" t="s">
        <v>86</v>
      </c>
      <c r="F297" s="3" t="s">
        <v>87</v>
      </c>
      <c r="G297" s="3" t="s">
        <v>640</v>
      </c>
      <c r="H297" s="76">
        <v>1275</v>
      </c>
      <c r="I297" s="3" t="s">
        <v>88</v>
      </c>
      <c r="J297" s="3" t="s">
        <v>89</v>
      </c>
      <c r="K297" s="3" t="s">
        <v>479</v>
      </c>
      <c r="L297" s="326" t="s">
        <v>454</v>
      </c>
      <c r="M297" s="3" t="s">
        <v>502</v>
      </c>
      <c r="N297" s="356" cm="1">
        <f t="array" ref="N297">_xlfn.IFS(I297="AEX",H297/400,I297="RP",H297/200)</f>
        <v>3.1875</v>
      </c>
      <c r="O297" s="3">
        <v>298</v>
      </c>
      <c r="P297" s="75">
        <f t="shared" si="68"/>
        <v>4.2785234899328861</v>
      </c>
      <c r="Q297" s="3" t="str" cm="1">
        <f t="array" ref="Q297">_xlfn.IFS(P297&lt;200, "10", P297&lt;400, "12", P297&lt;600, "14", P297&gt;600, "16")</f>
        <v>10</v>
      </c>
      <c r="R297" s="75">
        <f t="shared" si="69"/>
        <v>0.95625000000000004</v>
      </c>
      <c r="S297" s="75">
        <f t="shared" si="34"/>
        <v>3.2088926174496644E-3</v>
      </c>
      <c r="T297" s="76">
        <v>914</v>
      </c>
      <c r="U297" s="306">
        <f t="shared" si="35"/>
        <v>71.686274509803923</v>
      </c>
      <c r="V297" s="76">
        <v>108.35</v>
      </c>
      <c r="W297" s="3" t="s">
        <v>91</v>
      </c>
      <c r="X297" s="2">
        <v>45999</v>
      </c>
      <c r="Y297" s="3" t="s">
        <v>97</v>
      </c>
      <c r="Z297" s="3" t="s">
        <v>87</v>
      </c>
      <c r="AA297" s="76">
        <v>764.71</v>
      </c>
      <c r="AB297" s="76">
        <v>100.62</v>
      </c>
    </row>
    <row r="298" spans="1:28" ht="16.5" customHeight="1" x14ac:dyDescent="0.35">
      <c r="A298" s="351">
        <v>45995</v>
      </c>
      <c r="B298" s="76" t="s">
        <v>598</v>
      </c>
      <c r="C298" s="71" t="s">
        <v>104</v>
      </c>
      <c r="D298" s="3"/>
      <c r="E298" s="3" t="s">
        <v>86</v>
      </c>
      <c r="F298" s="3" t="s">
        <v>87</v>
      </c>
      <c r="G298" s="3" t="s">
        <v>641</v>
      </c>
      <c r="H298" s="76">
        <v>1101</v>
      </c>
      <c r="I298" s="3" t="s">
        <v>88</v>
      </c>
      <c r="J298" s="3" t="s">
        <v>377</v>
      </c>
      <c r="K298" s="3" t="s">
        <v>479</v>
      </c>
      <c r="L298" s="326" t="s">
        <v>454</v>
      </c>
      <c r="M298" s="3" t="s">
        <v>502</v>
      </c>
      <c r="N298" s="356" cm="1">
        <f t="array" ref="N298">_xlfn.IFS(I298="AEX",H298/400,I298="RP",H298/200)</f>
        <v>2.7524999999999999</v>
      </c>
      <c r="O298" s="3">
        <v>7.9</v>
      </c>
      <c r="P298" s="75">
        <f t="shared" si="68"/>
        <v>139.36708860759492</v>
      </c>
      <c r="Q298" s="3" t="str" cm="1">
        <f t="array" ref="Q298">_xlfn.IFS(P298&lt;200, "10", P298&lt;400, "12", P298&lt;600, "14", P298&gt;600, "16")</f>
        <v>10</v>
      </c>
      <c r="R298" s="75">
        <f t="shared" si="69"/>
        <v>0.82574999999999998</v>
      </c>
      <c r="S298" s="75">
        <f t="shared" si="34"/>
        <v>0.1045253164556962</v>
      </c>
      <c r="T298" s="76">
        <v>718</v>
      </c>
      <c r="U298" s="306">
        <f t="shared" si="35"/>
        <v>65.213442325158937</v>
      </c>
    </row>
    <row r="299" spans="1:28" ht="16.5" customHeight="1" x14ac:dyDescent="0.35">
      <c r="A299" s="351">
        <v>45995</v>
      </c>
      <c r="B299" s="76" t="s">
        <v>596</v>
      </c>
      <c r="C299" s="71" t="s">
        <v>104</v>
      </c>
      <c r="D299" s="3"/>
      <c r="E299" s="3" t="s">
        <v>86</v>
      </c>
      <c r="F299" s="3" t="s">
        <v>87</v>
      </c>
      <c r="G299" s="3" t="s">
        <v>641</v>
      </c>
      <c r="H299" s="76">
        <v>1383</v>
      </c>
      <c r="I299" s="3" t="s">
        <v>88</v>
      </c>
      <c r="J299" s="3" t="s">
        <v>377</v>
      </c>
      <c r="K299" s="3" t="s">
        <v>479</v>
      </c>
      <c r="L299" s="326" t="s">
        <v>454</v>
      </c>
      <c r="M299" s="3" t="s">
        <v>502</v>
      </c>
      <c r="N299" s="356" cm="1">
        <f t="array" ref="N299">_xlfn.IFS(I299="AEX",H299/400,I299="RP",H299/200)</f>
        <v>3.4575</v>
      </c>
      <c r="O299" s="3">
        <v>7.9</v>
      </c>
      <c r="P299" s="75">
        <f t="shared" si="68"/>
        <v>175.0632911392405</v>
      </c>
      <c r="Q299" s="3" t="str" cm="1">
        <f t="array" ref="Q299">_xlfn.IFS(P299&lt;200, "10", P299&lt;400, "12", P299&lt;600, "14", P299&gt;600, "16")</f>
        <v>10</v>
      </c>
      <c r="R299" s="75">
        <f t="shared" si="69"/>
        <v>1.03725</v>
      </c>
      <c r="S299" s="75">
        <f t="shared" si="34"/>
        <v>0.13129746835443037</v>
      </c>
      <c r="T299" s="76">
        <v>1120</v>
      </c>
      <c r="U299" s="306">
        <f t="shared" si="35"/>
        <v>80.983369486623275</v>
      </c>
    </row>
    <row r="300" spans="1:28" ht="16.5" customHeight="1" x14ac:dyDescent="0.35">
      <c r="A300" s="351">
        <v>45995</v>
      </c>
      <c r="B300" s="76" t="s">
        <v>597</v>
      </c>
      <c r="C300" s="71" t="s">
        <v>104</v>
      </c>
      <c r="D300" s="3"/>
      <c r="E300" s="3" t="s">
        <v>86</v>
      </c>
      <c r="F300" s="3" t="s">
        <v>87</v>
      </c>
      <c r="G300" s="3" t="s">
        <v>641</v>
      </c>
      <c r="H300" s="76">
        <v>1200</v>
      </c>
      <c r="I300" s="3" t="s">
        <v>88</v>
      </c>
      <c r="J300" s="3" t="s">
        <v>377</v>
      </c>
      <c r="K300" s="3" t="s">
        <v>479</v>
      </c>
      <c r="L300" s="326" t="s">
        <v>454</v>
      </c>
      <c r="M300" s="3" t="s">
        <v>502</v>
      </c>
      <c r="N300" s="356" cm="1">
        <f t="array" ref="N300">_xlfn.IFS(I300="AEX",H300/400,I300="RP",H300/200)</f>
        <v>3</v>
      </c>
      <c r="O300" s="3">
        <v>7.9</v>
      </c>
      <c r="P300" s="75">
        <f t="shared" si="68"/>
        <v>151.89873417721518</v>
      </c>
      <c r="Q300" s="3" t="str" cm="1">
        <f t="array" ref="Q300">_xlfn.IFS(P300&lt;200, "10", P300&lt;400, "12", P300&lt;600, "14", P300&gt;600, "16")</f>
        <v>10</v>
      </c>
      <c r="R300" s="75">
        <f t="shared" si="69"/>
        <v>0.9</v>
      </c>
      <c r="S300" s="75">
        <f t="shared" si="34"/>
        <v>0.11392405063291139</v>
      </c>
      <c r="U300" s="306">
        <f t="shared" si="35"/>
        <v>0</v>
      </c>
      <c r="AA300" s="76">
        <v>777</v>
      </c>
    </row>
    <row r="301" spans="1:28" ht="16.5" customHeight="1" x14ac:dyDescent="0.35">
      <c r="A301" s="351">
        <v>45995</v>
      </c>
      <c r="B301" s="76" t="s">
        <v>600</v>
      </c>
      <c r="C301" s="71" t="s">
        <v>104</v>
      </c>
      <c r="D301" s="3"/>
      <c r="E301" s="3" t="s">
        <v>87</v>
      </c>
      <c r="F301" s="3" t="s">
        <v>87</v>
      </c>
      <c r="G301" s="3" t="s">
        <v>87</v>
      </c>
      <c r="H301" s="76">
        <v>3333</v>
      </c>
      <c r="I301" s="3" t="s">
        <v>70</v>
      </c>
      <c r="J301" s="3" t="s">
        <v>209</v>
      </c>
      <c r="K301" s="327" t="s">
        <v>489</v>
      </c>
      <c r="L301" s="326" t="s">
        <v>459</v>
      </c>
      <c r="M301" s="3">
        <v>40</v>
      </c>
      <c r="N301" s="356" cm="1">
        <f t="array" ref="N301">_xlfn.IFS(I301="AEX",H301/400,I301="RP",H301/200)</f>
        <v>16.664999999999999</v>
      </c>
      <c r="O301" s="3">
        <v>55</v>
      </c>
      <c r="P301" s="75">
        <f t="shared" ref="P301:P308" si="70">H301/O301</f>
        <v>60.6</v>
      </c>
      <c r="Q301" s="3" t="str" cm="1">
        <f t="array" ref="Q301">_xlfn.IFS(P301&lt;200, "10", P301&lt;400, "12", P301&lt;600, "14", P301&gt;600, "16")</f>
        <v>10</v>
      </c>
      <c r="R301" s="75">
        <f t="shared" ref="R301:R307" si="71">IF(I301="AEX",H301*0.3/400,H301*0.3/200)</f>
        <v>4.9995000000000003</v>
      </c>
      <c r="S301" s="75">
        <f t="shared" ref="S301:S308" si="72">R301/O301</f>
        <v>9.0900000000000009E-2</v>
      </c>
      <c r="T301" s="76">
        <v>437</v>
      </c>
      <c r="U301" s="306">
        <f t="shared" ref="U301:U307" si="73">T301/H301*100</f>
        <v>13.111311131113112</v>
      </c>
      <c r="W301" s="3" t="s">
        <v>87</v>
      </c>
    </row>
    <row r="302" spans="1:28" ht="16.5" customHeight="1" x14ac:dyDescent="0.35">
      <c r="A302" s="351" t="s">
        <v>580</v>
      </c>
      <c r="B302" s="76" t="s">
        <v>601</v>
      </c>
      <c r="C302" s="71" t="s">
        <v>104</v>
      </c>
      <c r="D302" s="3"/>
      <c r="E302" s="3" t="s">
        <v>87</v>
      </c>
      <c r="F302" s="3" t="s">
        <v>87</v>
      </c>
      <c r="G302" s="3" t="s">
        <v>641</v>
      </c>
      <c r="H302" s="76">
        <v>4240</v>
      </c>
      <c r="I302" s="3" t="s">
        <v>88</v>
      </c>
      <c r="J302" s="3" t="s">
        <v>308</v>
      </c>
      <c r="K302" s="3" t="s">
        <v>479</v>
      </c>
      <c r="L302" s="326" t="s">
        <v>454</v>
      </c>
      <c r="M302" s="3">
        <v>40</v>
      </c>
      <c r="N302" s="356" cm="1">
        <f t="array" ref="N302">_xlfn.IFS(I302="AEX",H302/400,I302="RP",H302/200)</f>
        <v>10.6</v>
      </c>
      <c r="O302" s="353"/>
      <c r="P302" s="75" t="e">
        <f t="shared" si="70"/>
        <v>#DIV/0!</v>
      </c>
      <c r="Q302" s="3" t="e" cm="1">
        <f t="array" ref="Q302">_xlfn.IFS(P302&lt;200, "10", P302&lt;400, "12", P302&lt;600, "14", P302&gt;600, "16")</f>
        <v>#DIV/0!</v>
      </c>
      <c r="R302" s="75">
        <f t="shared" si="71"/>
        <v>3.18</v>
      </c>
      <c r="S302" s="75" t="e">
        <f t="shared" si="72"/>
        <v>#DIV/0!</v>
      </c>
      <c r="T302" s="76">
        <v>1482</v>
      </c>
      <c r="U302" s="306">
        <f t="shared" si="73"/>
        <v>34.952830188679243</v>
      </c>
    </row>
    <row r="303" spans="1:28" ht="15.65" customHeight="1" x14ac:dyDescent="0.35">
      <c r="A303" s="351" t="s">
        <v>580</v>
      </c>
      <c r="B303" s="76" t="s">
        <v>602</v>
      </c>
      <c r="C303" s="71" t="s">
        <v>104</v>
      </c>
      <c r="D303" s="3"/>
      <c r="E303" s="3" t="s">
        <v>87</v>
      </c>
      <c r="F303" s="3" t="s">
        <v>87</v>
      </c>
      <c r="G303" s="3" t="s">
        <v>641</v>
      </c>
      <c r="H303" s="76">
        <v>4500</v>
      </c>
      <c r="I303" s="3" t="s">
        <v>88</v>
      </c>
      <c r="J303" s="3" t="s">
        <v>308</v>
      </c>
      <c r="K303" s="3" t="s">
        <v>479</v>
      </c>
      <c r="L303" s="326" t="s">
        <v>454</v>
      </c>
      <c r="M303" s="3">
        <v>40</v>
      </c>
      <c r="N303" s="356" cm="1">
        <f t="array" ref="N303">_xlfn.IFS(I303="AEX",H303/400,I303="RP",H303/200)</f>
        <v>11.25</v>
      </c>
      <c r="O303" s="353"/>
      <c r="P303" s="75" t="e">
        <f t="shared" si="70"/>
        <v>#DIV/0!</v>
      </c>
      <c r="Q303" s="3" t="e" cm="1">
        <f t="array" ref="Q303">_xlfn.IFS(P303&lt;200, "10", P303&lt;400, "12", P303&lt;600, "14", P303&gt;600, "16")</f>
        <v>#DIV/0!</v>
      </c>
      <c r="R303" s="75">
        <f t="shared" si="71"/>
        <v>3.375</v>
      </c>
      <c r="S303" s="75" t="e">
        <f t="shared" si="72"/>
        <v>#DIV/0!</v>
      </c>
      <c r="U303" s="306">
        <f t="shared" si="73"/>
        <v>0</v>
      </c>
    </row>
    <row r="304" spans="1:28" ht="16.5" customHeight="1" x14ac:dyDescent="0.35">
      <c r="A304" s="351" t="s">
        <v>580</v>
      </c>
      <c r="B304" s="76" t="s">
        <v>603</v>
      </c>
      <c r="C304" s="71" t="s">
        <v>104</v>
      </c>
      <c r="D304" s="3"/>
      <c r="E304" s="3" t="s">
        <v>87</v>
      </c>
      <c r="F304" s="3" t="s">
        <v>87</v>
      </c>
      <c r="G304" s="3" t="s">
        <v>641</v>
      </c>
      <c r="H304" s="76">
        <v>4859</v>
      </c>
      <c r="I304" s="3" t="s">
        <v>88</v>
      </c>
      <c r="J304" s="3" t="s">
        <v>308</v>
      </c>
      <c r="K304" s="3" t="s">
        <v>479</v>
      </c>
      <c r="L304" s="326" t="s">
        <v>454</v>
      </c>
      <c r="M304" s="3" t="s">
        <v>502</v>
      </c>
      <c r="N304" s="356" cm="1">
        <f t="array" ref="N304">_xlfn.IFS(I304="AEX",H304/400,I304="RP",H304/200)</f>
        <v>12.147500000000001</v>
      </c>
      <c r="O304" s="353"/>
      <c r="P304" s="75" t="e">
        <f t="shared" si="70"/>
        <v>#DIV/0!</v>
      </c>
      <c r="Q304" s="3" t="e" cm="1">
        <f t="array" ref="Q304">_xlfn.IFS(P304&lt;200, "10", P304&lt;400, "12", P304&lt;600, "14", P304&gt;600, "16")</f>
        <v>#DIV/0!</v>
      </c>
      <c r="R304" s="75">
        <f t="shared" si="71"/>
        <v>3.64425</v>
      </c>
      <c r="S304" s="75" t="e">
        <f t="shared" si="72"/>
        <v>#DIV/0!</v>
      </c>
      <c r="T304" s="76">
        <v>2075</v>
      </c>
      <c r="U304" s="306">
        <f t="shared" si="73"/>
        <v>42.704260135830417</v>
      </c>
    </row>
    <row r="305" spans="1:28" ht="16.5" customHeight="1" x14ac:dyDescent="0.35">
      <c r="A305" s="351">
        <v>45996</v>
      </c>
      <c r="B305" s="76" t="s">
        <v>608</v>
      </c>
      <c r="C305" s="71" t="s">
        <v>104</v>
      </c>
      <c r="D305" s="3"/>
      <c r="E305" s="3" t="s">
        <v>86</v>
      </c>
      <c r="F305" s="3" t="s">
        <v>87</v>
      </c>
      <c r="G305" s="3" t="s">
        <v>641</v>
      </c>
      <c r="H305" s="76">
        <v>1304</v>
      </c>
      <c r="I305" s="3" t="s">
        <v>88</v>
      </c>
      <c r="J305" s="3" t="s">
        <v>89</v>
      </c>
      <c r="K305" s="3" t="s">
        <v>479</v>
      </c>
      <c r="L305" s="326" t="s">
        <v>454</v>
      </c>
      <c r="M305" s="3" t="s">
        <v>502</v>
      </c>
      <c r="N305" s="356" cm="1">
        <f t="array" ref="N305">_xlfn.IFS(I305="AEX",H305/400,I305="RP",H305/200)</f>
        <v>3.26</v>
      </c>
      <c r="O305" s="3">
        <v>7.9</v>
      </c>
      <c r="P305" s="75">
        <f t="shared" si="70"/>
        <v>165.0632911392405</v>
      </c>
      <c r="Q305" s="3" t="str" cm="1">
        <f t="array" ref="Q305">_xlfn.IFS(P305&lt;200, "10", P305&lt;400, "12", P305&lt;600, "14", P305&gt;600, "16")</f>
        <v>10</v>
      </c>
      <c r="R305" s="75">
        <f t="shared" si="71"/>
        <v>0.97799999999999998</v>
      </c>
      <c r="S305" s="75">
        <f t="shared" si="72"/>
        <v>0.12379746835443037</v>
      </c>
      <c r="T305" s="76">
        <v>849</v>
      </c>
      <c r="U305" s="306">
        <f t="shared" si="73"/>
        <v>65.107361963190186</v>
      </c>
    </row>
    <row r="306" spans="1:28" ht="16.5" customHeight="1" x14ac:dyDescent="0.35">
      <c r="A306" s="351">
        <v>45996</v>
      </c>
      <c r="B306" s="76" t="s">
        <v>607</v>
      </c>
      <c r="C306" s="71" t="s">
        <v>104</v>
      </c>
      <c r="D306" s="3"/>
      <c r="E306" s="3" t="s">
        <v>87</v>
      </c>
      <c r="F306" s="3" t="s">
        <v>87</v>
      </c>
      <c r="G306" s="3" t="s">
        <v>641</v>
      </c>
      <c r="H306" s="76">
        <v>10530</v>
      </c>
      <c r="I306" s="3" t="s">
        <v>88</v>
      </c>
      <c r="J306" s="3" t="s">
        <v>89</v>
      </c>
      <c r="K306" s="3" t="s">
        <v>479</v>
      </c>
      <c r="L306" s="326" t="s">
        <v>454</v>
      </c>
      <c r="M306" s="3" t="s">
        <v>502</v>
      </c>
      <c r="N306" s="356" cm="1">
        <f t="array" ref="N306">_xlfn.IFS(I306="AEX",H306/400,I306="RP",H306/200)</f>
        <v>26.324999999999999</v>
      </c>
      <c r="O306" s="3">
        <v>64.7</v>
      </c>
      <c r="P306" s="75">
        <f t="shared" si="70"/>
        <v>162.75115919629056</v>
      </c>
      <c r="Q306" s="3" t="str" cm="1">
        <f t="array" ref="Q306">_xlfn.IFS(P306&lt;200, "10", P306&lt;400, "12", P306&lt;600, "14", P306&gt;600, "16")</f>
        <v>10</v>
      </c>
      <c r="R306" s="75">
        <f t="shared" si="71"/>
        <v>7.8975</v>
      </c>
      <c r="S306" s="75">
        <f t="shared" si="72"/>
        <v>0.12206336939721792</v>
      </c>
      <c r="T306" s="76">
        <v>3642</v>
      </c>
      <c r="U306" s="306">
        <f t="shared" si="73"/>
        <v>34.586894586894587</v>
      </c>
    </row>
    <row r="307" spans="1:28" ht="16.5" customHeight="1" x14ac:dyDescent="0.35">
      <c r="A307" s="351">
        <v>45996</v>
      </c>
      <c r="B307" s="76" t="s">
        <v>606</v>
      </c>
      <c r="C307" s="71" t="s">
        <v>104</v>
      </c>
      <c r="D307" s="3"/>
      <c r="E307" s="3" t="s">
        <v>87</v>
      </c>
      <c r="F307" s="3" t="s">
        <v>87</v>
      </c>
      <c r="G307" s="3" t="s">
        <v>641</v>
      </c>
      <c r="H307" s="76">
        <v>3888</v>
      </c>
      <c r="I307" s="3" t="s">
        <v>88</v>
      </c>
      <c r="J307" s="3" t="s">
        <v>377</v>
      </c>
      <c r="K307" s="3" t="s">
        <v>479</v>
      </c>
      <c r="L307" s="326" t="s">
        <v>454</v>
      </c>
      <c r="M307" s="3" t="s">
        <v>502</v>
      </c>
      <c r="N307" s="356" cm="1">
        <f t="array" ref="N307">_xlfn.IFS(I307="AEX",H307/400,I307="RP",H307/200)</f>
        <v>9.7200000000000006</v>
      </c>
      <c r="O307" s="3">
        <v>23.5</v>
      </c>
      <c r="P307" s="75">
        <f t="shared" si="70"/>
        <v>165.44680851063831</v>
      </c>
      <c r="Q307" s="3" t="str" cm="1">
        <f t="array" ref="Q307">_xlfn.IFS(P307&lt;200, "10", P307&lt;400, "12", P307&lt;600, "14", P307&gt;600, "16")</f>
        <v>10</v>
      </c>
      <c r="R307" s="75">
        <f t="shared" si="71"/>
        <v>2.9159999999999995</v>
      </c>
      <c r="S307" s="75">
        <f t="shared" si="72"/>
        <v>0.1240851063829787</v>
      </c>
      <c r="T307" s="76">
        <v>1665</v>
      </c>
      <c r="U307" s="306">
        <f t="shared" si="73"/>
        <v>42.824074074074076</v>
      </c>
    </row>
    <row r="308" spans="1:28" ht="16.5" customHeight="1" x14ac:dyDescent="0.35">
      <c r="A308" s="351">
        <v>45996</v>
      </c>
      <c r="B308" s="76" t="s">
        <v>604</v>
      </c>
      <c r="C308" s="71" t="s">
        <v>104</v>
      </c>
      <c r="D308" s="3"/>
      <c r="E308" s="3" t="s">
        <v>87</v>
      </c>
      <c r="F308" s="3" t="s">
        <v>87</v>
      </c>
      <c r="G308" s="3" t="s">
        <v>640</v>
      </c>
      <c r="H308" s="76">
        <v>44835</v>
      </c>
      <c r="I308" s="3" t="s">
        <v>88</v>
      </c>
      <c r="J308" s="3" t="s">
        <v>89</v>
      </c>
      <c r="K308" s="3" t="s">
        <v>479</v>
      </c>
      <c r="L308" s="326" t="s">
        <v>454</v>
      </c>
      <c r="M308" s="3" t="s">
        <v>502</v>
      </c>
      <c r="N308" s="356" cm="1">
        <f t="array" ref="N308">_xlfn.IFS(I308="AEX",H308/400,I308="RP",H308/200)</f>
        <v>112.08750000000001</v>
      </c>
      <c r="O308" s="3">
        <v>298</v>
      </c>
      <c r="P308" s="75">
        <f t="shared" si="70"/>
        <v>150.45302013422818</v>
      </c>
      <c r="Q308" s="3" t="str" cm="1">
        <f t="array" ref="Q308">_xlfn.IFS(P308&lt;200, "10", P308&lt;400, "12", P308&lt;600, "14", P308&gt;600, "16")</f>
        <v>10</v>
      </c>
      <c r="R308" s="75">
        <f t="shared" si="69"/>
        <v>33.626249999999999</v>
      </c>
      <c r="S308" s="75">
        <f t="shared" si="72"/>
        <v>0.11283976510067113</v>
      </c>
      <c r="T308" s="76">
        <v>24514.31</v>
      </c>
      <c r="U308" s="306">
        <f t="shared" si="35"/>
        <v>54.676725772276122</v>
      </c>
      <c r="V308" s="76">
        <v>416.91</v>
      </c>
      <c r="W308" s="3" t="s">
        <v>91</v>
      </c>
      <c r="X308" s="2">
        <v>45999</v>
      </c>
      <c r="Y308" s="3" t="s">
        <v>318</v>
      </c>
      <c r="Z308" s="3" t="s">
        <v>87</v>
      </c>
      <c r="AA308" s="76">
        <v>23511.21</v>
      </c>
      <c r="AB308" s="76">
        <v>218.2</v>
      </c>
    </row>
    <row r="309" spans="1:28" ht="17.149999999999999" customHeight="1" x14ac:dyDescent="0.35">
      <c r="A309" s="351">
        <v>45996</v>
      </c>
      <c r="B309" s="76" t="s">
        <v>605</v>
      </c>
      <c r="C309" s="71" t="s">
        <v>104</v>
      </c>
      <c r="D309" s="3"/>
      <c r="E309" s="3" t="s">
        <v>257</v>
      </c>
      <c r="F309" s="3" t="s">
        <v>87</v>
      </c>
      <c r="G309" s="3" t="s">
        <v>640</v>
      </c>
      <c r="H309" s="76">
        <v>6586</v>
      </c>
      <c r="I309" s="3" t="s">
        <v>88</v>
      </c>
      <c r="J309" s="3" t="s">
        <v>377</v>
      </c>
      <c r="K309" s="3" t="s">
        <v>479</v>
      </c>
      <c r="L309" s="326" t="s">
        <v>454</v>
      </c>
      <c r="M309" s="3" t="s">
        <v>502</v>
      </c>
      <c r="N309" s="356" cm="1">
        <f t="array" ref="N309">_xlfn.IFS(I309="AEX",H309/400,I309="RP",H309/200)</f>
        <v>16.465</v>
      </c>
      <c r="O309" s="3">
        <v>23.5</v>
      </c>
      <c r="P309" s="75">
        <f t="shared" si="68"/>
        <v>280.25531914893617</v>
      </c>
      <c r="Q309" s="3" t="str" cm="1">
        <f t="array" ref="Q309">_xlfn.IFS(P309&lt;200, "10", P309&lt;400, "12", P309&lt;600, "14", P309&gt;600, "16")</f>
        <v>12</v>
      </c>
      <c r="R309" s="75">
        <f t="shared" si="69"/>
        <v>4.9394999999999998</v>
      </c>
      <c r="S309" s="75">
        <f t="shared" ref="S309:S355" si="74">R309/O309</f>
        <v>0.21019148936170212</v>
      </c>
      <c r="T309" s="76">
        <v>3963</v>
      </c>
      <c r="U309" s="306">
        <f t="shared" si="35"/>
        <v>60.173094442757368</v>
      </c>
      <c r="X309" s="2">
        <v>45996</v>
      </c>
      <c r="Y309" s="3" t="s">
        <v>172</v>
      </c>
      <c r="Z309" s="3" t="s">
        <v>87</v>
      </c>
      <c r="AA309" s="76">
        <v>3963</v>
      </c>
    </row>
    <row r="310" spans="1:28" ht="16.5" customHeight="1" x14ac:dyDescent="0.35">
      <c r="A310" s="351">
        <v>45996</v>
      </c>
      <c r="B310" s="76" t="s">
        <v>611</v>
      </c>
      <c r="C310" s="71" t="s">
        <v>104</v>
      </c>
      <c r="D310" s="3"/>
      <c r="E310" s="3" t="s">
        <v>87</v>
      </c>
      <c r="F310" s="3">
        <v>0.01</v>
      </c>
      <c r="G310" s="3" t="s">
        <v>640</v>
      </c>
      <c r="H310" s="76">
        <v>68194</v>
      </c>
      <c r="I310" s="3" t="s">
        <v>70</v>
      </c>
      <c r="J310" s="3" t="s">
        <v>195</v>
      </c>
      <c r="K310" s="327" t="s">
        <v>489</v>
      </c>
      <c r="L310" s="326" t="s">
        <v>459</v>
      </c>
      <c r="M310" s="3">
        <v>40</v>
      </c>
      <c r="N310" s="356" cm="1">
        <f t="array" ref="N310">_xlfn.IFS(I310="AEX",H310/400,I310="RP",H310/200)</f>
        <v>340.97</v>
      </c>
      <c r="O310" s="3">
        <v>709</v>
      </c>
      <c r="P310" s="75">
        <f t="shared" ref="P310" si="75">H310/O310</f>
        <v>96.18335684062059</v>
      </c>
      <c r="Q310" s="3" t="str" cm="1">
        <f t="array" ref="Q310">_xlfn.IFS(P310&lt;200, "10", P310&lt;400, "12", P310&lt;600, "14", P310&gt;600, "16")</f>
        <v>10</v>
      </c>
      <c r="R310" s="75">
        <f t="shared" ref="R310" si="76">IF(I310="AEX",H310*0.3/400,H310*0.3/200)</f>
        <v>102.291</v>
      </c>
      <c r="S310" s="75">
        <f t="shared" ref="S310" si="77">R310/O310</f>
        <v>0.14427503526093088</v>
      </c>
      <c r="T310" s="76">
        <v>33872</v>
      </c>
      <c r="U310" s="306">
        <f t="shared" si="35"/>
        <v>49.670058949467695</v>
      </c>
      <c r="V310" s="76">
        <v>1162.8</v>
      </c>
    </row>
    <row r="311" spans="1:28" ht="16.5" customHeight="1" x14ac:dyDescent="0.35">
      <c r="A311" s="351">
        <v>45996</v>
      </c>
      <c r="B311" s="76" t="s">
        <v>623</v>
      </c>
      <c r="C311" s="71" t="s">
        <v>104</v>
      </c>
      <c r="D311" s="3"/>
      <c r="E311" s="3" t="s">
        <v>257</v>
      </c>
      <c r="F311" s="3" t="s">
        <v>87</v>
      </c>
      <c r="G311" s="3" t="s">
        <v>641</v>
      </c>
      <c r="H311" s="76">
        <v>1041</v>
      </c>
      <c r="I311" s="3" t="s">
        <v>70</v>
      </c>
      <c r="J311" s="3" t="s">
        <v>195</v>
      </c>
      <c r="K311" s="3" t="s">
        <v>610</v>
      </c>
      <c r="L311" s="326" t="s">
        <v>609</v>
      </c>
      <c r="M311" s="3">
        <v>60</v>
      </c>
      <c r="N311" s="356" cm="1">
        <f t="array" ref="N311">_xlfn.IFS(I311="AEX",H311/400,I311="RP",H311/200)</f>
        <v>5.2050000000000001</v>
      </c>
      <c r="O311" s="3">
        <v>22</v>
      </c>
      <c r="P311" s="75">
        <f t="shared" si="68"/>
        <v>47.31818181818182</v>
      </c>
      <c r="Q311" s="3" t="str" cm="1">
        <f t="array" ref="Q311">_xlfn.IFS(P311&lt;200, "10", P311&lt;400, "12", P311&lt;600, "14", P311&gt;600, "16")</f>
        <v>10</v>
      </c>
      <c r="R311" s="75">
        <f t="shared" si="69"/>
        <v>1.5615000000000001</v>
      </c>
      <c r="S311" s="75">
        <f t="shared" si="74"/>
        <v>7.0977272727272736E-2</v>
      </c>
      <c r="T311" s="76">
        <v>151</v>
      </c>
      <c r="U311" s="306">
        <f t="shared" si="35"/>
        <v>14.505283381364073</v>
      </c>
    </row>
    <row r="312" spans="1:28" ht="16.5" customHeight="1" x14ac:dyDescent="0.35">
      <c r="A312" s="351">
        <v>45996</v>
      </c>
      <c r="B312" s="76" t="s">
        <v>614</v>
      </c>
      <c r="C312" s="71" t="s">
        <v>104</v>
      </c>
      <c r="D312" s="3"/>
      <c r="E312" s="3" t="s">
        <v>87</v>
      </c>
      <c r="F312" s="3" t="s">
        <v>87</v>
      </c>
      <c r="G312" s="3" t="s">
        <v>641</v>
      </c>
      <c r="H312" s="76">
        <v>1644</v>
      </c>
      <c r="I312" s="3" t="s">
        <v>88</v>
      </c>
      <c r="J312" s="3" t="s">
        <v>89</v>
      </c>
      <c r="K312" s="3" t="s">
        <v>706</v>
      </c>
      <c r="L312" s="326" t="s">
        <v>454</v>
      </c>
      <c r="M312" s="3" t="s">
        <v>502</v>
      </c>
      <c r="N312" s="356" cm="1">
        <f t="array" ref="N312">_xlfn.IFS(I312="AEX",H312/400,I312="RP",H312/200)</f>
        <v>4.1100000000000003</v>
      </c>
      <c r="O312" s="3">
        <v>7.9</v>
      </c>
      <c r="P312" s="75">
        <f>H312/O312</f>
        <v>208.1012658227848</v>
      </c>
      <c r="Q312" s="3" t="str" cm="1">
        <f t="array" ref="Q312">_xlfn.IFS(P312&lt;200, "10", P312&lt;400, "12", P312&lt;600, "14", P312&gt;600, "16")</f>
        <v>12</v>
      </c>
      <c r="R312" s="75">
        <f>IF(I312="AEX",H312*0.3/400,H312*0.3/200)</f>
        <v>1.2329999999999999</v>
      </c>
      <c r="S312" s="75">
        <f>R312/O312</f>
        <v>0.15607594936708857</v>
      </c>
      <c r="U312" s="306">
        <f t="shared" ref="U312:U317" si="78">T312/H312*100</f>
        <v>0</v>
      </c>
      <c r="AA312" s="76">
        <v>1018</v>
      </c>
    </row>
    <row r="313" spans="1:28" ht="16.5" customHeight="1" x14ac:dyDescent="0.35">
      <c r="A313" s="351">
        <v>45996</v>
      </c>
      <c r="B313" s="76" t="s">
        <v>618</v>
      </c>
      <c r="C313" s="71" t="s">
        <v>104</v>
      </c>
      <c r="D313" s="3"/>
      <c r="E313" s="3" t="s">
        <v>257</v>
      </c>
      <c r="F313" s="3" t="s">
        <v>87</v>
      </c>
      <c r="G313" s="3" t="s">
        <v>641</v>
      </c>
      <c r="H313" s="76">
        <v>437</v>
      </c>
      <c r="I313" s="3" t="s">
        <v>88</v>
      </c>
      <c r="J313" s="3" t="s">
        <v>377</v>
      </c>
      <c r="K313" s="3" t="s">
        <v>496</v>
      </c>
      <c r="L313" s="326" t="s">
        <v>455</v>
      </c>
      <c r="M313" s="3">
        <v>60</v>
      </c>
      <c r="N313" s="356" cm="1">
        <f t="array" ref="N313">_xlfn.IFS(I313="AEX",H313/400,I313="RP",H313/200)</f>
        <v>1.0925</v>
      </c>
      <c r="O313" s="3">
        <v>22</v>
      </c>
      <c r="P313" s="75">
        <f t="shared" ref="P313" si="79">H313/O313</f>
        <v>19.863636363636363</v>
      </c>
      <c r="Q313" s="3" t="str" cm="1">
        <f t="array" ref="Q313">_xlfn.IFS(P313&lt;200, "10", P313&lt;400, "12", P313&lt;600, "14", P313&gt;600, "16")</f>
        <v>10</v>
      </c>
      <c r="R313" s="75">
        <f t="shared" ref="R313" si="80">IF(I313="AEX",H313*0.3/400,H313*0.3/200)</f>
        <v>0.32774999999999999</v>
      </c>
      <c r="S313" s="75">
        <f t="shared" ref="S313" si="81">R313/O313</f>
        <v>1.4897727272727273E-2</v>
      </c>
      <c r="T313" s="76">
        <v>246</v>
      </c>
      <c r="U313" s="306">
        <f t="shared" si="78"/>
        <v>56.292906178489702</v>
      </c>
      <c r="V313" s="76">
        <v>7.5</v>
      </c>
      <c r="W313" s="3" t="s">
        <v>87</v>
      </c>
      <c r="X313" s="2">
        <v>45996</v>
      </c>
      <c r="Y313" s="3" t="s">
        <v>172</v>
      </c>
      <c r="Z313" s="3" t="s">
        <v>87</v>
      </c>
      <c r="AA313" s="76">
        <v>280</v>
      </c>
    </row>
    <row r="314" spans="1:28" ht="16.5" customHeight="1" x14ac:dyDescent="0.35">
      <c r="A314" s="351">
        <v>45996</v>
      </c>
      <c r="B314" s="76" t="s">
        <v>621</v>
      </c>
      <c r="C314" s="348" t="s">
        <v>622</v>
      </c>
      <c r="D314" s="3"/>
      <c r="G314" s="3" t="s">
        <v>640</v>
      </c>
      <c r="H314" s="76">
        <v>191197.8</v>
      </c>
      <c r="M314" s="3"/>
      <c r="P314" s="75"/>
      <c r="R314" s="75"/>
      <c r="S314" s="75"/>
      <c r="T314" s="76">
        <v>191197.8</v>
      </c>
      <c r="U314" s="306">
        <f t="shared" si="78"/>
        <v>100</v>
      </c>
      <c r="V314" s="76">
        <v>708.14</v>
      </c>
      <c r="W314" s="3" t="s">
        <v>87</v>
      </c>
      <c r="X314" s="2">
        <v>45996</v>
      </c>
      <c r="Y314" s="3" t="s">
        <v>318</v>
      </c>
      <c r="Z314" s="3" t="s">
        <v>87</v>
      </c>
      <c r="AA314" s="76">
        <v>172526.5</v>
      </c>
      <c r="AB314" s="76">
        <v>382.5</v>
      </c>
    </row>
    <row r="315" spans="1:28" ht="16.5" customHeight="1" x14ac:dyDescent="0.35">
      <c r="A315" s="351">
        <v>45999</v>
      </c>
      <c r="B315" s="76" t="s">
        <v>615</v>
      </c>
      <c r="C315" s="71" t="s">
        <v>104</v>
      </c>
      <c r="D315" s="3"/>
      <c r="E315" s="3" t="s">
        <v>86</v>
      </c>
      <c r="F315" s="3" t="s">
        <v>87</v>
      </c>
      <c r="G315" s="3" t="s">
        <v>640</v>
      </c>
      <c r="H315" s="76">
        <v>2684</v>
      </c>
      <c r="I315" s="3" t="s">
        <v>88</v>
      </c>
      <c r="J315" s="3" t="s">
        <v>89</v>
      </c>
      <c r="K315" s="3" t="s">
        <v>479</v>
      </c>
      <c r="L315" s="326" t="s">
        <v>454</v>
      </c>
      <c r="M315" s="3" t="s">
        <v>502</v>
      </c>
      <c r="N315" s="356" cm="1">
        <f t="array" ref="N315">_xlfn.IFS(I315="AEX",H315/400,I315="RP",H315/200)</f>
        <v>6.71</v>
      </c>
      <c r="O315" s="3">
        <v>16.100000000000001</v>
      </c>
      <c r="P315" s="75">
        <f>H315/O315</f>
        <v>166.70807453416148</v>
      </c>
      <c r="Q315" s="3" t="str" cm="1">
        <f t="array" ref="Q315">_xlfn.IFS(P315&lt;200, "10", P315&lt;400, "12", P315&lt;600, "14", P315&gt;600, "16")</f>
        <v>10</v>
      </c>
      <c r="R315" s="75">
        <f>IF(I315="AEX",H315*0.3/400,H315*0.3/200)</f>
        <v>2.0129999999999999</v>
      </c>
      <c r="S315" s="75">
        <f>R315/O315</f>
        <v>0.12503105590062111</v>
      </c>
      <c r="T315" s="76">
        <v>1017</v>
      </c>
      <c r="U315" s="306">
        <f t="shared" si="78"/>
        <v>37.891207153502236</v>
      </c>
      <c r="AA315" s="76">
        <v>1019</v>
      </c>
    </row>
    <row r="316" spans="1:28" ht="16.5" customHeight="1" x14ac:dyDescent="0.35">
      <c r="A316" s="351">
        <v>45999</v>
      </c>
      <c r="B316" s="76" t="s">
        <v>617</v>
      </c>
      <c r="C316" s="71" t="s">
        <v>104</v>
      </c>
      <c r="D316" s="3"/>
      <c r="E316" s="3" t="s">
        <v>194</v>
      </c>
      <c r="F316" s="3" t="s">
        <v>87</v>
      </c>
      <c r="G316" s="3" t="s">
        <v>640</v>
      </c>
      <c r="H316" s="76">
        <v>20535</v>
      </c>
      <c r="I316" s="3" t="s">
        <v>88</v>
      </c>
      <c r="J316" s="3" t="s">
        <v>377</v>
      </c>
      <c r="K316" s="3" t="s">
        <v>479</v>
      </c>
      <c r="L316" s="326" t="s">
        <v>454</v>
      </c>
      <c r="M316" s="3" t="s">
        <v>502</v>
      </c>
      <c r="N316" s="356" cm="1">
        <f t="array" ref="N316">_xlfn.IFS(I316="AEX",H316/400,I316="RP",H316/200)</f>
        <v>51.337499999999999</v>
      </c>
      <c r="O316" s="3">
        <v>63.8</v>
      </c>
      <c r="P316" s="75">
        <f>H316/O316</f>
        <v>321.86520376175548</v>
      </c>
      <c r="Q316" s="3" t="str" cm="1">
        <f t="array" ref="Q316">_xlfn.IFS(P316&lt;200, "10", P316&lt;400, "12", P316&lt;600, "14", P316&gt;600, "16")</f>
        <v>12</v>
      </c>
      <c r="R316" s="75">
        <f>IF(I316="AEX",H316*0.3/400,H316*0.3/200)</f>
        <v>15.401249999999999</v>
      </c>
      <c r="S316" s="75">
        <f>R316/O316</f>
        <v>0.24139890282131662</v>
      </c>
      <c r="T316" s="76">
        <v>11035</v>
      </c>
      <c r="U316" s="306">
        <f t="shared" si="78"/>
        <v>53.737521305088876</v>
      </c>
      <c r="V316" s="76">
        <v>180.08</v>
      </c>
      <c r="W316" s="3" t="s">
        <v>91</v>
      </c>
      <c r="X316" s="2">
        <v>45999</v>
      </c>
      <c r="Y316" s="3" t="s">
        <v>97</v>
      </c>
      <c r="Z316" s="3" t="s">
        <v>87</v>
      </c>
      <c r="AA316" s="76">
        <v>11309.57</v>
      </c>
      <c r="AB316" s="76">
        <v>277.74</v>
      </c>
    </row>
    <row r="317" spans="1:28" ht="16.5" customHeight="1" x14ac:dyDescent="0.35">
      <c r="A317" s="351">
        <v>45999</v>
      </c>
      <c r="B317" s="76" t="s">
        <v>619</v>
      </c>
      <c r="C317" s="71" t="s">
        <v>104</v>
      </c>
      <c r="D317" s="3"/>
      <c r="E317" s="3" t="s">
        <v>257</v>
      </c>
      <c r="F317" s="3">
        <v>0.01</v>
      </c>
      <c r="G317" s="3" t="s">
        <v>640</v>
      </c>
      <c r="H317" s="76">
        <v>33872</v>
      </c>
      <c r="I317" s="3" t="s">
        <v>88</v>
      </c>
      <c r="J317" s="3" t="s">
        <v>377</v>
      </c>
      <c r="K317" s="3" t="s">
        <v>496</v>
      </c>
      <c r="L317" s="326" t="s">
        <v>455</v>
      </c>
      <c r="M317" s="3">
        <v>60</v>
      </c>
      <c r="N317" s="356" cm="1">
        <f t="array" ref="N317">_xlfn.IFS(I317="AEX",H317/400,I317="RP",H317/200)</f>
        <v>84.68</v>
      </c>
      <c r="O317" s="3">
        <v>288</v>
      </c>
      <c r="P317" s="75">
        <f>H317/O317</f>
        <v>117.61111111111111</v>
      </c>
      <c r="Q317" s="3">
        <v>5</v>
      </c>
      <c r="R317" s="75">
        <f>IF(I317="AEX",H317*0.3/400,H317*0.3/200)</f>
        <v>25.404</v>
      </c>
      <c r="S317" s="75">
        <f>R317/O317</f>
        <v>8.8208333333333333E-2</v>
      </c>
      <c r="T317" s="76">
        <v>27526</v>
      </c>
      <c r="U317" s="306">
        <f t="shared" si="78"/>
        <v>81.264761454888983</v>
      </c>
      <c r="V317" s="76">
        <v>448.9</v>
      </c>
      <c r="W317" s="3" t="s">
        <v>87</v>
      </c>
      <c r="X317" s="2">
        <v>46001</v>
      </c>
      <c r="Y317" s="3" t="s">
        <v>318</v>
      </c>
      <c r="Z317" s="3" t="s">
        <v>87</v>
      </c>
      <c r="AA317" s="76">
        <v>27389.42</v>
      </c>
      <c r="AB317" s="76">
        <v>217.35</v>
      </c>
    </row>
    <row r="318" spans="1:28" ht="16.5" customHeight="1" x14ac:dyDescent="0.35">
      <c r="A318" s="351">
        <v>45999</v>
      </c>
      <c r="B318" s="76" t="s">
        <v>612</v>
      </c>
      <c r="C318" s="71" t="s">
        <v>104</v>
      </c>
      <c r="D318" s="3"/>
      <c r="E318" s="3" t="s">
        <v>87</v>
      </c>
      <c r="F318" s="3" t="s">
        <v>87</v>
      </c>
      <c r="G318" s="3" t="s">
        <v>640</v>
      </c>
      <c r="H318" s="76">
        <v>73313</v>
      </c>
      <c r="I318" s="3" t="s">
        <v>88</v>
      </c>
      <c r="J318" s="3" t="s">
        <v>89</v>
      </c>
      <c r="K318" s="3" t="s">
        <v>706</v>
      </c>
      <c r="L318" s="326" t="s">
        <v>454</v>
      </c>
      <c r="M318" s="3" t="s">
        <v>502</v>
      </c>
      <c r="N318" s="356" cm="1">
        <f t="array" ref="N318">_xlfn.IFS(I318="AEX",H318/400,I318="RP",H318/200)</f>
        <v>183.2825</v>
      </c>
      <c r="O318" s="3">
        <v>288</v>
      </c>
      <c r="P318" s="75">
        <f t="shared" si="68"/>
        <v>254.55902777777777</v>
      </c>
      <c r="Q318" s="3" t="str" cm="1">
        <f t="array" ref="Q318">_xlfn.IFS(P318&lt;200, "10", P318&lt;400, "12", P318&lt;600, "14", P318&gt;600, "16")</f>
        <v>12</v>
      </c>
      <c r="R318" s="75">
        <f t="shared" si="69"/>
        <v>54.984749999999991</v>
      </c>
      <c r="S318" s="75">
        <f t="shared" si="74"/>
        <v>0.19091927083333329</v>
      </c>
      <c r="T318" s="76">
        <v>29288</v>
      </c>
      <c r="U318" s="306">
        <f t="shared" si="35"/>
        <v>39.949258658082471</v>
      </c>
      <c r="V318" s="76">
        <v>488.79</v>
      </c>
      <c r="W318" s="3" t="s">
        <v>91</v>
      </c>
      <c r="X318" s="2">
        <v>46000</v>
      </c>
      <c r="Y318" s="3" t="s">
        <v>318</v>
      </c>
      <c r="Z318" s="3" t="s">
        <v>87</v>
      </c>
      <c r="AA318" s="76">
        <v>30174</v>
      </c>
      <c r="AB318" s="76">
        <v>219.76</v>
      </c>
    </row>
    <row r="319" spans="1:28" ht="16.5" customHeight="1" x14ac:dyDescent="0.35">
      <c r="A319" s="351">
        <v>45999</v>
      </c>
      <c r="B319" s="76" t="s">
        <v>613</v>
      </c>
      <c r="C319" s="71" t="s">
        <v>104</v>
      </c>
      <c r="D319" s="3"/>
      <c r="E319" s="3" t="s">
        <v>87</v>
      </c>
      <c r="F319" s="3" t="s">
        <v>87</v>
      </c>
      <c r="G319" s="3" t="s">
        <v>640</v>
      </c>
      <c r="H319" s="76">
        <v>84104</v>
      </c>
      <c r="I319" s="3" t="s">
        <v>88</v>
      </c>
      <c r="J319" s="3" t="s">
        <v>377</v>
      </c>
      <c r="K319" s="3" t="s">
        <v>706</v>
      </c>
      <c r="L319" s="326" t="s">
        <v>454</v>
      </c>
      <c r="M319" s="3" t="s">
        <v>502</v>
      </c>
      <c r="N319" s="356" cm="1">
        <f t="array" ref="N319">_xlfn.IFS(I319="AEX",H319/400,I319="RP",H319/200)</f>
        <v>210.26</v>
      </c>
      <c r="O319" s="3">
        <v>298</v>
      </c>
      <c r="P319" s="75">
        <f t="shared" si="68"/>
        <v>282.2281879194631</v>
      </c>
      <c r="Q319" s="3" t="str" cm="1">
        <f t="array" ref="Q319">_xlfn.IFS(P319&lt;200, "10", P319&lt;400, "12", P319&lt;600, "14", P319&gt;600, "16")</f>
        <v>12</v>
      </c>
      <c r="R319" s="75">
        <f t="shared" si="69"/>
        <v>63.078000000000003</v>
      </c>
      <c r="S319" s="75">
        <f t="shared" si="74"/>
        <v>0.21167114093959732</v>
      </c>
      <c r="T319" s="76">
        <v>34985</v>
      </c>
      <c r="U319" s="306">
        <f t="shared" si="35"/>
        <v>41.597308094739844</v>
      </c>
      <c r="V319" s="76">
        <v>490.82</v>
      </c>
      <c r="W319" s="3" t="s">
        <v>91</v>
      </c>
      <c r="X319" s="2">
        <v>46000</v>
      </c>
      <c r="Y319" s="3" t="s">
        <v>95</v>
      </c>
      <c r="Z319" s="3" t="s">
        <v>87</v>
      </c>
      <c r="AA319" s="76">
        <v>34352.410000000003</v>
      </c>
      <c r="AB319" s="76">
        <v>220.77</v>
      </c>
    </row>
    <row r="320" spans="1:28" ht="16.5" customHeight="1" x14ac:dyDescent="0.35">
      <c r="A320" s="351">
        <v>45999</v>
      </c>
      <c r="B320" s="76" t="s">
        <v>616</v>
      </c>
      <c r="C320" s="71" t="s">
        <v>104</v>
      </c>
      <c r="D320" s="3"/>
      <c r="E320" s="3" t="s">
        <v>87</v>
      </c>
      <c r="F320" s="3" t="s">
        <v>87</v>
      </c>
      <c r="G320" s="3" t="s">
        <v>640</v>
      </c>
      <c r="H320" s="76">
        <v>11111</v>
      </c>
      <c r="I320" s="3" t="s">
        <v>88</v>
      </c>
      <c r="J320" s="3" t="s">
        <v>89</v>
      </c>
      <c r="K320" s="3" t="s">
        <v>479</v>
      </c>
      <c r="L320" s="326" t="s">
        <v>454</v>
      </c>
      <c r="M320" s="3" t="s">
        <v>502</v>
      </c>
      <c r="N320" s="356" cm="1">
        <f t="array" ref="N320">_xlfn.IFS(I320="AEX",H320/400,I320="RP",H320/200)</f>
        <v>27.7775</v>
      </c>
      <c r="O320" s="3">
        <v>63.8</v>
      </c>
      <c r="P320" s="75">
        <f t="shared" ref="P320" si="82">H320/O320</f>
        <v>174.15360501567397</v>
      </c>
      <c r="Q320" s="3" t="str" cm="1">
        <f t="array" ref="Q320">_xlfn.IFS(P320&lt;200, "10", P320&lt;400, "12", P320&lt;600, "14", P320&gt;600, "16")</f>
        <v>10</v>
      </c>
      <c r="R320" s="75">
        <f t="shared" ref="R320" si="83">IF(I320="AEX",H320*0.3/400,H320*0.3/200)</f>
        <v>8.3332499999999996</v>
      </c>
      <c r="S320" s="75">
        <f t="shared" ref="S320" si="84">R320/O320</f>
        <v>0.13061520376175548</v>
      </c>
      <c r="T320" s="76">
        <v>4792.5</v>
      </c>
      <c r="U320" s="306">
        <f t="shared" ref="U320:U336" si="85">T320/H320*100</f>
        <v>43.132931329313294</v>
      </c>
      <c r="V320" s="76">
        <v>95.85</v>
      </c>
      <c r="W320" s="3" t="s">
        <v>91</v>
      </c>
      <c r="X320" s="2">
        <v>46000</v>
      </c>
      <c r="Y320" s="3" t="s">
        <v>97</v>
      </c>
      <c r="Z320" s="3" t="s">
        <v>87</v>
      </c>
      <c r="AA320" s="76">
        <v>4696.58</v>
      </c>
      <c r="AB320" s="76">
        <v>142.58000000000001</v>
      </c>
    </row>
    <row r="321" spans="1:30" ht="16.5" customHeight="1" x14ac:dyDescent="0.35">
      <c r="A321" s="351">
        <v>45999</v>
      </c>
      <c r="B321" s="76" t="s">
        <v>624</v>
      </c>
      <c r="C321" s="71" t="s">
        <v>104</v>
      </c>
      <c r="D321" s="3"/>
      <c r="E321" s="3" t="s">
        <v>87</v>
      </c>
      <c r="F321" s="3" t="s">
        <v>87</v>
      </c>
      <c r="G321" s="3" t="s">
        <v>641</v>
      </c>
      <c r="H321" s="76">
        <v>480</v>
      </c>
      <c r="I321" s="3" t="s">
        <v>70</v>
      </c>
      <c r="J321" s="3" t="s">
        <v>195</v>
      </c>
      <c r="K321" s="3" t="s">
        <v>610</v>
      </c>
      <c r="L321" s="326" t="s">
        <v>609</v>
      </c>
      <c r="M321" s="3">
        <v>60</v>
      </c>
      <c r="N321" s="356" cm="1">
        <f t="array" ref="N321">_xlfn.IFS(I321="AEX",H321/400,I321="RP",H321/200)</f>
        <v>2.4</v>
      </c>
      <c r="O321" s="3">
        <v>22</v>
      </c>
      <c r="P321" s="75">
        <f t="shared" si="68"/>
        <v>21.818181818181817</v>
      </c>
      <c r="Q321" s="3" t="str" cm="1">
        <f t="array" ref="Q321">_xlfn.IFS(P321&lt;200, "10", P321&lt;400, "12", P321&lt;600, "14", P321&gt;600, "16")</f>
        <v>10</v>
      </c>
      <c r="R321" s="75">
        <f t="shared" si="69"/>
        <v>0.72</v>
      </c>
      <c r="S321" s="75">
        <f t="shared" si="74"/>
        <v>3.2727272727272723E-2</v>
      </c>
      <c r="U321" s="306">
        <f t="shared" si="85"/>
        <v>0</v>
      </c>
      <c r="AD321" s="47" t="s">
        <v>633</v>
      </c>
    </row>
    <row r="322" spans="1:30" ht="16.5" customHeight="1" x14ac:dyDescent="0.35">
      <c r="A322" s="351">
        <v>46000</v>
      </c>
      <c r="B322" s="76" t="s">
        <v>625</v>
      </c>
      <c r="C322" s="71" t="s">
        <v>104</v>
      </c>
      <c r="D322" s="3"/>
      <c r="E322" s="3" t="s">
        <v>194</v>
      </c>
      <c r="F322" s="3" t="s">
        <v>87</v>
      </c>
      <c r="G322" s="3" t="s">
        <v>641</v>
      </c>
      <c r="H322" s="76">
        <v>6946</v>
      </c>
      <c r="I322" s="3" t="s">
        <v>88</v>
      </c>
      <c r="J322" s="3" t="s">
        <v>89</v>
      </c>
      <c r="K322" s="3" t="s">
        <v>634</v>
      </c>
      <c r="L322" s="326" t="s">
        <v>454</v>
      </c>
      <c r="M322" s="3" t="s">
        <v>502</v>
      </c>
      <c r="N322" s="356" cm="1">
        <f t="array" ref="N322">_xlfn.IFS(I322="AEX",H322/400,I322="RP",H322/200)</f>
        <v>17.364999999999998</v>
      </c>
      <c r="O322" s="3">
        <v>23.5</v>
      </c>
      <c r="P322" s="75">
        <f t="shared" si="68"/>
        <v>295.57446808510639</v>
      </c>
      <c r="Q322" s="3" t="str" cm="1">
        <f t="array" ref="Q322">_xlfn.IFS(P322&lt;200, "10", P322&lt;400, "12", P322&lt;600, "14", P322&gt;600, "16")</f>
        <v>12</v>
      </c>
      <c r="R322" s="75">
        <f t="shared" si="69"/>
        <v>5.2094999999999994</v>
      </c>
      <c r="S322" s="75">
        <f t="shared" si="74"/>
        <v>0.22168085106382976</v>
      </c>
      <c r="U322" s="306">
        <f t="shared" si="85"/>
        <v>0</v>
      </c>
    </row>
    <row r="323" spans="1:30" ht="16.5" customHeight="1" x14ac:dyDescent="0.35">
      <c r="A323" s="351">
        <v>46000</v>
      </c>
      <c r="B323" s="76" t="s">
        <v>626</v>
      </c>
      <c r="C323" s="71" t="s">
        <v>104</v>
      </c>
      <c r="D323" s="3"/>
      <c r="E323" s="3" t="s">
        <v>194</v>
      </c>
      <c r="F323" s="3" t="s">
        <v>87</v>
      </c>
      <c r="G323" s="3" t="s">
        <v>641</v>
      </c>
      <c r="H323" s="76">
        <v>6877</v>
      </c>
      <c r="I323" s="3" t="s">
        <v>88</v>
      </c>
      <c r="J323" s="3" t="s">
        <v>377</v>
      </c>
      <c r="K323" s="3" t="s">
        <v>634</v>
      </c>
      <c r="L323" s="326" t="s">
        <v>454</v>
      </c>
      <c r="M323" s="3" t="s">
        <v>502</v>
      </c>
      <c r="N323" s="356" cm="1">
        <f t="array" ref="N323">_xlfn.IFS(I323="AEX",H323/400,I323="RP",H323/200)</f>
        <v>17.192499999999999</v>
      </c>
      <c r="O323" s="3">
        <v>24</v>
      </c>
      <c r="P323" s="75">
        <f t="shared" si="68"/>
        <v>286.54166666666669</v>
      </c>
      <c r="Q323" s="3" t="str" cm="1">
        <f t="array" ref="Q323">_xlfn.IFS(P323&lt;200, "10", P323&lt;400, "12", P323&lt;600, "14", P323&gt;600, "16")</f>
        <v>12</v>
      </c>
      <c r="R323" s="75">
        <f t="shared" si="69"/>
        <v>5.1577500000000001</v>
      </c>
      <c r="S323" s="75">
        <f t="shared" si="74"/>
        <v>0.21490624999999999</v>
      </c>
      <c r="U323" s="306">
        <f t="shared" si="85"/>
        <v>0</v>
      </c>
    </row>
    <row r="324" spans="1:30" ht="16.5" customHeight="1" x14ac:dyDescent="0.35">
      <c r="A324" s="351">
        <v>46000</v>
      </c>
      <c r="B324" s="76" t="s">
        <v>627</v>
      </c>
      <c r="C324" s="71" t="s">
        <v>104</v>
      </c>
      <c r="D324" s="3"/>
      <c r="E324" s="3" t="s">
        <v>194</v>
      </c>
      <c r="F324" s="3" t="s">
        <v>87</v>
      </c>
      <c r="G324" s="3" t="s">
        <v>641</v>
      </c>
      <c r="H324" s="76">
        <v>8059</v>
      </c>
      <c r="I324" s="3" t="s">
        <v>88</v>
      </c>
      <c r="J324" s="3" t="s">
        <v>377</v>
      </c>
      <c r="K324" s="3" t="s">
        <v>479</v>
      </c>
      <c r="L324" s="326" t="s">
        <v>454</v>
      </c>
      <c r="M324" s="3" t="s">
        <v>502</v>
      </c>
      <c r="N324" s="356" cm="1">
        <f t="array" ref="N324">_xlfn.IFS(I324="AEX",H324/400,I324="RP",H324/200)</f>
        <v>20.147500000000001</v>
      </c>
      <c r="O324" s="3">
        <v>23.5</v>
      </c>
      <c r="P324" s="75">
        <f t="shared" si="68"/>
        <v>342.93617021276594</v>
      </c>
      <c r="Q324" s="3" t="str" cm="1">
        <f t="array" ref="Q324">_xlfn.IFS(P324&lt;200, "10", P324&lt;400, "12", P324&lt;600, "14", P324&gt;600, "16")</f>
        <v>12</v>
      </c>
      <c r="R324" s="75">
        <f t="shared" si="69"/>
        <v>6.0442499999999999</v>
      </c>
      <c r="S324" s="75">
        <f t="shared" si="74"/>
        <v>0.25720212765957445</v>
      </c>
      <c r="U324" s="306">
        <f t="shared" si="85"/>
        <v>0</v>
      </c>
    </row>
    <row r="325" spans="1:30" ht="16.5" customHeight="1" x14ac:dyDescent="0.35">
      <c r="A325" s="351">
        <v>46000</v>
      </c>
      <c r="B325" s="76" t="s">
        <v>628</v>
      </c>
      <c r="C325" s="71" t="s">
        <v>104</v>
      </c>
      <c r="D325" s="3"/>
      <c r="E325" s="3" t="s">
        <v>86</v>
      </c>
      <c r="F325" s="3" t="s">
        <v>87</v>
      </c>
      <c r="G325" s="3" t="s">
        <v>640</v>
      </c>
      <c r="H325" s="76">
        <v>39695</v>
      </c>
      <c r="I325" s="3" t="s">
        <v>88</v>
      </c>
      <c r="J325" s="3" t="s">
        <v>377</v>
      </c>
      <c r="K325" s="3" t="s">
        <v>479</v>
      </c>
      <c r="L325" s="326" t="s">
        <v>454</v>
      </c>
      <c r="M325" s="3" t="s">
        <v>502</v>
      </c>
      <c r="N325" s="356" cm="1">
        <f t="array" ref="N325">_xlfn.IFS(I325="AEX",H325/400,I325="RP",H325/200)</f>
        <v>99.237499999999997</v>
      </c>
      <c r="O325" s="3">
        <v>298</v>
      </c>
      <c r="P325" s="75">
        <f>H325/O325</f>
        <v>133.20469798657717</v>
      </c>
      <c r="Q325" s="3" t="str" cm="1">
        <f t="array" ref="Q325">_xlfn.IFS(P325&lt;200, "10", P325&lt;400, "12", P325&lt;600, "14", P325&gt;600, "16")</f>
        <v>10</v>
      </c>
      <c r="R325" s="75">
        <f t="shared" si="69"/>
        <v>29.771249999999998</v>
      </c>
      <c r="S325" s="75">
        <f t="shared" si="74"/>
        <v>9.990352348993288E-2</v>
      </c>
      <c r="T325" s="76">
        <v>16499</v>
      </c>
      <c r="U325" s="306">
        <f t="shared" si="85"/>
        <v>41.564428769366415</v>
      </c>
      <c r="V325" s="76">
        <v>320.69</v>
      </c>
      <c r="W325" s="3" t="s">
        <v>91</v>
      </c>
      <c r="X325" s="2">
        <v>46001</v>
      </c>
      <c r="Y325" s="3" t="s">
        <v>318</v>
      </c>
      <c r="Z325" s="3" t="s">
        <v>87</v>
      </c>
      <c r="AA325" s="76">
        <v>16860.84</v>
      </c>
      <c r="AB325" s="76">
        <v>213.46</v>
      </c>
    </row>
    <row r="326" spans="1:30" ht="16.5" customHeight="1" x14ac:dyDescent="0.35">
      <c r="A326" s="351">
        <v>46000</v>
      </c>
      <c r="B326" s="76" t="s">
        <v>635</v>
      </c>
      <c r="C326" s="71" t="s">
        <v>104</v>
      </c>
      <c r="D326" s="3"/>
      <c r="E326" s="3" t="s">
        <v>86</v>
      </c>
      <c r="F326" s="3" t="s">
        <v>87</v>
      </c>
      <c r="G326" s="3" t="s">
        <v>640</v>
      </c>
      <c r="H326" s="76">
        <v>5131</v>
      </c>
      <c r="I326" s="3" t="s">
        <v>88</v>
      </c>
      <c r="J326" s="3" t="s">
        <v>89</v>
      </c>
      <c r="K326" s="3" t="s">
        <v>479</v>
      </c>
      <c r="L326" s="326" t="s">
        <v>454</v>
      </c>
      <c r="M326" s="3" t="s">
        <v>502</v>
      </c>
      <c r="N326" s="356" cm="1">
        <f t="array" ref="N326">_xlfn.IFS(I326="AEX",H326/400,I326="RP",H326/200)</f>
        <v>12.827500000000001</v>
      </c>
      <c r="O326" s="3">
        <v>23.5</v>
      </c>
      <c r="P326" s="75">
        <f>H326/O326</f>
        <v>218.34042553191489</v>
      </c>
      <c r="Q326" s="3" t="str" cm="1">
        <f t="array" ref="Q326">_xlfn.IFS(P326&lt;200, "10", P326&lt;400, "12", P326&lt;600, "14", P326&gt;600, "16")</f>
        <v>12</v>
      </c>
      <c r="R326" s="75">
        <v>5</v>
      </c>
      <c r="S326" s="75">
        <f>R326/O326</f>
        <v>0.21276595744680851</v>
      </c>
      <c r="U326" s="306">
        <f t="shared" ref="U326:U332" si="86">T326/H326*100</f>
        <v>0</v>
      </c>
    </row>
    <row r="327" spans="1:30" ht="16.5" customHeight="1" x14ac:dyDescent="0.35">
      <c r="A327" s="351">
        <v>46000</v>
      </c>
      <c r="B327" s="76" t="s">
        <v>631</v>
      </c>
      <c r="C327" s="71" t="s">
        <v>104</v>
      </c>
      <c r="D327" s="3"/>
      <c r="E327" s="3" t="s">
        <v>86</v>
      </c>
      <c r="F327" s="3" t="s">
        <v>87</v>
      </c>
      <c r="G327" s="3" t="s">
        <v>640</v>
      </c>
      <c r="H327" s="76">
        <v>61921</v>
      </c>
      <c r="I327" s="3" t="s">
        <v>88</v>
      </c>
      <c r="J327" s="3" t="s">
        <v>89</v>
      </c>
      <c r="K327" s="3" t="s">
        <v>479</v>
      </c>
      <c r="L327" s="326" t="s">
        <v>454</v>
      </c>
      <c r="M327" s="3" t="s">
        <v>502</v>
      </c>
      <c r="N327" s="356" cm="1">
        <f t="array" ref="N327">_xlfn.IFS(I327="AEX",H327/400,I327="RP",H327/200)</f>
        <v>154.80250000000001</v>
      </c>
      <c r="O327" s="3">
        <v>288</v>
      </c>
      <c r="P327" s="75">
        <f t="shared" ref="P327" si="87">H327/O327</f>
        <v>215.00347222222223</v>
      </c>
      <c r="Q327" s="3" t="str" cm="1">
        <f t="array" ref="Q327">_xlfn.IFS(P327&lt;200, "10", P327&lt;400, "12", P327&lt;600, "14", P327&gt;600, "16")</f>
        <v>12</v>
      </c>
      <c r="R327" s="75">
        <f t="shared" ref="R327" si="88">IF(I327="AEX",H327*0.3/400,H327*0.3/200)</f>
        <v>46.440750000000001</v>
      </c>
      <c r="S327" s="75">
        <f t="shared" ref="S327" si="89">R327/O327</f>
        <v>0.16125260416666667</v>
      </c>
      <c r="T327" s="76">
        <v>34949</v>
      </c>
      <c r="U327" s="306">
        <f t="shared" si="86"/>
        <v>56.441271943282565</v>
      </c>
      <c r="V327" s="76">
        <v>536</v>
      </c>
      <c r="W327" s="3" t="s">
        <v>91</v>
      </c>
      <c r="X327" s="2">
        <v>46001</v>
      </c>
      <c r="Y327" s="3" t="s">
        <v>95</v>
      </c>
      <c r="Z327" s="3" t="s">
        <v>87</v>
      </c>
      <c r="AA327" s="76">
        <v>35740.86</v>
      </c>
      <c r="AB327" s="76">
        <v>217.63</v>
      </c>
    </row>
    <row r="328" spans="1:30" ht="16.5" customHeight="1" x14ac:dyDescent="0.35">
      <c r="A328" s="351">
        <v>46000</v>
      </c>
      <c r="B328" s="76" t="s">
        <v>643</v>
      </c>
      <c r="C328" s="71" t="s">
        <v>622</v>
      </c>
      <c r="D328" s="3"/>
      <c r="E328" s="3" t="s">
        <v>86</v>
      </c>
      <c r="F328" s="3" t="s">
        <v>87</v>
      </c>
      <c r="G328" s="3" t="s">
        <v>640</v>
      </c>
      <c r="M328" s="3"/>
      <c r="P328" s="75"/>
      <c r="R328" s="75"/>
      <c r="S328" s="75"/>
      <c r="T328" s="76">
        <v>1278</v>
      </c>
      <c r="U328" s="306" t="e">
        <f t="shared" si="86"/>
        <v>#DIV/0!</v>
      </c>
      <c r="V328" s="76">
        <v>89.4</v>
      </c>
      <c r="W328" s="3" t="s">
        <v>91</v>
      </c>
      <c r="X328" s="2">
        <v>46000</v>
      </c>
      <c r="Y328" s="3" t="s">
        <v>97</v>
      </c>
      <c r="Z328" s="3" t="s">
        <v>87</v>
      </c>
      <c r="AA328" s="76">
        <v>1047.19</v>
      </c>
      <c r="AB328" s="76">
        <v>115.84</v>
      </c>
    </row>
    <row r="329" spans="1:30" ht="16.5" customHeight="1" x14ac:dyDescent="0.35">
      <c r="A329" s="351">
        <v>46001</v>
      </c>
      <c r="B329" s="76" t="s">
        <v>630</v>
      </c>
      <c r="C329" s="71" t="s">
        <v>104</v>
      </c>
      <c r="D329" s="3"/>
      <c r="E329" s="3" t="s">
        <v>86</v>
      </c>
      <c r="F329" s="3" t="s">
        <v>87</v>
      </c>
      <c r="G329" s="3" t="s">
        <v>640</v>
      </c>
      <c r="H329" s="76">
        <v>7006</v>
      </c>
      <c r="I329" s="3" t="s">
        <v>88</v>
      </c>
      <c r="J329" s="3" t="s">
        <v>89</v>
      </c>
      <c r="K329" s="3" t="s">
        <v>479</v>
      </c>
      <c r="L329" s="326" t="s">
        <v>454</v>
      </c>
      <c r="M329" s="3" t="s">
        <v>502</v>
      </c>
      <c r="N329" s="356" cm="1">
        <f t="array" ref="N329">_xlfn.IFS(I329="AEX",H329/400,I329="RP",H329/200)</f>
        <v>17.515000000000001</v>
      </c>
      <c r="O329" s="3">
        <v>23.5</v>
      </c>
      <c r="P329" s="75">
        <f>H329/O329</f>
        <v>298.12765957446811</v>
      </c>
      <c r="Q329" s="3" t="str" cm="1">
        <f t="array" ref="Q329">_xlfn.IFS(P329&lt;200, "10", P329&lt;400, "12", P329&lt;600, "14", P329&gt;600, "16")</f>
        <v>12</v>
      </c>
      <c r="R329" s="75">
        <f>IF(I329="AEX",H329*0.3/400,H329*0.3/200)</f>
        <v>5.2544999999999993</v>
      </c>
      <c r="S329" s="75">
        <f>R329/O329</f>
        <v>0.22359574468085103</v>
      </c>
      <c r="U329" s="306">
        <f t="shared" si="86"/>
        <v>0</v>
      </c>
    </row>
    <row r="330" spans="1:30" ht="16.5" customHeight="1" x14ac:dyDescent="0.35">
      <c r="A330" s="351">
        <v>46001</v>
      </c>
      <c r="B330" s="76" t="s">
        <v>644</v>
      </c>
      <c r="C330" s="71" t="s">
        <v>104</v>
      </c>
      <c r="D330" s="3"/>
      <c r="E330" s="3" t="s">
        <v>86</v>
      </c>
      <c r="F330" s="3" t="s">
        <v>87</v>
      </c>
      <c r="G330" s="3" t="s">
        <v>640</v>
      </c>
      <c r="H330" s="76">
        <v>9607</v>
      </c>
      <c r="I330" s="3" t="s">
        <v>88</v>
      </c>
      <c r="J330" s="3" t="s">
        <v>377</v>
      </c>
      <c r="K330" s="3" t="s">
        <v>479</v>
      </c>
      <c r="L330" s="326" t="s">
        <v>454</v>
      </c>
      <c r="M330" s="3" t="s">
        <v>502</v>
      </c>
      <c r="N330" s="356" cm="1">
        <f t="array" ref="N330">_xlfn.IFS(I330="AEX",H330/400,I330="RP",H330/200)</f>
        <v>24.017499999999998</v>
      </c>
      <c r="O330" s="3">
        <v>63.8</v>
      </c>
      <c r="P330" s="75">
        <f>H330/O330</f>
        <v>150.57993730407523</v>
      </c>
      <c r="Q330" s="3" t="str" cm="1">
        <f t="array" ref="Q330">_xlfn.IFS(P330&lt;200, "10", P330&lt;400, "12", P330&lt;600, "14", P330&gt;600, "16")</f>
        <v>10</v>
      </c>
      <c r="R330" s="75">
        <f>IF(I330="AEX",H330*0.3/400,H330*0.3/200)</f>
        <v>7.2052499999999995</v>
      </c>
      <c r="S330" s="75">
        <f>R330/O330</f>
        <v>0.11293495297805642</v>
      </c>
      <c r="U330" s="306">
        <f t="shared" si="86"/>
        <v>0</v>
      </c>
    </row>
    <row r="331" spans="1:30" ht="16.5" customHeight="1" x14ac:dyDescent="0.35">
      <c r="A331" s="351">
        <v>46001</v>
      </c>
      <c r="B331" s="76" t="s">
        <v>653</v>
      </c>
      <c r="C331" s="71" t="s">
        <v>104</v>
      </c>
      <c r="D331" s="3"/>
      <c r="E331" s="3" t="s">
        <v>257</v>
      </c>
      <c r="F331" s="3">
        <v>0.01</v>
      </c>
      <c r="G331" s="3" t="s">
        <v>640</v>
      </c>
      <c r="H331" s="76">
        <v>86135</v>
      </c>
      <c r="I331" s="3" t="s">
        <v>70</v>
      </c>
      <c r="J331" s="3" t="s">
        <v>195</v>
      </c>
      <c r="K331" s="3" t="s">
        <v>645</v>
      </c>
      <c r="L331" s="326" t="s">
        <v>459</v>
      </c>
      <c r="M331" s="3">
        <v>40</v>
      </c>
      <c r="N331" s="356" cm="1">
        <f t="array" ref="N331">_xlfn.IFS(I331="AEX",H331/400,I331="RP",H331/200)</f>
        <v>430.67500000000001</v>
      </c>
      <c r="O331" s="3">
        <v>709</v>
      </c>
      <c r="P331" s="75">
        <f>H331/O331</f>
        <v>121.48801128349788</v>
      </c>
      <c r="Q331" s="3" t="str" cm="1">
        <f t="array" ref="Q331">_xlfn.IFS(P331&lt;200, "10", P331&lt;400, "12", P331&lt;600, "14", P331&gt;600, "16")</f>
        <v>10</v>
      </c>
      <c r="R331" s="75">
        <f>IF(I331="AEX",H331*0.3/400,H331*0.3/200)</f>
        <v>129.20249999999999</v>
      </c>
      <c r="S331" s="75">
        <f>R331/O331</f>
        <v>0.18223201692524682</v>
      </c>
      <c r="T331" s="76">
        <v>39725</v>
      </c>
      <c r="U331" s="306">
        <f t="shared" si="86"/>
        <v>46.119463632669643</v>
      </c>
    </row>
    <row r="332" spans="1:30" ht="16.5" customHeight="1" x14ac:dyDescent="0.35">
      <c r="A332" s="351">
        <v>46001</v>
      </c>
      <c r="B332" s="76" t="s">
        <v>632</v>
      </c>
      <c r="C332" s="71" t="s">
        <v>104</v>
      </c>
      <c r="D332" s="3"/>
      <c r="E332" s="3" t="s">
        <v>257</v>
      </c>
      <c r="F332" s="3" t="s">
        <v>87</v>
      </c>
      <c r="G332" s="3" t="s">
        <v>640</v>
      </c>
      <c r="H332" s="76">
        <v>9050</v>
      </c>
      <c r="I332" s="3" t="s">
        <v>88</v>
      </c>
      <c r="J332" s="3" t="s">
        <v>377</v>
      </c>
      <c r="K332" s="3" t="s">
        <v>479</v>
      </c>
      <c r="L332" s="326" t="s">
        <v>454</v>
      </c>
      <c r="M332" s="3" t="s">
        <v>502</v>
      </c>
      <c r="N332" s="356" cm="1">
        <f t="array" ref="N332">_xlfn.IFS(I332="AEX",H332/400,I332="RP",H332/200)</f>
        <v>22.625</v>
      </c>
      <c r="O332" s="3">
        <v>63.8</v>
      </c>
      <c r="P332" s="75">
        <f t="shared" si="68"/>
        <v>141.84952978056427</v>
      </c>
      <c r="Q332" s="3" t="str" cm="1">
        <f t="array" ref="Q332">_xlfn.IFS(P332&lt;200, "10", P332&lt;400, "12", P332&lt;600, "14", P332&gt;600, "16")</f>
        <v>10</v>
      </c>
      <c r="R332" s="75">
        <f t="shared" si="69"/>
        <v>6.7874999999999996</v>
      </c>
      <c r="S332" s="75">
        <f t="shared" si="74"/>
        <v>0.10638714733542319</v>
      </c>
      <c r="T332" s="76">
        <v>4805</v>
      </c>
      <c r="U332" s="306">
        <f t="shared" si="86"/>
        <v>53.093922651933703</v>
      </c>
      <c r="V332" s="76">
        <v>79.239999999999995</v>
      </c>
      <c r="W332" s="3" t="s">
        <v>91</v>
      </c>
      <c r="X332" s="2">
        <v>46001</v>
      </c>
      <c r="Y332" s="3" t="s">
        <v>97</v>
      </c>
      <c r="Z332" s="3" t="s">
        <v>87</v>
      </c>
      <c r="AA332" s="76">
        <v>4573</v>
      </c>
      <c r="AB332" s="76">
        <v>125.5</v>
      </c>
    </row>
    <row r="333" spans="1:30" ht="17.149999999999999" customHeight="1" x14ac:dyDescent="0.35">
      <c r="A333" s="351">
        <v>46001</v>
      </c>
      <c r="B333" s="76" t="s">
        <v>629</v>
      </c>
      <c r="C333" s="71" t="s">
        <v>104</v>
      </c>
      <c r="D333" s="3"/>
      <c r="E333" s="3" t="s">
        <v>257</v>
      </c>
      <c r="F333" s="3" t="s">
        <v>87</v>
      </c>
      <c r="G333" s="3" t="s">
        <v>640</v>
      </c>
      <c r="H333" s="76">
        <v>6737</v>
      </c>
      <c r="I333" s="3" t="s">
        <v>88</v>
      </c>
      <c r="J333" s="3" t="s">
        <v>377</v>
      </c>
      <c r="K333" s="3" t="s">
        <v>479</v>
      </c>
      <c r="L333" s="326" t="s">
        <v>454</v>
      </c>
      <c r="M333" s="3" t="s">
        <v>502</v>
      </c>
      <c r="N333" s="356" cm="1">
        <f t="array" ref="N333">_xlfn.IFS(I333="AEX",H333/400,I333="RP",H333/200)</f>
        <v>16.842500000000001</v>
      </c>
      <c r="O333" s="3">
        <v>64.7</v>
      </c>
      <c r="P333" s="75">
        <f t="shared" si="68"/>
        <v>104.12673879443585</v>
      </c>
      <c r="Q333" s="3" t="str" cm="1">
        <f t="array" ref="Q333">_xlfn.IFS(P333&lt;200, "10", P333&lt;400, "12", P333&lt;600, "14", P333&gt;600, "16")</f>
        <v>10</v>
      </c>
      <c r="R333" s="75">
        <f t="shared" si="69"/>
        <v>5.0527499999999996</v>
      </c>
      <c r="S333" s="75">
        <f t="shared" si="74"/>
        <v>7.8095054095826885E-2</v>
      </c>
      <c r="T333" s="76">
        <v>3263</v>
      </c>
      <c r="U333" s="306">
        <f t="shared" si="85"/>
        <v>48.434021077630995</v>
      </c>
      <c r="V333" s="76">
        <v>87.53</v>
      </c>
      <c r="W333" s="3" t="s">
        <v>91</v>
      </c>
      <c r="X333" s="2">
        <v>46002</v>
      </c>
      <c r="Y333" s="3" t="s">
        <v>97</v>
      </c>
      <c r="Z333" s="3" t="s">
        <v>87</v>
      </c>
      <c r="AA333" s="76">
        <v>3109.59</v>
      </c>
      <c r="AB333" s="76">
        <v>135.79</v>
      </c>
    </row>
    <row r="334" spans="1:30" ht="16.5" customHeight="1" x14ac:dyDescent="0.35">
      <c r="A334" s="351">
        <v>46001</v>
      </c>
      <c r="B334" s="76" t="s">
        <v>642</v>
      </c>
      <c r="C334" s="71" t="s">
        <v>104</v>
      </c>
      <c r="D334" s="3"/>
      <c r="E334" s="3" t="s">
        <v>194</v>
      </c>
      <c r="F334" s="3" t="s">
        <v>87</v>
      </c>
      <c r="G334" s="3" t="s">
        <v>640</v>
      </c>
      <c r="H334" s="352">
        <v>5000</v>
      </c>
      <c r="I334" s="3" t="s">
        <v>88</v>
      </c>
      <c r="J334" s="3" t="s">
        <v>89</v>
      </c>
      <c r="K334" s="3" t="s">
        <v>479</v>
      </c>
      <c r="L334" s="3" t="s">
        <v>454</v>
      </c>
      <c r="M334" s="3" t="s">
        <v>502</v>
      </c>
      <c r="N334" s="356" cm="1">
        <f t="array" ref="N334">_xlfn.IFS(I334="AEX",H334/400,I334="RP",H334/200)</f>
        <v>12.5</v>
      </c>
      <c r="O334" s="3">
        <v>23.5</v>
      </c>
      <c r="P334" s="75">
        <f>H334/O334</f>
        <v>212.7659574468085</v>
      </c>
      <c r="Q334" s="3" t="str" cm="1">
        <f t="array" ref="Q334">_xlfn.IFS(P334&lt;200, "10", P334&lt;400, "12", P334&lt;600, "14", P334&gt;600, "16")</f>
        <v>12</v>
      </c>
      <c r="R334" s="75">
        <f t="shared" si="69"/>
        <v>3.75</v>
      </c>
      <c r="S334" s="75">
        <f>R334/O334</f>
        <v>0.15957446808510639</v>
      </c>
      <c r="U334" s="306">
        <f t="shared" si="85"/>
        <v>0</v>
      </c>
    </row>
    <row r="335" spans="1:30" ht="16.5" customHeight="1" x14ac:dyDescent="0.35">
      <c r="A335" s="351">
        <v>46001</v>
      </c>
      <c r="B335" s="76" t="s">
        <v>646</v>
      </c>
      <c r="C335" s="71" t="s">
        <v>104</v>
      </c>
      <c r="D335" s="3"/>
      <c r="E335" s="3" t="s">
        <v>86</v>
      </c>
      <c r="F335" s="3" t="s">
        <v>87</v>
      </c>
      <c r="G335" s="3" t="s">
        <v>640</v>
      </c>
      <c r="H335" s="76">
        <v>2700</v>
      </c>
      <c r="I335" s="3" t="s">
        <v>70</v>
      </c>
      <c r="J335" s="3" t="s">
        <v>195</v>
      </c>
      <c r="K335" s="3" t="s">
        <v>647</v>
      </c>
      <c r="L335" s="351" t="s">
        <v>648</v>
      </c>
      <c r="M335" s="3" t="s">
        <v>502</v>
      </c>
      <c r="N335" s="356" cm="1">
        <f t="array" ref="N335">_xlfn.IFS(I335="AEX",H335/400,I335="RP",H335/200)</f>
        <v>13.5</v>
      </c>
      <c r="O335" s="3">
        <v>24</v>
      </c>
      <c r="P335" s="75">
        <f t="shared" si="68"/>
        <v>112.5</v>
      </c>
      <c r="Q335" s="3" t="str" cm="1">
        <f t="array" ref="Q335">_xlfn.IFS(P335&lt;200, "10", P335&lt;400, "12", P335&lt;600, "14", P335&gt;600, "16")</f>
        <v>10</v>
      </c>
      <c r="R335" s="75">
        <f t="shared" si="69"/>
        <v>4.05</v>
      </c>
      <c r="S335" s="75">
        <f t="shared" si="74"/>
        <v>0.16874999999999998</v>
      </c>
      <c r="T335" s="76">
        <v>1144</v>
      </c>
      <c r="U335" s="306">
        <f t="shared" si="85"/>
        <v>42.370370370370367</v>
      </c>
    </row>
    <row r="336" spans="1:30" ht="16.5" customHeight="1" x14ac:dyDescent="0.35">
      <c r="A336" s="351">
        <v>46001</v>
      </c>
      <c r="B336" s="76" t="s">
        <v>649</v>
      </c>
      <c r="C336" s="71" t="s">
        <v>104</v>
      </c>
      <c r="D336" s="3"/>
      <c r="E336" s="3" t="s">
        <v>86</v>
      </c>
      <c r="F336" s="3" t="s">
        <v>87</v>
      </c>
      <c r="G336" s="3" t="s">
        <v>640</v>
      </c>
      <c r="H336" s="76">
        <v>21627</v>
      </c>
      <c r="I336" s="3" t="s">
        <v>88</v>
      </c>
      <c r="J336" s="3" t="s">
        <v>377</v>
      </c>
      <c r="K336" s="3" t="s">
        <v>479</v>
      </c>
      <c r="L336" s="326" t="s">
        <v>454</v>
      </c>
      <c r="M336" s="3" t="s">
        <v>502</v>
      </c>
      <c r="N336" s="356" cm="1">
        <f t="array" ref="N336">_xlfn.IFS(I336="AEX",H336/400,I336="RP",H336/200)</f>
        <v>54.067500000000003</v>
      </c>
      <c r="O336" s="3">
        <v>63.8</v>
      </c>
      <c r="P336" s="75">
        <f t="shared" si="68"/>
        <v>338.98119122257054</v>
      </c>
      <c r="Q336" s="3" t="str" cm="1">
        <f t="array" ref="Q336">_xlfn.IFS(P336&lt;200, "10", P336&lt;400, "12", P336&lt;600, "14", P336&gt;600, "16")</f>
        <v>12</v>
      </c>
      <c r="R336" s="75">
        <f t="shared" si="69"/>
        <v>16.22025</v>
      </c>
      <c r="S336" s="75">
        <f t="shared" si="74"/>
        <v>0.25423589341692793</v>
      </c>
      <c r="U336" s="306">
        <f t="shared" si="85"/>
        <v>0</v>
      </c>
    </row>
    <row r="337" spans="1:28" ht="16.5" customHeight="1" x14ac:dyDescent="0.35">
      <c r="A337" s="351">
        <v>46002</v>
      </c>
      <c r="B337" s="76" t="s">
        <v>650</v>
      </c>
      <c r="C337" s="71" t="s">
        <v>104</v>
      </c>
      <c r="D337" s="3"/>
      <c r="E337" s="3" t="s">
        <v>86</v>
      </c>
      <c r="F337" s="3" t="s">
        <v>87</v>
      </c>
      <c r="G337" s="3" t="s">
        <v>640</v>
      </c>
      <c r="H337" s="76">
        <v>15494</v>
      </c>
      <c r="I337" s="3" t="s">
        <v>88</v>
      </c>
      <c r="J337" s="3" t="s">
        <v>377</v>
      </c>
      <c r="K337" s="3" t="s">
        <v>479</v>
      </c>
      <c r="L337" s="326" t="s">
        <v>454</v>
      </c>
      <c r="M337" s="3" t="s">
        <v>502</v>
      </c>
      <c r="N337" s="356" cm="1">
        <f t="array" ref="N337">_xlfn.IFS(I337="AEX",H337/400,I337="RP",H337/200)</f>
        <v>38.734999999999999</v>
      </c>
      <c r="O337" s="3">
        <v>63.8</v>
      </c>
      <c r="P337" s="75">
        <f t="shared" ref="P337:P341" si="90">H337/O337</f>
        <v>242.85266457680251</v>
      </c>
      <c r="Q337" s="3" t="str" cm="1">
        <f t="array" ref="Q337">_xlfn.IFS(P337&lt;200, "10", P337&lt;400, "12", P337&lt;600, "14", P337&gt;600, "16")</f>
        <v>12</v>
      </c>
      <c r="R337" s="75">
        <f t="shared" ref="R337:R341" si="91">IF(I337="AEX",H337*0.3/400,H337*0.3/200)</f>
        <v>11.6205</v>
      </c>
      <c r="S337" s="75">
        <f t="shared" ref="S337:S347" si="92">R337/O337</f>
        <v>0.18213949843260188</v>
      </c>
      <c r="T337" s="76">
        <v>6782</v>
      </c>
      <c r="U337" s="306">
        <f t="shared" ref="U337:U341" si="93">T337/H337*100</f>
        <v>43.77178262553246</v>
      </c>
      <c r="X337" s="2">
        <v>46002</v>
      </c>
      <c r="Y337" s="3" t="s">
        <v>97</v>
      </c>
      <c r="Z337" s="3" t="s">
        <v>87</v>
      </c>
      <c r="AA337" s="76">
        <v>6777</v>
      </c>
      <c r="AB337" s="76">
        <v>165.63</v>
      </c>
    </row>
    <row r="338" spans="1:28" ht="16.5" customHeight="1" x14ac:dyDescent="0.35">
      <c r="A338" s="351">
        <v>46002</v>
      </c>
      <c r="B338" s="76" t="s">
        <v>651</v>
      </c>
      <c r="C338" s="71" t="s">
        <v>104</v>
      </c>
      <c r="D338" s="3"/>
      <c r="E338" s="3" t="s">
        <v>86</v>
      </c>
      <c r="F338" s="3" t="s">
        <v>87</v>
      </c>
      <c r="G338" s="3" t="s">
        <v>640</v>
      </c>
      <c r="H338" s="76">
        <v>7297</v>
      </c>
      <c r="I338" s="3" t="s">
        <v>88</v>
      </c>
      <c r="J338" s="3" t="s">
        <v>89</v>
      </c>
      <c r="K338" s="3" t="s">
        <v>479</v>
      </c>
      <c r="L338" s="326" t="s">
        <v>454</v>
      </c>
      <c r="M338" s="3" t="s">
        <v>502</v>
      </c>
      <c r="N338" s="356" cm="1">
        <f t="array" ref="N338">_xlfn.IFS(I338="AEX",H338/400,I338="RP",H338/200)</f>
        <v>18.2425</v>
      </c>
      <c r="O338" s="3">
        <v>23.5</v>
      </c>
      <c r="P338" s="75">
        <f t="shared" si="90"/>
        <v>310.51063829787233</v>
      </c>
      <c r="Q338" s="3" t="str" cm="1">
        <f t="array" ref="Q338">_xlfn.IFS(P338&lt;200, "10", P338&lt;400, "12", P338&lt;600, "14", P338&gt;600, "16")</f>
        <v>12</v>
      </c>
      <c r="R338" s="75">
        <f t="shared" si="91"/>
        <v>5.4727499999999996</v>
      </c>
      <c r="S338" s="75">
        <f t="shared" si="92"/>
        <v>0.23288297872340424</v>
      </c>
      <c r="T338" s="76">
        <v>3424.63</v>
      </c>
      <c r="U338" s="306">
        <f t="shared" si="93"/>
        <v>46.932026860353574</v>
      </c>
      <c r="V338" s="76">
        <v>54.97</v>
      </c>
      <c r="W338" s="3" t="s">
        <v>91</v>
      </c>
      <c r="X338" s="2">
        <v>46002</v>
      </c>
      <c r="Y338" s="3" t="s">
        <v>97</v>
      </c>
      <c r="Z338" s="3" t="s">
        <v>87</v>
      </c>
      <c r="AA338" s="76">
        <v>3408.82</v>
      </c>
      <c r="AB338" s="76">
        <v>113.25</v>
      </c>
    </row>
    <row r="339" spans="1:28" ht="16.5" customHeight="1" x14ac:dyDescent="0.35">
      <c r="A339" s="351" t="s">
        <v>580</v>
      </c>
      <c r="B339" s="76" t="s">
        <v>636</v>
      </c>
      <c r="C339" s="71" t="s">
        <v>104</v>
      </c>
      <c r="D339" s="3"/>
      <c r="E339" s="3" t="s">
        <v>87</v>
      </c>
      <c r="F339" s="3" t="s">
        <v>87</v>
      </c>
      <c r="G339" s="3" t="s">
        <v>641</v>
      </c>
      <c r="H339" s="76">
        <v>6000</v>
      </c>
      <c r="I339" s="3" t="s">
        <v>88</v>
      </c>
      <c r="J339" s="353"/>
      <c r="K339" s="3" t="s">
        <v>479</v>
      </c>
      <c r="L339" s="326" t="s">
        <v>454</v>
      </c>
      <c r="M339" s="3" t="s">
        <v>502</v>
      </c>
      <c r="N339" s="356" cm="1">
        <f t="array" ref="N339">_xlfn.IFS(I339="AEX",H339/400,I339="RP",H339/200)</f>
        <v>15</v>
      </c>
      <c r="O339" s="353"/>
      <c r="P339" s="75" t="e">
        <f t="shared" si="90"/>
        <v>#DIV/0!</v>
      </c>
      <c r="Q339" s="3" t="e" cm="1">
        <f t="array" ref="Q339">_xlfn.IFS(P339&lt;200, "10", P339&lt;400, "12", P339&lt;600, "14", P339&gt;600, "16")</f>
        <v>#DIV/0!</v>
      </c>
      <c r="R339" s="75">
        <f t="shared" si="91"/>
        <v>4.5</v>
      </c>
      <c r="S339" s="75" t="e">
        <f t="shared" si="92"/>
        <v>#DIV/0!</v>
      </c>
      <c r="U339" s="306">
        <f t="shared" si="93"/>
        <v>0</v>
      </c>
    </row>
    <row r="340" spans="1:28" ht="16.5" customHeight="1" x14ac:dyDescent="0.35">
      <c r="A340" s="351" t="s">
        <v>580</v>
      </c>
      <c r="B340" s="76" t="s">
        <v>637</v>
      </c>
      <c r="C340" s="71" t="s">
        <v>104</v>
      </c>
      <c r="D340" s="3"/>
      <c r="E340" s="3" t="s">
        <v>87</v>
      </c>
      <c r="F340" s="3" t="s">
        <v>87</v>
      </c>
      <c r="G340" s="3" t="s">
        <v>641</v>
      </c>
      <c r="H340" s="76">
        <v>5900</v>
      </c>
      <c r="I340" s="3" t="s">
        <v>88</v>
      </c>
      <c r="J340" s="353"/>
      <c r="K340" s="3" t="s">
        <v>479</v>
      </c>
      <c r="L340" s="326" t="s">
        <v>454</v>
      </c>
      <c r="M340" s="3" t="s">
        <v>502</v>
      </c>
      <c r="N340" s="356" cm="1">
        <f t="array" ref="N340">_xlfn.IFS(I340="AEX",H340/400,I340="RP",H340/200)</f>
        <v>14.75</v>
      </c>
      <c r="O340" s="353"/>
      <c r="P340" s="75" t="e">
        <f t="shared" si="90"/>
        <v>#DIV/0!</v>
      </c>
      <c r="Q340" s="3" t="e" cm="1">
        <f t="array" ref="Q340">_xlfn.IFS(P340&lt;200, "10", P340&lt;400, "12", P340&lt;600, "14", P340&gt;600, "16")</f>
        <v>#DIV/0!</v>
      </c>
      <c r="R340" s="75">
        <f t="shared" si="91"/>
        <v>4.4249999999999998</v>
      </c>
      <c r="S340" s="75" t="e">
        <f t="shared" si="92"/>
        <v>#DIV/0!</v>
      </c>
      <c r="U340" s="306">
        <f t="shared" si="93"/>
        <v>0</v>
      </c>
    </row>
    <row r="341" spans="1:28" ht="16.5" customHeight="1" x14ac:dyDescent="0.35">
      <c r="A341" s="351" t="s">
        <v>580</v>
      </c>
      <c r="B341" s="76" t="s">
        <v>638</v>
      </c>
      <c r="C341" s="71" t="s">
        <v>104</v>
      </c>
      <c r="D341" s="3"/>
      <c r="E341" s="3" t="s">
        <v>87</v>
      </c>
      <c r="F341" s="3" t="s">
        <v>87</v>
      </c>
      <c r="G341" s="3" t="s">
        <v>641</v>
      </c>
      <c r="H341" s="76">
        <v>6000</v>
      </c>
      <c r="I341" s="3" t="s">
        <v>88</v>
      </c>
      <c r="J341" s="353"/>
      <c r="K341" s="3" t="s">
        <v>479</v>
      </c>
      <c r="L341" s="326" t="s">
        <v>454</v>
      </c>
      <c r="M341" s="3" t="s">
        <v>502</v>
      </c>
      <c r="N341" s="356" cm="1">
        <f t="array" ref="N341">_xlfn.IFS(I341="AEX",H341/400,I341="RP",H341/200)</f>
        <v>15</v>
      </c>
      <c r="O341" s="353"/>
      <c r="P341" s="75" t="e">
        <f t="shared" si="90"/>
        <v>#DIV/0!</v>
      </c>
      <c r="Q341" s="3" t="e" cm="1">
        <f t="array" ref="Q341">_xlfn.IFS(P341&lt;200, "10", P341&lt;400, "12", P341&lt;600, "14", P341&gt;600, "16")</f>
        <v>#DIV/0!</v>
      </c>
      <c r="R341" s="75">
        <f t="shared" si="91"/>
        <v>4.5</v>
      </c>
      <c r="S341" s="75" t="e">
        <f t="shared" si="92"/>
        <v>#DIV/0!</v>
      </c>
      <c r="U341" s="306">
        <f t="shared" si="93"/>
        <v>0</v>
      </c>
    </row>
    <row r="342" spans="1:28" ht="16.5" customHeight="1" x14ac:dyDescent="0.35">
      <c r="A342" s="351">
        <v>46002</v>
      </c>
      <c r="B342" s="76" t="s">
        <v>660</v>
      </c>
      <c r="C342" s="71" t="s">
        <v>104</v>
      </c>
      <c r="D342" s="3"/>
      <c r="E342" s="3" t="s">
        <v>257</v>
      </c>
      <c r="F342" s="3" t="s">
        <v>87</v>
      </c>
      <c r="G342" s="3" t="s">
        <v>641</v>
      </c>
      <c r="H342" s="76">
        <v>3303</v>
      </c>
      <c r="I342" s="3" t="s">
        <v>88</v>
      </c>
      <c r="J342" s="3" t="s">
        <v>89</v>
      </c>
      <c r="K342" s="3" t="s">
        <v>479</v>
      </c>
      <c r="L342" s="326" t="s">
        <v>454</v>
      </c>
      <c r="M342" s="3" t="s">
        <v>502</v>
      </c>
      <c r="N342" s="356" cm="1">
        <f t="array" ref="N342">_xlfn.IFS(I342="AEX",H342/400,I342="RP",H342/200)</f>
        <v>8.2575000000000003</v>
      </c>
      <c r="O342" s="3">
        <v>16.100000000000001</v>
      </c>
      <c r="P342" s="75">
        <f t="shared" ref="P342:P347" si="94">H342/O342</f>
        <v>205.15527950310556</v>
      </c>
      <c r="Q342" s="3" t="str" cm="1">
        <f t="array" ref="Q342">_xlfn.IFS(P342&lt;200, "10", P342&lt;400, "12", P342&lt;600, "14", P342&gt;600, "16")</f>
        <v>12</v>
      </c>
      <c r="R342" s="75">
        <f t="shared" ref="R342:R347" si="95">IF(I342="AEX",H342*0.3/400,H342*0.3/200)</f>
        <v>2.4772499999999997</v>
      </c>
      <c r="S342" s="75">
        <f t="shared" si="92"/>
        <v>0.15386645962732917</v>
      </c>
      <c r="T342" s="76">
        <v>1991</v>
      </c>
      <c r="U342" s="306">
        <f>T342/H342*100</f>
        <v>60.278534665455638</v>
      </c>
    </row>
    <row r="343" spans="1:28" ht="16.5" customHeight="1" x14ac:dyDescent="0.35">
      <c r="A343" s="351">
        <v>46002</v>
      </c>
      <c r="B343" s="76" t="s">
        <v>661</v>
      </c>
      <c r="C343" s="71" t="s">
        <v>104</v>
      </c>
      <c r="D343" s="3"/>
      <c r="E343" s="3" t="s">
        <v>257</v>
      </c>
      <c r="F343" s="3" t="s">
        <v>87</v>
      </c>
      <c r="G343" s="3" t="s">
        <v>640</v>
      </c>
      <c r="H343" s="76">
        <v>7605</v>
      </c>
      <c r="I343" s="3" t="s">
        <v>88</v>
      </c>
      <c r="J343" s="3" t="s">
        <v>377</v>
      </c>
      <c r="K343" s="3" t="s">
        <v>479</v>
      </c>
      <c r="L343" s="326" t="s">
        <v>454</v>
      </c>
      <c r="M343" s="3" t="s">
        <v>502</v>
      </c>
      <c r="N343" s="356" cm="1">
        <f t="array" ref="N343">_xlfn.IFS(I343="AEX",H343/400,I343="RP",H343/200)</f>
        <v>19.012499999999999</v>
      </c>
      <c r="O343" s="3">
        <v>63.8</v>
      </c>
      <c r="P343" s="75">
        <f t="shared" si="94"/>
        <v>119.20062695924766</v>
      </c>
      <c r="Q343" s="3" t="str" cm="1">
        <f t="array" ref="Q343">_xlfn.IFS(P343&lt;200, "10", P343&lt;400, "12", P343&lt;600, "14", P343&gt;600, "16")</f>
        <v>10</v>
      </c>
      <c r="R343" s="75">
        <f t="shared" si="95"/>
        <v>5.7037500000000003</v>
      </c>
      <c r="S343" s="75">
        <f t="shared" si="92"/>
        <v>8.9400470219435743E-2</v>
      </c>
      <c r="T343" s="76">
        <v>3846</v>
      </c>
      <c r="U343" s="306">
        <f>T343/H343*100</f>
        <v>50.571992110453643</v>
      </c>
      <c r="V343" s="76">
        <v>99.51</v>
      </c>
      <c r="W343" s="3" t="s">
        <v>91</v>
      </c>
      <c r="X343" s="2">
        <v>46002</v>
      </c>
      <c r="Y343" s="3" t="s">
        <v>97</v>
      </c>
      <c r="Z343" s="3" t="s">
        <v>87</v>
      </c>
      <c r="AA343" s="76">
        <v>3803.85</v>
      </c>
      <c r="AB343" s="76">
        <v>142.19999999999999</v>
      </c>
    </row>
    <row r="344" spans="1:28" ht="16.5" customHeight="1" x14ac:dyDescent="0.35">
      <c r="A344" s="351">
        <v>46002</v>
      </c>
      <c r="B344" s="76" t="s">
        <v>652</v>
      </c>
      <c r="C344" s="71" t="s">
        <v>104</v>
      </c>
      <c r="D344" s="3"/>
      <c r="E344" s="3" t="s">
        <v>194</v>
      </c>
      <c r="F344" s="3">
        <v>0.01</v>
      </c>
      <c r="G344" s="3" t="s">
        <v>640</v>
      </c>
      <c r="H344" s="76">
        <v>75615</v>
      </c>
      <c r="I344" s="3" t="s">
        <v>88</v>
      </c>
      <c r="J344" s="3" t="s">
        <v>89</v>
      </c>
      <c r="K344" s="3" t="s">
        <v>479</v>
      </c>
      <c r="L344" s="326" t="s">
        <v>454</v>
      </c>
      <c r="M344" s="3" t="s">
        <v>502</v>
      </c>
      <c r="N344" s="356" cm="1">
        <f t="array" ref="N344">_xlfn.IFS(I344="AEX",H344/400,I344="RP",H344/200)</f>
        <v>189.03749999999999</v>
      </c>
      <c r="O344" s="3">
        <v>288</v>
      </c>
      <c r="P344" s="75">
        <f t="shared" si="94"/>
        <v>262.55208333333331</v>
      </c>
      <c r="Q344" s="3" t="str" cm="1">
        <f t="array" ref="Q344">_xlfn.IFS(P344&lt;200, "10", P344&lt;400, "12", P344&lt;600, "14", P344&gt;600, "16")</f>
        <v>12</v>
      </c>
      <c r="R344" s="75">
        <f t="shared" si="95"/>
        <v>56.71125</v>
      </c>
      <c r="S344" s="75">
        <f t="shared" si="92"/>
        <v>0.19691406249999999</v>
      </c>
      <c r="T344" s="76">
        <v>33607</v>
      </c>
      <c r="U344" s="306">
        <f>T344/H344*100</f>
        <v>44.444885274085827</v>
      </c>
      <c r="V344" s="76">
        <v>680</v>
      </c>
      <c r="W344" s="3" t="s">
        <v>91</v>
      </c>
      <c r="X344" s="2">
        <v>46003</v>
      </c>
      <c r="Y344" s="3" t="s">
        <v>318</v>
      </c>
      <c r="Z344" s="3" t="s">
        <v>87</v>
      </c>
      <c r="AA344" s="76">
        <v>33383.39</v>
      </c>
      <c r="AB344" s="76">
        <v>211.35</v>
      </c>
    </row>
    <row r="345" spans="1:28" ht="16.5" customHeight="1" x14ac:dyDescent="0.35">
      <c r="A345" s="351">
        <v>46002</v>
      </c>
      <c r="B345" s="76" t="s">
        <v>679</v>
      </c>
      <c r="C345" s="71" t="s">
        <v>104</v>
      </c>
      <c r="D345" s="3"/>
      <c r="E345" s="3" t="s">
        <v>194</v>
      </c>
      <c r="F345" s="3">
        <v>0.01</v>
      </c>
      <c r="G345" s="3" t="s">
        <v>641</v>
      </c>
      <c r="H345" s="76">
        <v>39725</v>
      </c>
      <c r="I345" s="3" t="s">
        <v>88</v>
      </c>
      <c r="J345" s="3" t="s">
        <v>377</v>
      </c>
      <c r="K345" s="3" t="s">
        <v>496</v>
      </c>
      <c r="L345" s="326" t="s">
        <v>455</v>
      </c>
      <c r="M345" s="3" t="s">
        <v>502</v>
      </c>
      <c r="N345" s="356" cm="1">
        <f t="array" ref="N345">_xlfn.IFS(I345="AEX",H345/400,I345="RP",H345/200)</f>
        <v>99.3125</v>
      </c>
      <c r="O345" s="3">
        <v>288</v>
      </c>
      <c r="P345" s="75">
        <f t="shared" si="94"/>
        <v>137.93402777777777</v>
      </c>
      <c r="Q345" s="3" t="str" cm="1">
        <f t="array" ref="Q345">_xlfn.IFS(P345&lt;200, "10", P345&lt;400, "12", P345&lt;600, "14", P345&gt;600, "16")</f>
        <v>10</v>
      </c>
      <c r="R345" s="75">
        <f t="shared" si="95"/>
        <v>29.793749999999999</v>
      </c>
      <c r="S345" s="75">
        <f t="shared" si="92"/>
        <v>0.10345052083333334</v>
      </c>
      <c r="T345" s="76">
        <v>29988</v>
      </c>
      <c r="U345" s="306">
        <f>T345/H345*100</f>
        <v>75.488986784140963</v>
      </c>
      <c r="V345" s="76">
        <v>543</v>
      </c>
      <c r="W345" s="3" t="s">
        <v>87</v>
      </c>
      <c r="X345" s="2">
        <v>46003</v>
      </c>
      <c r="Y345" s="3" t="s">
        <v>95</v>
      </c>
      <c r="Z345" s="3" t="s">
        <v>87</v>
      </c>
      <c r="AA345" s="76">
        <v>29448.44</v>
      </c>
      <c r="AB345" s="76">
        <v>224.48</v>
      </c>
    </row>
    <row r="346" spans="1:28" ht="16.5" customHeight="1" x14ac:dyDescent="0.35">
      <c r="A346" s="351" t="s">
        <v>580</v>
      </c>
      <c r="B346" s="76" t="s">
        <v>667</v>
      </c>
      <c r="C346" s="71" t="s">
        <v>104</v>
      </c>
      <c r="D346" s="3"/>
      <c r="E346" s="3" t="s">
        <v>86</v>
      </c>
      <c r="F346" s="3" t="s">
        <v>87</v>
      </c>
      <c r="G346" s="3" t="s">
        <v>641</v>
      </c>
      <c r="H346" s="354"/>
      <c r="I346" s="3" t="s">
        <v>88</v>
      </c>
      <c r="J346" s="353"/>
      <c r="K346" s="3" t="s">
        <v>479</v>
      </c>
      <c r="L346" s="326" t="s">
        <v>454</v>
      </c>
      <c r="M346" s="3" t="s">
        <v>502</v>
      </c>
      <c r="N346" s="356" cm="1">
        <f t="array" ref="N346">_xlfn.IFS(I346="AEX",H346/400,I346="RP",H346/200)</f>
        <v>0</v>
      </c>
      <c r="O346" s="3">
        <v>289</v>
      </c>
      <c r="P346" s="75">
        <f t="shared" si="94"/>
        <v>0</v>
      </c>
      <c r="Q346" s="3" t="str" cm="1">
        <f t="array" ref="Q346">_xlfn.IFS(P346&lt;200, "10", P346&lt;400, "12", P346&lt;600, "14", P346&gt;600, "16")</f>
        <v>10</v>
      </c>
      <c r="R346" s="75">
        <f t="shared" si="95"/>
        <v>0</v>
      </c>
      <c r="S346" s="75">
        <f t="shared" si="92"/>
        <v>0</v>
      </c>
      <c r="U346" s="306" t="e">
        <f t="shared" ref="U346:U355" si="96">T346/H346*100</f>
        <v>#DIV/0!</v>
      </c>
    </row>
    <row r="347" spans="1:28" x14ac:dyDescent="0.35">
      <c r="A347" s="351">
        <v>46003</v>
      </c>
      <c r="B347" s="76" t="s">
        <v>657</v>
      </c>
      <c r="C347" s="71" t="s">
        <v>104</v>
      </c>
      <c r="D347" s="3"/>
      <c r="E347" s="3" t="s">
        <v>86</v>
      </c>
      <c r="F347" s="3" t="s">
        <v>87</v>
      </c>
      <c r="G347" s="3" t="s">
        <v>640</v>
      </c>
      <c r="H347" s="76">
        <v>21192</v>
      </c>
      <c r="I347" s="3" t="s">
        <v>88</v>
      </c>
      <c r="J347" s="3" t="s">
        <v>377</v>
      </c>
      <c r="K347" s="3" t="s">
        <v>479</v>
      </c>
      <c r="L347" s="326" t="s">
        <v>454</v>
      </c>
      <c r="M347" s="3" t="s">
        <v>502</v>
      </c>
      <c r="N347" s="356" cm="1">
        <f t="array" ref="N347">_xlfn.IFS(I347="AEX",H347/400,I347="RP",H347/200)</f>
        <v>52.98</v>
      </c>
      <c r="O347" s="3">
        <v>63.8</v>
      </c>
      <c r="P347" s="75">
        <f t="shared" si="94"/>
        <v>332.16300940438873</v>
      </c>
      <c r="Q347" s="3" t="str" cm="1">
        <f t="array" ref="Q347">_xlfn.IFS(P347&lt;200, "10", P347&lt;400, "12", P347&lt;600, "14", P347&gt;600, "16")</f>
        <v>12</v>
      </c>
      <c r="R347" s="75">
        <f t="shared" si="95"/>
        <v>15.893999999999998</v>
      </c>
      <c r="S347" s="75">
        <f t="shared" si="92"/>
        <v>0.24912225705329152</v>
      </c>
      <c r="T347" s="76">
        <v>11503</v>
      </c>
      <c r="U347" s="306">
        <f t="shared" si="96"/>
        <v>54.279916949792373</v>
      </c>
      <c r="V347" s="76">
        <v>211.23</v>
      </c>
      <c r="W347" s="3" t="s">
        <v>91</v>
      </c>
      <c r="X347" s="2">
        <v>46003</v>
      </c>
      <c r="Y347" s="3" t="s">
        <v>97</v>
      </c>
      <c r="Z347" s="3" t="s">
        <v>87</v>
      </c>
      <c r="AA347" s="76">
        <v>11783.47</v>
      </c>
      <c r="AB347" s="76">
        <v>310.5</v>
      </c>
    </row>
    <row r="348" spans="1:28" x14ac:dyDescent="0.35">
      <c r="A348" s="351">
        <v>46003</v>
      </c>
      <c r="B348" s="76" t="s">
        <v>654</v>
      </c>
      <c r="C348" s="71" t="s">
        <v>104</v>
      </c>
      <c r="D348" s="3"/>
      <c r="E348" s="3" t="s">
        <v>86</v>
      </c>
      <c r="F348" s="3" t="s">
        <v>87</v>
      </c>
      <c r="G348" s="3" t="s">
        <v>640</v>
      </c>
      <c r="H348" s="76">
        <v>13571</v>
      </c>
      <c r="I348" s="3" t="s">
        <v>88</v>
      </c>
      <c r="J348" s="3" t="s">
        <v>89</v>
      </c>
      <c r="K348" s="3" t="s">
        <v>479</v>
      </c>
      <c r="L348" s="326" t="s">
        <v>454</v>
      </c>
      <c r="M348" s="3" t="s">
        <v>502</v>
      </c>
      <c r="N348" s="356" cm="1">
        <f t="array" ref="N348">_xlfn.IFS(I348="AEX",H348/400,I348="RP",H348/200)</f>
        <v>33.927500000000002</v>
      </c>
      <c r="O348" s="3">
        <v>64.8</v>
      </c>
      <c r="P348" s="75">
        <f t="shared" ref="P348:P350" si="97">H348/O348</f>
        <v>209.42901234567901</v>
      </c>
      <c r="Q348" s="3" t="str" cm="1">
        <f t="array" ref="Q348">_xlfn.IFS(P348&lt;200, "10", P348&lt;400, "12", P348&lt;600, "14", P348&gt;600, "16")</f>
        <v>12</v>
      </c>
      <c r="R348" s="75">
        <f t="shared" ref="R348:R350" si="98">IF(I348="AEX",H348*0.3/400,H348*0.3/200)</f>
        <v>10.178249999999998</v>
      </c>
      <c r="S348" s="75">
        <f t="shared" ref="S348:S350" si="99">R348/O348</f>
        <v>0.15707175925925923</v>
      </c>
      <c r="T348" s="76">
        <v>8062</v>
      </c>
      <c r="U348" s="306">
        <f t="shared" si="96"/>
        <v>59.406086507994992</v>
      </c>
      <c r="V348" s="76">
        <v>163.25</v>
      </c>
      <c r="W348" s="3" t="s">
        <v>91</v>
      </c>
      <c r="X348" s="2">
        <v>46003</v>
      </c>
      <c r="Y348" s="3" t="s">
        <v>97</v>
      </c>
      <c r="Z348" s="3" t="s">
        <v>87</v>
      </c>
      <c r="AA348" s="76">
        <v>8367.7199999999993</v>
      </c>
      <c r="AB348" s="76">
        <v>204.69</v>
      </c>
    </row>
    <row r="349" spans="1:28" x14ac:dyDescent="0.35">
      <c r="A349" s="351">
        <v>46003</v>
      </c>
      <c r="B349" s="76" t="s">
        <v>655</v>
      </c>
      <c r="C349" s="71" t="s">
        <v>104</v>
      </c>
      <c r="D349" s="3"/>
      <c r="E349" s="3" t="s">
        <v>86</v>
      </c>
      <c r="F349" s="3" t="s">
        <v>87</v>
      </c>
      <c r="G349" s="3" t="s">
        <v>87</v>
      </c>
      <c r="H349" s="76">
        <v>5597</v>
      </c>
      <c r="I349" s="3" t="s">
        <v>88</v>
      </c>
      <c r="J349" s="3" t="s">
        <v>377</v>
      </c>
      <c r="K349" s="3" t="s">
        <v>479</v>
      </c>
      <c r="L349" s="326" t="s">
        <v>454</v>
      </c>
      <c r="M349" s="3" t="s">
        <v>502</v>
      </c>
      <c r="N349" s="356" cm="1">
        <f t="array" ref="N349">_xlfn.IFS(I349="AEX",H349/400,I349="RP",H349/200)</f>
        <v>13.9925</v>
      </c>
      <c r="O349" s="3">
        <v>65.8</v>
      </c>
      <c r="P349" s="75">
        <f t="shared" si="97"/>
        <v>85.060790273556236</v>
      </c>
      <c r="Q349" s="3" t="str" cm="1">
        <f t="array" ref="Q349">_xlfn.IFS(P349&lt;200, "10", P349&lt;400, "12", P349&lt;600, "14", P349&gt;600, "16")</f>
        <v>10</v>
      </c>
      <c r="R349" s="75">
        <f t="shared" si="98"/>
        <v>4.1977500000000001</v>
      </c>
      <c r="S349" s="75">
        <f t="shared" si="99"/>
        <v>6.3795592705167173E-2</v>
      </c>
      <c r="U349" s="306">
        <f t="shared" si="96"/>
        <v>0</v>
      </c>
    </row>
    <row r="350" spans="1:28" ht="16.5" customHeight="1" x14ac:dyDescent="0.35">
      <c r="A350" s="351">
        <v>46003</v>
      </c>
      <c r="B350" s="76" t="s">
        <v>658</v>
      </c>
      <c r="C350" s="71" t="s">
        <v>104</v>
      </c>
      <c r="D350" s="3"/>
      <c r="E350" s="3" t="s">
        <v>194</v>
      </c>
      <c r="F350" s="3" t="s">
        <v>87</v>
      </c>
      <c r="G350" s="3" t="s">
        <v>641</v>
      </c>
      <c r="I350" s="3" t="s">
        <v>88</v>
      </c>
      <c r="J350" s="3" t="s">
        <v>89</v>
      </c>
      <c r="K350" s="3" t="s">
        <v>582</v>
      </c>
      <c r="L350" s="326" t="s">
        <v>454</v>
      </c>
      <c r="M350" s="3" t="s">
        <v>502</v>
      </c>
      <c r="N350" s="356" cm="1">
        <f t="array" ref="N350">_xlfn.IFS(I350="AEX",H350/400,I350="RP",H350/200)</f>
        <v>0</v>
      </c>
      <c r="O350" s="3">
        <v>66.8</v>
      </c>
      <c r="P350" s="75">
        <f t="shared" si="97"/>
        <v>0</v>
      </c>
      <c r="Q350" s="3" t="str" cm="1">
        <f t="array" ref="Q350">_xlfn.IFS(P350&lt;200, "10", P350&lt;400, "12", P350&lt;600, "14", P350&gt;600, "16")</f>
        <v>10</v>
      </c>
      <c r="R350" s="75">
        <f t="shared" si="98"/>
        <v>0</v>
      </c>
      <c r="S350" s="75">
        <f t="shared" si="99"/>
        <v>0</v>
      </c>
      <c r="U350" s="306" t="e">
        <f t="shared" si="96"/>
        <v>#DIV/0!</v>
      </c>
    </row>
    <row r="351" spans="1:28" ht="16.5" customHeight="1" x14ac:dyDescent="0.35">
      <c r="A351" s="351">
        <v>46003</v>
      </c>
      <c r="B351" s="76" t="s">
        <v>659</v>
      </c>
      <c r="C351" s="71" t="s">
        <v>104</v>
      </c>
      <c r="D351" s="3"/>
      <c r="E351" s="3" t="s">
        <v>257</v>
      </c>
      <c r="F351" s="3" t="s">
        <v>87</v>
      </c>
      <c r="G351" s="3" t="s">
        <v>641</v>
      </c>
      <c r="H351" s="76">
        <v>1828</v>
      </c>
      <c r="I351" s="3" t="s">
        <v>88</v>
      </c>
      <c r="J351" s="3" t="s">
        <v>377</v>
      </c>
      <c r="K351" s="3" t="s">
        <v>479</v>
      </c>
      <c r="L351" s="326" t="s">
        <v>454</v>
      </c>
      <c r="M351" s="3" t="s">
        <v>502</v>
      </c>
      <c r="N351" s="356" cm="1">
        <f t="array" ref="N351">_xlfn.IFS(I351="AEX",H351/400,I351="RP",H351/200)</f>
        <v>4.57</v>
      </c>
      <c r="O351" s="3">
        <v>16.100000000000001</v>
      </c>
      <c r="P351" s="75">
        <f>H351/O351</f>
        <v>113.54037267080744</v>
      </c>
      <c r="Q351" s="3" t="str" cm="1">
        <f t="array" ref="Q351">_xlfn.IFS(P351&lt;200, "10", P351&lt;400, "12", P351&lt;600, "14", P351&gt;600, "16")</f>
        <v>10</v>
      </c>
      <c r="R351" s="75">
        <f>IF(I351="AEX",H351*0.3/400,H351*0.3/200)</f>
        <v>1.371</v>
      </c>
      <c r="S351" s="75">
        <f>R351/O351</f>
        <v>8.5155279503105585E-2</v>
      </c>
      <c r="U351" s="306">
        <f t="shared" si="96"/>
        <v>0</v>
      </c>
    </row>
    <row r="352" spans="1:28" x14ac:dyDescent="0.35">
      <c r="A352" s="351">
        <v>46003</v>
      </c>
      <c r="B352" s="76" t="s">
        <v>662</v>
      </c>
      <c r="C352" s="71" t="s">
        <v>104</v>
      </c>
      <c r="D352" s="3"/>
      <c r="E352" s="3" t="s">
        <v>194</v>
      </c>
      <c r="F352" s="3">
        <v>0.01</v>
      </c>
      <c r="G352" s="3" t="s">
        <v>640</v>
      </c>
      <c r="H352" s="76">
        <v>72570</v>
      </c>
      <c r="I352" s="3" t="s">
        <v>88</v>
      </c>
      <c r="J352" s="3" t="s">
        <v>89</v>
      </c>
      <c r="K352" s="3" t="s">
        <v>479</v>
      </c>
      <c r="L352" s="326" t="s">
        <v>454</v>
      </c>
      <c r="M352" s="3" t="s">
        <v>502</v>
      </c>
      <c r="N352" s="356" cm="1">
        <f t="array" ref="N352">_xlfn.IFS(I352="AEX",H352/400,I352="RP",H352/200)</f>
        <v>181.42500000000001</v>
      </c>
      <c r="O352" s="3">
        <v>288</v>
      </c>
      <c r="P352" s="75">
        <f t="shared" ref="P352" si="100">H352/O352</f>
        <v>251.97916666666666</v>
      </c>
      <c r="Q352" s="3" t="str" cm="1">
        <f t="array" ref="Q352">_xlfn.IFS(P352&lt;200, "10", P352&lt;400, "12", P352&lt;600, "14", P352&gt;600, "16")</f>
        <v>12</v>
      </c>
      <c r="R352" s="75">
        <f t="shared" ref="R352" si="101">IF(I352="AEX",H352*0.3/400,H352*0.3/200)</f>
        <v>54.427500000000002</v>
      </c>
      <c r="S352" s="75">
        <f t="shared" ref="S352" si="102">R352/O352</f>
        <v>0.18898437500000001</v>
      </c>
      <c r="T352" s="76">
        <v>29717</v>
      </c>
      <c r="U352" s="306">
        <f t="shared" si="96"/>
        <v>40.949428138349184</v>
      </c>
      <c r="V352" s="76">
        <v>581</v>
      </c>
      <c r="W352" s="3" t="s">
        <v>91</v>
      </c>
      <c r="X352" s="2">
        <v>46006</v>
      </c>
      <c r="Y352" s="3" t="s">
        <v>318</v>
      </c>
      <c r="Z352" s="3" t="s">
        <v>87</v>
      </c>
      <c r="AA352" s="76">
        <v>29133.244999999999</v>
      </c>
      <c r="AB352" s="76">
        <v>224.58</v>
      </c>
    </row>
    <row r="353" spans="1:30" ht="16.5" customHeight="1" x14ac:dyDescent="0.35">
      <c r="A353" s="351">
        <v>46003</v>
      </c>
      <c r="B353" s="76" t="s">
        <v>668</v>
      </c>
      <c r="C353" s="71" t="s">
        <v>104</v>
      </c>
      <c r="D353" s="3"/>
      <c r="E353" s="3" t="s">
        <v>194</v>
      </c>
      <c r="F353" s="3" t="s">
        <v>87</v>
      </c>
      <c r="G353" s="3" t="s">
        <v>641</v>
      </c>
      <c r="H353" s="76">
        <v>1200</v>
      </c>
      <c r="I353" s="3" t="s">
        <v>70</v>
      </c>
      <c r="J353" s="3" t="s">
        <v>195</v>
      </c>
      <c r="K353" s="327" t="s">
        <v>489</v>
      </c>
      <c r="L353" s="326" t="s">
        <v>459</v>
      </c>
      <c r="M353" s="3">
        <v>40</v>
      </c>
      <c r="N353" s="356" cm="1">
        <f t="array" ref="N353">_xlfn.IFS(I353="AEX",H353/400,I353="RP",H353/200)</f>
        <v>6</v>
      </c>
      <c r="O353" s="3">
        <v>24</v>
      </c>
      <c r="P353" s="75">
        <f t="shared" ref="P353:P362" si="103">H353/O353</f>
        <v>50</v>
      </c>
      <c r="Q353" s="3" t="str" cm="1">
        <f t="array" ref="Q353">_xlfn.IFS(P353&lt;200, "10", P353&lt;400, "12", P353&lt;600, "14", P353&gt;600, "16")</f>
        <v>10</v>
      </c>
      <c r="R353" s="75">
        <f t="shared" ref="R353:R362" si="104">IF(I353="AEX",H353*0.3/400,H353*0.3/200)</f>
        <v>1.8</v>
      </c>
      <c r="S353" s="75">
        <f>R353/O353</f>
        <v>7.4999999999999997E-2</v>
      </c>
      <c r="T353" s="76">
        <v>435</v>
      </c>
      <c r="U353" s="306">
        <f t="shared" si="96"/>
        <v>36.25</v>
      </c>
    </row>
    <row r="354" spans="1:30" ht="16.5" customHeight="1" x14ac:dyDescent="0.35">
      <c r="A354" s="351">
        <v>46006</v>
      </c>
      <c r="B354" s="76" t="s">
        <v>663</v>
      </c>
      <c r="C354" s="71" t="s">
        <v>104</v>
      </c>
      <c r="D354" s="3"/>
      <c r="E354" s="3" t="s">
        <v>87</v>
      </c>
      <c r="F354" s="3" t="s">
        <v>87</v>
      </c>
      <c r="G354" s="3" t="s">
        <v>641</v>
      </c>
      <c r="H354" s="76">
        <v>2842</v>
      </c>
      <c r="I354" s="2" t="s">
        <v>88</v>
      </c>
      <c r="J354" s="3" t="s">
        <v>89</v>
      </c>
      <c r="K354" s="3" t="s">
        <v>479</v>
      </c>
      <c r="L354" s="326" t="s">
        <v>454</v>
      </c>
      <c r="M354" s="3" t="s">
        <v>502</v>
      </c>
      <c r="N354" s="356" cm="1">
        <f t="array" ref="N354">_xlfn.IFS(I354="AEX",H354/400,I354="RP",H354/200)</f>
        <v>7.1050000000000004</v>
      </c>
      <c r="O354" s="3">
        <v>23.5</v>
      </c>
      <c r="P354" s="75">
        <f t="shared" si="103"/>
        <v>120.93617021276596</v>
      </c>
      <c r="Q354" s="3" t="str" cm="1">
        <f t="array" ref="Q354">_xlfn.IFS(P354&lt;200, "10", P354&lt;400, "12", P354&lt;600, "14", P354&gt;600, "16")</f>
        <v>10</v>
      </c>
      <c r="R354" s="75">
        <f t="shared" si="104"/>
        <v>2.1315</v>
      </c>
      <c r="S354" s="75">
        <f t="shared" si="74"/>
        <v>9.0702127659574472E-2</v>
      </c>
      <c r="U354" s="306">
        <f t="shared" si="96"/>
        <v>0</v>
      </c>
    </row>
    <row r="355" spans="1:30" ht="16.5" customHeight="1" x14ac:dyDescent="0.35">
      <c r="A355" s="351">
        <v>46006</v>
      </c>
      <c r="B355" s="76" t="s">
        <v>664</v>
      </c>
      <c r="C355" s="71" t="s">
        <v>104</v>
      </c>
      <c r="D355" s="3"/>
      <c r="E355" s="3" t="s">
        <v>87</v>
      </c>
      <c r="F355" s="3" t="s">
        <v>87</v>
      </c>
      <c r="G355" s="3" t="s">
        <v>641</v>
      </c>
      <c r="H355" s="76">
        <v>3603</v>
      </c>
      <c r="I355" s="2" t="s">
        <v>88</v>
      </c>
      <c r="J355" s="3" t="s">
        <v>377</v>
      </c>
      <c r="K355" s="3" t="s">
        <v>582</v>
      </c>
      <c r="L355" s="326" t="s">
        <v>454</v>
      </c>
      <c r="M355" s="3" t="s">
        <v>502</v>
      </c>
      <c r="N355" s="356" cm="1">
        <f t="array" ref="N355">_xlfn.IFS(I355="AEX",H355/400,I355="RP",H355/200)</f>
        <v>9.0075000000000003</v>
      </c>
      <c r="O355" s="3">
        <v>16.100000000000001</v>
      </c>
      <c r="P355" s="75">
        <f t="shared" si="103"/>
        <v>223.78881987577637</v>
      </c>
      <c r="Q355" s="3" t="str" cm="1">
        <f t="array" ref="Q355">_xlfn.IFS(P355&lt;200, "10", P355&lt;400, "12", P355&lt;600, "14", P355&gt;600, "16")</f>
        <v>12</v>
      </c>
      <c r="R355" s="75">
        <f t="shared" si="104"/>
        <v>2.7022499999999998</v>
      </c>
      <c r="S355" s="75">
        <f t="shared" si="74"/>
        <v>0.16784161490683228</v>
      </c>
      <c r="U355" s="306">
        <f t="shared" si="96"/>
        <v>0</v>
      </c>
    </row>
    <row r="356" spans="1:30" ht="16.5" customHeight="1" x14ac:dyDescent="0.35">
      <c r="A356" s="351">
        <v>46006</v>
      </c>
      <c r="B356" s="76" t="s">
        <v>669</v>
      </c>
      <c r="C356" s="71" t="s">
        <v>104</v>
      </c>
      <c r="D356" s="3"/>
      <c r="E356" s="3" t="s">
        <v>194</v>
      </c>
      <c r="F356" s="3" t="s">
        <v>87</v>
      </c>
      <c r="G356" s="3" t="s">
        <v>641</v>
      </c>
      <c r="H356" s="76">
        <v>1028</v>
      </c>
      <c r="I356" s="3" t="s">
        <v>70</v>
      </c>
      <c r="J356" s="3" t="s">
        <v>195</v>
      </c>
      <c r="K356" s="327" t="s">
        <v>489</v>
      </c>
      <c r="L356" s="326" t="s">
        <v>459</v>
      </c>
      <c r="M356" s="3">
        <v>40</v>
      </c>
      <c r="N356" s="356" cm="1">
        <f t="array" ref="N356">_xlfn.IFS(I356="AEX",H356/400,I356="RP",H356/200)</f>
        <v>5.14</v>
      </c>
      <c r="O356" s="3">
        <v>24</v>
      </c>
      <c r="P356" s="75">
        <f t="shared" si="103"/>
        <v>42.833333333333336</v>
      </c>
      <c r="Q356" s="3" t="str" cm="1">
        <f t="array" ref="Q356">_xlfn.IFS(P356&lt;200, "10", P356&lt;400, "12", P356&lt;600, "14", P356&gt;600, "16")</f>
        <v>10</v>
      </c>
      <c r="R356" s="75">
        <f t="shared" si="104"/>
        <v>1.5419999999999998</v>
      </c>
      <c r="S356" s="75">
        <f t="shared" ref="S356:S362" si="105">R356/O356</f>
        <v>6.4249999999999988E-2</v>
      </c>
      <c r="U356" s="306">
        <f t="shared" ref="U356:U362" si="106">T356/H356*100</f>
        <v>0</v>
      </c>
    </row>
    <row r="357" spans="1:30" ht="16.5" customHeight="1" x14ac:dyDescent="0.35">
      <c r="A357" s="351">
        <v>46006</v>
      </c>
      <c r="B357" s="76" t="s">
        <v>670</v>
      </c>
      <c r="C357" s="71" t="s">
        <v>104</v>
      </c>
      <c r="D357" s="3"/>
      <c r="E357" s="3" t="s">
        <v>194</v>
      </c>
      <c r="F357" s="3" t="s">
        <v>87</v>
      </c>
      <c r="G357" s="3" t="s">
        <v>641</v>
      </c>
      <c r="H357" s="76">
        <v>1028</v>
      </c>
      <c r="I357" s="3" t="s">
        <v>70</v>
      </c>
      <c r="J357" s="3" t="s">
        <v>195</v>
      </c>
      <c r="K357" s="327" t="s">
        <v>489</v>
      </c>
      <c r="L357" s="326" t="s">
        <v>459</v>
      </c>
      <c r="M357" s="3">
        <v>40</v>
      </c>
      <c r="N357" s="356" cm="1">
        <f t="array" ref="N357">_xlfn.IFS(I357="AEX",H357/400,I357="RP",H357/200)</f>
        <v>5.14</v>
      </c>
      <c r="O357" s="3">
        <v>24</v>
      </c>
      <c r="P357" s="75">
        <f t="shared" si="103"/>
        <v>42.833333333333336</v>
      </c>
      <c r="Q357" s="3" t="str" cm="1">
        <f t="array" ref="Q357">_xlfn.IFS(P357&lt;200, "10", P357&lt;400, "12", P357&lt;600, "14", P357&gt;600, "16")</f>
        <v>10</v>
      </c>
      <c r="R357" s="75">
        <f t="shared" si="104"/>
        <v>1.5419999999999998</v>
      </c>
      <c r="S357" s="75">
        <f t="shared" si="105"/>
        <v>6.4249999999999988E-2</v>
      </c>
      <c r="T357" s="76">
        <v>537</v>
      </c>
      <c r="U357" s="306">
        <f t="shared" si="106"/>
        <v>52.237354085603116</v>
      </c>
    </row>
    <row r="358" spans="1:30" ht="16.5" customHeight="1" x14ac:dyDescent="0.35">
      <c r="A358" s="351">
        <v>46006</v>
      </c>
      <c r="B358" s="76" t="s">
        <v>665</v>
      </c>
      <c r="C358" s="71" t="s">
        <v>104</v>
      </c>
      <c r="D358" s="3"/>
      <c r="E358" s="3" t="s">
        <v>87</v>
      </c>
      <c r="F358" s="3" t="s">
        <v>87</v>
      </c>
      <c r="G358" s="3" t="s">
        <v>641</v>
      </c>
      <c r="H358" s="76">
        <v>2463</v>
      </c>
      <c r="I358" s="2" t="s">
        <v>88</v>
      </c>
      <c r="J358" s="3" t="s">
        <v>89</v>
      </c>
      <c r="K358" s="3" t="s">
        <v>479</v>
      </c>
      <c r="L358" s="326" t="s">
        <v>454</v>
      </c>
      <c r="M358" s="3" t="s">
        <v>502</v>
      </c>
      <c r="N358" s="356" cm="1">
        <f t="array" ref="N358">_xlfn.IFS(I358="AEX",H358/400,I358="RP",H358/200)</f>
        <v>6.1574999999999998</v>
      </c>
      <c r="O358" s="3">
        <v>16.100000000000001</v>
      </c>
      <c r="P358" s="75">
        <f>H358/O358</f>
        <v>152.98136645962731</v>
      </c>
      <c r="Q358" s="3" t="str" cm="1">
        <f t="array" ref="Q358">_xlfn.IFS(P358&lt;200, "10", P358&lt;400, "12", P358&lt;600, "14", P358&gt;600, "16")</f>
        <v>10</v>
      </c>
      <c r="R358" s="75">
        <f>IF(I358="AEX",H358*0.3/400,H358*0.3/200)</f>
        <v>1.8472499999999998</v>
      </c>
      <c r="S358" s="75">
        <f t="shared" si="105"/>
        <v>0.11473602484472048</v>
      </c>
      <c r="U358" s="306">
        <f t="shared" si="106"/>
        <v>0</v>
      </c>
    </row>
    <row r="359" spans="1:30" ht="16.5" customHeight="1" x14ac:dyDescent="0.35">
      <c r="A359" s="351">
        <v>46006</v>
      </c>
      <c r="B359" s="76" t="s">
        <v>666</v>
      </c>
      <c r="C359" s="71" t="s">
        <v>104</v>
      </c>
      <c r="D359" s="3"/>
      <c r="E359" s="3" t="s">
        <v>87</v>
      </c>
      <c r="F359" s="3" t="s">
        <v>87</v>
      </c>
      <c r="G359" s="3" t="s">
        <v>641</v>
      </c>
      <c r="H359" s="76">
        <v>2463</v>
      </c>
      <c r="I359" s="2" t="s">
        <v>88</v>
      </c>
      <c r="J359" s="3" t="s">
        <v>377</v>
      </c>
      <c r="K359" s="3" t="s">
        <v>479</v>
      </c>
      <c r="L359" s="326" t="s">
        <v>454</v>
      </c>
      <c r="M359" s="3" t="s">
        <v>502</v>
      </c>
      <c r="N359" s="356" cm="1">
        <f t="array" ref="N359">_xlfn.IFS(I359="AEX",H359/400,I359="RP",H359/200)</f>
        <v>6.1574999999999998</v>
      </c>
      <c r="O359" s="3">
        <v>23.5</v>
      </c>
      <c r="P359" s="75">
        <f>H359/O359</f>
        <v>104.80851063829788</v>
      </c>
      <c r="Q359" s="3" t="str" cm="1">
        <f t="array" ref="Q359">_xlfn.IFS(P359&lt;200, "10", P359&lt;400, "12", P359&lt;600, "14", P359&gt;600, "16")</f>
        <v>10</v>
      </c>
      <c r="R359" s="75">
        <f>IF(I359="AEX",H359*0.3/400,H359*0.3/200)</f>
        <v>1.8472499999999998</v>
      </c>
      <c r="S359" s="75">
        <f t="shared" si="105"/>
        <v>7.8606382978723396E-2</v>
      </c>
      <c r="U359" s="306">
        <f t="shared" si="106"/>
        <v>0</v>
      </c>
    </row>
    <row r="360" spans="1:30" ht="16.5" customHeight="1" x14ac:dyDescent="0.35">
      <c r="A360" s="351">
        <v>46006</v>
      </c>
      <c r="B360" s="76" t="s">
        <v>656</v>
      </c>
      <c r="C360" s="71" t="s">
        <v>104</v>
      </c>
      <c r="D360" s="3"/>
      <c r="E360" s="3" t="s">
        <v>86</v>
      </c>
      <c r="F360" s="3" t="s">
        <v>87</v>
      </c>
      <c r="G360" s="3" t="s">
        <v>640</v>
      </c>
      <c r="H360" s="76">
        <v>9464</v>
      </c>
      <c r="I360" s="3" t="s">
        <v>88</v>
      </c>
      <c r="J360" s="3" t="s">
        <v>89</v>
      </c>
      <c r="K360" s="3" t="s">
        <v>479</v>
      </c>
      <c r="L360" s="326" t="s">
        <v>454</v>
      </c>
      <c r="M360" s="3" t="s">
        <v>502</v>
      </c>
      <c r="N360" s="356" cm="1">
        <f t="array" ref="N360">_xlfn.IFS(I360="AEX",H360/400,I360="RP",H360/200)</f>
        <v>23.66</v>
      </c>
      <c r="O360" s="3">
        <v>64.7</v>
      </c>
      <c r="P360" s="75">
        <f t="shared" si="103"/>
        <v>146.27511591962906</v>
      </c>
      <c r="Q360" s="3" t="str" cm="1">
        <f t="array" ref="Q360">_xlfn.IFS(P360&lt;200, "10", P360&lt;400, "12", P360&lt;600, "14", P360&gt;600, "16")</f>
        <v>10</v>
      </c>
      <c r="R360" s="75">
        <v>10</v>
      </c>
      <c r="S360" s="75">
        <f t="shared" si="105"/>
        <v>0.15455950540958269</v>
      </c>
      <c r="T360" s="76">
        <v>4508</v>
      </c>
      <c r="U360" s="306">
        <f t="shared" si="106"/>
        <v>47.633136094674555</v>
      </c>
      <c r="V360" s="76">
        <v>99.08</v>
      </c>
      <c r="W360" s="3" t="s">
        <v>91</v>
      </c>
      <c r="X360" s="2">
        <v>46007</v>
      </c>
      <c r="Y360" s="3" t="s">
        <v>97</v>
      </c>
      <c r="Z360" s="3" t="s">
        <v>87</v>
      </c>
      <c r="AA360" s="76">
        <v>4665.2700000000004</v>
      </c>
      <c r="AB360" s="76">
        <v>143.99</v>
      </c>
    </row>
    <row r="361" spans="1:30" ht="16.5" customHeight="1" x14ac:dyDescent="0.35">
      <c r="A361" s="351">
        <v>46006</v>
      </c>
      <c r="B361" s="76" t="s">
        <v>671</v>
      </c>
      <c r="C361" s="71" t="s">
        <v>104</v>
      </c>
      <c r="D361" s="3"/>
      <c r="E361" s="3" t="s">
        <v>194</v>
      </c>
      <c r="F361" s="3">
        <v>0.01</v>
      </c>
      <c r="G361" s="3" t="s">
        <v>640</v>
      </c>
      <c r="H361" s="76">
        <v>109997</v>
      </c>
      <c r="I361" s="3" t="s">
        <v>88</v>
      </c>
      <c r="J361" s="3" t="s">
        <v>89</v>
      </c>
      <c r="K361" s="3" t="s">
        <v>479</v>
      </c>
      <c r="L361" s="326" t="s">
        <v>454</v>
      </c>
      <c r="M361" s="3" t="s">
        <v>502</v>
      </c>
      <c r="N361" s="356" cm="1">
        <f t="array" ref="N361">_xlfn.IFS(I361="AEX",H361/400,I361="RP",H361/200)</f>
        <v>274.99250000000001</v>
      </c>
      <c r="O361" s="3">
        <v>288</v>
      </c>
      <c r="P361" s="75">
        <f t="shared" si="103"/>
        <v>381.93402777777777</v>
      </c>
      <c r="Q361" s="3" t="str" cm="1">
        <f t="array" ref="Q361">_xlfn.IFS(P361&lt;200, "10", P361&lt;400, "12", P361&lt;600, "14", P361&gt;600, "16")</f>
        <v>12</v>
      </c>
      <c r="R361" s="75">
        <f t="shared" si="104"/>
        <v>82.497749999999996</v>
      </c>
      <c r="S361" s="75">
        <f t="shared" si="105"/>
        <v>0.28645052083333333</v>
      </c>
      <c r="T361" s="76">
        <v>31003</v>
      </c>
      <c r="U361" s="306">
        <f t="shared" si="106"/>
        <v>28.185314144931223</v>
      </c>
      <c r="V361" s="76">
        <v>623.79999999999995</v>
      </c>
      <c r="W361" s="3" t="s">
        <v>91</v>
      </c>
      <c r="X361" s="2">
        <v>46007</v>
      </c>
      <c r="Y361" s="3" t="s">
        <v>95</v>
      </c>
      <c r="Z361" s="3" t="s">
        <v>87</v>
      </c>
      <c r="AA361" s="76">
        <v>32194.2</v>
      </c>
      <c r="AB361" s="76">
        <v>208.57</v>
      </c>
    </row>
    <row r="362" spans="1:30" ht="16.5" customHeight="1" x14ac:dyDescent="0.35">
      <c r="A362" s="351">
        <v>46006</v>
      </c>
      <c r="B362" s="76" t="s">
        <v>677</v>
      </c>
      <c r="C362" s="71" t="s">
        <v>104</v>
      </c>
      <c r="D362" s="3"/>
      <c r="E362" s="3" t="s">
        <v>86</v>
      </c>
      <c r="F362" s="3" t="s">
        <v>87</v>
      </c>
      <c r="G362" s="3" t="s">
        <v>640</v>
      </c>
      <c r="H362" s="76">
        <v>2980</v>
      </c>
      <c r="I362" s="3" t="s">
        <v>70</v>
      </c>
      <c r="J362" s="3" t="s">
        <v>195</v>
      </c>
      <c r="K362" s="327" t="s">
        <v>489</v>
      </c>
      <c r="L362" s="351" t="s">
        <v>648</v>
      </c>
      <c r="M362" s="3">
        <v>40</v>
      </c>
      <c r="N362" s="356" cm="1">
        <f t="array" ref="N362">_xlfn.IFS(I362="AEX",H362/400,I362="RP",H362/200)</f>
        <v>14.9</v>
      </c>
      <c r="O362" s="3">
        <v>24</v>
      </c>
      <c r="P362" s="75">
        <f t="shared" si="103"/>
        <v>124.16666666666667</v>
      </c>
      <c r="Q362" s="3" t="str" cm="1">
        <f t="array" ref="Q362">_xlfn.IFS(P362&lt;200, "10", P362&lt;400, "12", P362&lt;600, "14", P362&gt;600, "16")</f>
        <v>10</v>
      </c>
      <c r="R362" s="75">
        <f t="shared" si="104"/>
        <v>4.47</v>
      </c>
      <c r="S362" s="75">
        <f t="shared" si="105"/>
        <v>0.18625</v>
      </c>
      <c r="T362" s="76">
        <v>478</v>
      </c>
      <c r="U362" s="306">
        <f t="shared" si="106"/>
        <v>16.040268456375838</v>
      </c>
      <c r="W362" s="3" t="s">
        <v>87</v>
      </c>
      <c r="X362" s="351">
        <v>46006</v>
      </c>
      <c r="Y362" s="3" t="s">
        <v>172</v>
      </c>
      <c r="Z362" s="3" t="s">
        <v>91</v>
      </c>
      <c r="AA362" s="76">
        <v>347</v>
      </c>
      <c r="AD362" s="47" t="s">
        <v>726</v>
      </c>
    </row>
    <row r="363" spans="1:30" ht="16" customHeight="1" x14ac:dyDescent="0.35">
      <c r="A363" s="351">
        <v>46007</v>
      </c>
      <c r="B363" s="76" t="s">
        <v>675</v>
      </c>
      <c r="C363" s="71" t="s">
        <v>104</v>
      </c>
      <c r="D363" s="3" t="s">
        <v>690</v>
      </c>
      <c r="E363" s="3" t="s">
        <v>194</v>
      </c>
      <c r="F363" s="3">
        <v>0.01</v>
      </c>
      <c r="G363" s="3" t="s">
        <v>640</v>
      </c>
      <c r="H363" s="76">
        <v>71449</v>
      </c>
      <c r="I363" s="3" t="s">
        <v>88</v>
      </c>
      <c r="J363" s="3" t="s">
        <v>377</v>
      </c>
      <c r="K363" s="3" t="s">
        <v>634</v>
      </c>
      <c r="L363" s="326" t="s">
        <v>454</v>
      </c>
      <c r="M363" s="3" t="s">
        <v>502</v>
      </c>
      <c r="N363" s="356" cm="1">
        <f t="array" ref="N363">_xlfn.IFS(I363="AEX",H363/400,I363="RP",H363/200)</f>
        <v>178.6225</v>
      </c>
      <c r="O363" s="3">
        <v>288</v>
      </c>
      <c r="P363" s="75">
        <f t="shared" ref="P363:P425" si="107">H363/O363</f>
        <v>248.08680555555554</v>
      </c>
      <c r="Q363" s="3" t="str" cm="1">
        <f t="array" ref="Q363">_xlfn.IFS(P363&lt;200, "10", P363&lt;400, "12", P363&lt;600, "14", P363&gt;600, "16")</f>
        <v>12</v>
      </c>
      <c r="R363" s="75">
        <f>IF(I363="AEX",H363*0.3/400,H363*0.3/200)</f>
        <v>53.586750000000002</v>
      </c>
      <c r="S363" s="75">
        <f t="shared" ref="S363:S425" si="108">R363/O363</f>
        <v>0.18606510416666666</v>
      </c>
      <c r="T363" s="76" t="s">
        <v>707</v>
      </c>
      <c r="U363" s="306" t="e">
        <f t="shared" ref="U363:U369" si="109">T363/H363*100</f>
        <v>#VALUE!</v>
      </c>
    </row>
    <row r="364" spans="1:30" ht="16.5" customHeight="1" x14ac:dyDescent="0.35">
      <c r="A364" s="351">
        <v>46007</v>
      </c>
      <c r="B364" s="76" t="s">
        <v>676</v>
      </c>
      <c r="C364" s="71" t="s">
        <v>104</v>
      </c>
      <c r="D364" s="3" t="s">
        <v>691</v>
      </c>
      <c r="E364" s="3" t="s">
        <v>86</v>
      </c>
      <c r="F364" s="3" t="s">
        <v>87</v>
      </c>
      <c r="G364" s="3" t="s">
        <v>640</v>
      </c>
      <c r="H364" s="76">
        <v>77101</v>
      </c>
      <c r="I364" s="2" t="s">
        <v>88</v>
      </c>
      <c r="J364" s="3" t="s">
        <v>89</v>
      </c>
      <c r="K364" s="327" t="s">
        <v>498</v>
      </c>
      <c r="L364" s="326" t="s">
        <v>455</v>
      </c>
      <c r="M364" s="3">
        <v>60</v>
      </c>
      <c r="N364" s="356" cm="1">
        <f t="array" ref="N364">_xlfn.IFS(I364="AEX",H364/400,I364="RP",H364/200)</f>
        <v>192.7525</v>
      </c>
      <c r="O364" s="3">
        <v>760</v>
      </c>
      <c r="P364" s="75">
        <f t="shared" si="107"/>
        <v>101.44868421052631</v>
      </c>
      <c r="Q364" s="3" t="str" cm="1">
        <f t="array" ref="Q364">_xlfn.IFS(P364&lt;200, "10", P364&lt;400, "12", P364&lt;600, "14", P364&gt;600, "16")</f>
        <v>10</v>
      </c>
      <c r="R364" s="75">
        <v>45</v>
      </c>
      <c r="S364" s="75">
        <f t="shared" si="108"/>
        <v>5.921052631578947E-2</v>
      </c>
      <c r="T364" s="76">
        <v>39384</v>
      </c>
      <c r="U364" s="306">
        <f t="shared" si="109"/>
        <v>51.081049532431486</v>
      </c>
      <c r="V364" s="76">
        <v>587.48</v>
      </c>
      <c r="W364" s="3" t="s">
        <v>87</v>
      </c>
      <c r="X364" s="2">
        <v>46008</v>
      </c>
      <c r="Y364" s="3" t="s">
        <v>95</v>
      </c>
      <c r="Z364" s="3" t="s">
        <v>87</v>
      </c>
      <c r="AA364" s="76">
        <v>39525.599999999999</v>
      </c>
      <c r="AB364" s="76">
        <v>225.81</v>
      </c>
    </row>
    <row r="365" spans="1:30" ht="16.5" customHeight="1" x14ac:dyDescent="0.35">
      <c r="A365" s="351">
        <v>46007</v>
      </c>
      <c r="B365" s="76" t="s">
        <v>685</v>
      </c>
      <c r="C365" s="71" t="s">
        <v>104</v>
      </c>
      <c r="D365" s="3"/>
      <c r="E365" s="3" t="s">
        <v>87</v>
      </c>
      <c r="F365" s="3" t="s">
        <v>87</v>
      </c>
      <c r="G365" s="3" t="s">
        <v>641</v>
      </c>
      <c r="H365" s="76">
        <v>2959</v>
      </c>
      <c r="I365" s="3" t="s">
        <v>88</v>
      </c>
      <c r="J365" s="3" t="s">
        <v>377</v>
      </c>
      <c r="K365" s="3" t="s">
        <v>634</v>
      </c>
      <c r="L365" s="326" t="s">
        <v>454</v>
      </c>
      <c r="M365" s="3" t="s">
        <v>502</v>
      </c>
      <c r="N365" s="356" cm="1">
        <f t="array" ref="N365">_xlfn.IFS(I365="AEX",H365/400,I365="RP",H365/200)</f>
        <v>7.3975</v>
      </c>
      <c r="O365" s="3">
        <v>16.100000000000001</v>
      </c>
      <c r="P365" s="75">
        <f t="shared" si="107"/>
        <v>183.78881987577637</v>
      </c>
      <c r="Q365" s="3" t="str" cm="1">
        <f t="array" ref="Q365">_xlfn.IFS(P365&lt;200, "10", P365&lt;400, "12", P365&lt;600, "14", P365&gt;600, "16")</f>
        <v>10</v>
      </c>
      <c r="R365" s="75">
        <f t="shared" ref="R365:R378" si="110">IF(I365="AEX",H365*0.3/400,H365*0.3/200)</f>
        <v>2.2192499999999997</v>
      </c>
      <c r="S365" s="75">
        <f t="shared" si="108"/>
        <v>0.13784161490683228</v>
      </c>
      <c r="U365" s="306">
        <f t="shared" si="109"/>
        <v>0</v>
      </c>
      <c r="V365" s="76">
        <v>15</v>
      </c>
      <c r="W365" s="3" t="s">
        <v>91</v>
      </c>
      <c r="X365" s="351">
        <v>46007</v>
      </c>
      <c r="Y365" s="3" t="s">
        <v>172</v>
      </c>
      <c r="Z365" s="3" t="s">
        <v>87</v>
      </c>
      <c r="AA365" s="76">
        <v>1992</v>
      </c>
      <c r="AB365" s="76">
        <v>21</v>
      </c>
    </row>
    <row r="366" spans="1:30" ht="16.5" customHeight="1" x14ac:dyDescent="0.35">
      <c r="A366" s="351">
        <v>46007</v>
      </c>
      <c r="B366" s="76" t="s">
        <v>698</v>
      </c>
      <c r="C366" s="71" t="s">
        <v>104</v>
      </c>
      <c r="D366" s="3"/>
      <c r="E366" s="3" t="s">
        <v>194</v>
      </c>
      <c r="F366" s="3">
        <v>0.01</v>
      </c>
      <c r="G366" s="3" t="s">
        <v>640</v>
      </c>
      <c r="H366" s="76">
        <v>40000</v>
      </c>
      <c r="I366" s="3" t="s">
        <v>88</v>
      </c>
      <c r="J366" s="3" t="s">
        <v>377</v>
      </c>
      <c r="K366" s="3" t="s">
        <v>634</v>
      </c>
      <c r="L366" s="326" t="s">
        <v>454</v>
      </c>
      <c r="M366" s="3" t="s">
        <v>502</v>
      </c>
      <c r="N366" s="356" cm="1">
        <f t="array" ref="N366">_xlfn.IFS(I366="AEX",H366/400,I366="RP",H366/200)</f>
        <v>100</v>
      </c>
      <c r="O366" s="3">
        <v>288</v>
      </c>
      <c r="P366" s="75">
        <f t="shared" si="107"/>
        <v>138.88888888888889</v>
      </c>
      <c r="Q366" s="3" t="str" cm="1">
        <f t="array" ref="Q366">_xlfn.IFS(P366&lt;200, "10", P366&lt;400, "12", P366&lt;600, "14", P366&gt;600, "16")</f>
        <v>10</v>
      </c>
      <c r="R366" s="75">
        <f t="shared" si="110"/>
        <v>30</v>
      </c>
      <c r="S366" s="75">
        <f t="shared" si="108"/>
        <v>0.10416666666666667</v>
      </c>
      <c r="T366" s="76" t="s">
        <v>707</v>
      </c>
      <c r="U366" s="306" t="e">
        <f t="shared" si="109"/>
        <v>#VALUE!</v>
      </c>
    </row>
    <row r="367" spans="1:30" ht="16.5" customHeight="1" x14ac:dyDescent="0.35">
      <c r="A367" s="351">
        <v>46007</v>
      </c>
      <c r="B367" s="76" t="s">
        <v>699</v>
      </c>
      <c r="C367" s="71" t="s">
        <v>104</v>
      </c>
      <c r="D367" s="3"/>
      <c r="E367" s="3" t="s">
        <v>194</v>
      </c>
      <c r="F367" s="3">
        <v>0.01</v>
      </c>
      <c r="G367" s="3" t="s">
        <v>640</v>
      </c>
      <c r="H367" s="76">
        <v>25285</v>
      </c>
      <c r="I367" s="3" t="s">
        <v>88</v>
      </c>
      <c r="J367" s="3" t="s">
        <v>377</v>
      </c>
      <c r="K367" s="3" t="s">
        <v>634</v>
      </c>
      <c r="L367" s="326" t="s">
        <v>454</v>
      </c>
      <c r="M367" s="3" t="s">
        <v>502</v>
      </c>
      <c r="N367" s="356" cm="1">
        <f t="array" ref="N367">_xlfn.IFS(I367="AEX",H367/400,I367="RP",H367/200)</f>
        <v>63.212499999999999</v>
      </c>
      <c r="O367" s="3">
        <v>288</v>
      </c>
      <c r="P367" s="75">
        <f t="shared" si="107"/>
        <v>87.795138888888886</v>
      </c>
      <c r="Q367" s="3" t="str" cm="1">
        <f t="array" ref="Q367">_xlfn.IFS(P367&lt;200, "10", P367&lt;400, "12", P367&lt;600, "14", P367&gt;600, "16")</f>
        <v>10</v>
      </c>
      <c r="R367" s="75">
        <f t="shared" si="110"/>
        <v>18.963750000000001</v>
      </c>
      <c r="S367" s="75">
        <f t="shared" si="108"/>
        <v>6.5846354166666676E-2</v>
      </c>
      <c r="T367" s="76">
        <v>24911</v>
      </c>
      <c r="U367" s="306">
        <f t="shared" si="109"/>
        <v>98.520862171247785</v>
      </c>
      <c r="V367" s="76">
        <v>671.66</v>
      </c>
      <c r="W367" s="3" t="s">
        <v>91</v>
      </c>
      <c r="X367" s="2">
        <v>46013</v>
      </c>
      <c r="Y367" s="3" t="s">
        <v>318</v>
      </c>
      <c r="Z367" s="3" t="s">
        <v>87</v>
      </c>
      <c r="AA367" s="76">
        <v>26663</v>
      </c>
      <c r="AB367" s="76">
        <v>238.87</v>
      </c>
    </row>
    <row r="368" spans="1:30" ht="16.5" customHeight="1" x14ac:dyDescent="0.35">
      <c r="A368" s="351">
        <v>46007</v>
      </c>
      <c r="B368" s="76" t="s">
        <v>686</v>
      </c>
      <c r="C368" s="71" t="s">
        <v>104</v>
      </c>
      <c r="D368" s="3"/>
      <c r="E368" s="3" t="s">
        <v>87</v>
      </c>
      <c r="F368" s="3" t="s">
        <v>87</v>
      </c>
      <c r="G368" s="3" t="s">
        <v>641</v>
      </c>
      <c r="H368" s="76">
        <v>3226</v>
      </c>
      <c r="I368" s="3" t="s">
        <v>88</v>
      </c>
      <c r="J368" s="3" t="s">
        <v>377</v>
      </c>
      <c r="K368" s="3" t="s">
        <v>634</v>
      </c>
      <c r="L368" s="326" t="s">
        <v>454</v>
      </c>
      <c r="M368" s="3" t="s">
        <v>502</v>
      </c>
      <c r="N368" s="356" cm="1">
        <f t="array" ref="N368">_xlfn.IFS(I368="AEX",H368/400,I368="RP",H368/200)</f>
        <v>8.0649999999999995</v>
      </c>
      <c r="O368" s="3">
        <v>16.100000000000001</v>
      </c>
      <c r="P368" s="75">
        <f t="shared" si="107"/>
        <v>200.3726708074534</v>
      </c>
      <c r="Q368" s="3" t="str" cm="1">
        <f t="array" ref="Q368">_xlfn.IFS(P368&lt;200, "10", P368&lt;400, "12", P368&lt;600, "14", P368&gt;600, "16")</f>
        <v>12</v>
      </c>
      <c r="R368" s="75">
        <f t="shared" si="110"/>
        <v>2.4194999999999998</v>
      </c>
      <c r="S368" s="75">
        <f t="shared" si="108"/>
        <v>0.15027950310559005</v>
      </c>
      <c r="U368" s="306">
        <f t="shared" si="109"/>
        <v>0</v>
      </c>
      <c r="V368" s="76">
        <v>15</v>
      </c>
      <c r="W368" s="3" t="s">
        <v>91</v>
      </c>
      <c r="X368" s="351">
        <v>46007</v>
      </c>
      <c r="Y368" s="3" t="s">
        <v>172</v>
      </c>
      <c r="Z368" s="3" t="s">
        <v>87</v>
      </c>
      <c r="AA368" s="76">
        <v>2438</v>
      </c>
      <c r="AB368" s="76">
        <v>21</v>
      </c>
    </row>
    <row r="369" spans="1:30" ht="16.5" customHeight="1" x14ac:dyDescent="0.35">
      <c r="A369" s="351">
        <v>46008</v>
      </c>
      <c r="B369" s="76" t="s">
        <v>695</v>
      </c>
      <c r="C369" s="71" t="s">
        <v>104</v>
      </c>
      <c r="D369" s="3" t="s">
        <v>696</v>
      </c>
      <c r="E369" s="3" t="s">
        <v>86</v>
      </c>
      <c r="F369" s="3" t="s">
        <v>87</v>
      </c>
      <c r="G369" s="3" t="s">
        <v>641</v>
      </c>
      <c r="H369" s="76">
        <v>1282</v>
      </c>
      <c r="I369" s="3" t="s">
        <v>88</v>
      </c>
      <c r="J369" s="3" t="s">
        <v>89</v>
      </c>
      <c r="K369" s="3" t="s">
        <v>479</v>
      </c>
      <c r="L369" s="326" t="s">
        <v>454</v>
      </c>
      <c r="M369" s="3" t="s">
        <v>502</v>
      </c>
      <c r="N369" s="356" cm="1">
        <f t="array" ref="N369">_xlfn.IFS(I369="AEX",H369/400,I369="RP",H369/200)</f>
        <v>3.2050000000000001</v>
      </c>
      <c r="O369" s="3">
        <v>7.9</v>
      </c>
      <c r="P369" s="75">
        <f t="shared" si="107"/>
        <v>162.27848101265823</v>
      </c>
      <c r="Q369" s="3" t="str" cm="1">
        <f t="array" ref="Q369">_xlfn.IFS(P369&lt;200, "10", P369&lt;400, "12", P369&lt;600, "14", P369&gt;600, "16")</f>
        <v>10</v>
      </c>
      <c r="R369" s="75">
        <f t="shared" si="110"/>
        <v>0.96149999999999991</v>
      </c>
      <c r="S369" s="75">
        <f t="shared" si="108"/>
        <v>0.12170886075949365</v>
      </c>
      <c r="U369" s="306">
        <f t="shared" si="109"/>
        <v>0</v>
      </c>
      <c r="AD369" s="47" t="s">
        <v>704</v>
      </c>
    </row>
    <row r="370" spans="1:30" ht="16.5" customHeight="1" x14ac:dyDescent="0.35">
      <c r="A370" s="351">
        <v>46008</v>
      </c>
      <c r="B370" s="76" t="s">
        <v>697</v>
      </c>
      <c r="C370" s="71" t="s">
        <v>104</v>
      </c>
      <c r="D370" s="3" t="s">
        <v>696</v>
      </c>
      <c r="E370" s="3" t="s">
        <v>86</v>
      </c>
      <c r="F370" s="3" t="s">
        <v>87</v>
      </c>
      <c r="G370" s="3" t="s">
        <v>641</v>
      </c>
      <c r="H370" s="76">
        <v>687</v>
      </c>
      <c r="I370" s="3" t="s">
        <v>88</v>
      </c>
      <c r="J370" s="3" t="s">
        <v>89</v>
      </c>
      <c r="K370" s="3" t="s">
        <v>479</v>
      </c>
      <c r="L370" s="326" t="s">
        <v>454</v>
      </c>
      <c r="M370" s="3" t="s">
        <v>502</v>
      </c>
      <c r="N370" s="356" cm="1">
        <f t="array" ref="N370">_xlfn.IFS(I370="AEX",H370/400,I370="RP",H370/200)</f>
        <v>1.7175</v>
      </c>
      <c r="O370" s="3">
        <v>7.9</v>
      </c>
      <c r="P370" s="75">
        <f t="shared" si="107"/>
        <v>86.962025316455694</v>
      </c>
      <c r="Q370" s="3" t="str" cm="1">
        <f t="array" ref="Q370">_xlfn.IFS(P370&lt;200, "10", P370&lt;400, "12", P370&lt;600, "14", P370&gt;600, "16")</f>
        <v>10</v>
      </c>
      <c r="R370" s="75">
        <f t="shared" si="110"/>
        <v>0.51524999999999999</v>
      </c>
      <c r="S370" s="75">
        <f t="shared" si="108"/>
        <v>6.522151898734177E-2</v>
      </c>
      <c r="T370" s="76">
        <v>404</v>
      </c>
      <c r="U370" s="306">
        <f>T370/H370*100</f>
        <v>58.806404657933044</v>
      </c>
      <c r="V370" s="76">
        <v>49</v>
      </c>
      <c r="W370" s="3" t="s">
        <v>87</v>
      </c>
      <c r="X370" s="2">
        <v>46009</v>
      </c>
      <c r="Y370" s="3" t="s">
        <v>172</v>
      </c>
      <c r="Z370" s="3" t="s">
        <v>91</v>
      </c>
      <c r="AA370" s="76">
        <v>309</v>
      </c>
      <c r="AB370" s="76">
        <v>65</v>
      </c>
    </row>
    <row r="371" spans="1:30" ht="16.5" customHeight="1" x14ac:dyDescent="0.35">
      <c r="A371" s="351">
        <v>46008</v>
      </c>
      <c r="B371" s="76" t="s">
        <v>680</v>
      </c>
      <c r="C371" s="71" t="s">
        <v>104</v>
      </c>
      <c r="D371" s="3" t="s">
        <v>690</v>
      </c>
      <c r="E371" s="3" t="s">
        <v>194</v>
      </c>
      <c r="F371" s="3">
        <v>0.01</v>
      </c>
      <c r="G371" s="3" t="s">
        <v>640</v>
      </c>
      <c r="H371" s="76">
        <v>90856</v>
      </c>
      <c r="I371" s="3" t="s">
        <v>88</v>
      </c>
      <c r="J371" s="3" t="s">
        <v>377</v>
      </c>
      <c r="K371" s="3" t="s">
        <v>700</v>
      </c>
      <c r="L371" s="326" t="s">
        <v>454</v>
      </c>
      <c r="M371" s="3" t="s">
        <v>502</v>
      </c>
      <c r="N371" s="356" cm="1">
        <f t="array" ref="N371">_xlfn.IFS(I371="AEX",H371/400,I371="RP",H371/200)</f>
        <v>227.14</v>
      </c>
      <c r="O371" s="3">
        <v>288</v>
      </c>
      <c r="P371" s="75">
        <f t="shared" si="107"/>
        <v>315.47222222222223</v>
      </c>
      <c r="Q371" s="3" t="str" cm="1">
        <f t="array" ref="Q371">_xlfn.IFS(P371&lt;200, "10", P371&lt;400, "12", P371&lt;600, "14", P371&gt;600, "16")</f>
        <v>12</v>
      </c>
      <c r="R371" s="75">
        <f t="shared" si="110"/>
        <v>68.141999999999996</v>
      </c>
      <c r="S371" s="75">
        <f t="shared" si="108"/>
        <v>0.23660416666666664</v>
      </c>
      <c r="T371" s="76">
        <v>28198</v>
      </c>
      <c r="U371" s="306">
        <f>T371/H371*100</f>
        <v>31.03592498018843</v>
      </c>
      <c r="V371" s="76">
        <v>694.37</v>
      </c>
      <c r="W371" s="3" t="s">
        <v>91</v>
      </c>
      <c r="X371" s="2">
        <v>46014</v>
      </c>
      <c r="Y371" s="3" t="s">
        <v>318</v>
      </c>
      <c r="Z371" s="3" t="s">
        <v>87</v>
      </c>
      <c r="AA371" s="76">
        <v>27864.23</v>
      </c>
      <c r="AB371" s="76">
        <v>238.12</v>
      </c>
    </row>
    <row r="372" spans="1:30" ht="16.5" customHeight="1" x14ac:dyDescent="0.35">
      <c r="A372" s="351">
        <v>46008</v>
      </c>
      <c r="B372" s="76" t="s">
        <v>672</v>
      </c>
      <c r="C372" s="71" t="s">
        <v>104</v>
      </c>
      <c r="D372" s="3" t="s">
        <v>689</v>
      </c>
      <c r="E372" s="3" t="s">
        <v>86</v>
      </c>
      <c r="F372" s="3">
        <v>0.05</v>
      </c>
      <c r="G372" s="3" t="s">
        <v>640</v>
      </c>
      <c r="H372" s="76">
        <v>87100</v>
      </c>
      <c r="I372" s="3" t="s">
        <v>88</v>
      </c>
      <c r="J372" s="3" t="s">
        <v>377</v>
      </c>
      <c r="K372" s="3" t="s">
        <v>479</v>
      </c>
      <c r="L372" s="326" t="s">
        <v>454</v>
      </c>
      <c r="M372" s="3" t="s">
        <v>502</v>
      </c>
      <c r="N372" s="356" cm="1">
        <f t="array" ref="N372">_xlfn.IFS(I372="AEX",H372/400,I372="RP",H372/200)</f>
        <v>217.75</v>
      </c>
      <c r="O372" s="3">
        <v>288</v>
      </c>
      <c r="P372" s="75">
        <f t="shared" si="107"/>
        <v>302.43055555555554</v>
      </c>
      <c r="Q372" s="3" t="str" cm="1">
        <f t="array" ref="Q372">_xlfn.IFS(P372&lt;200, "10", P372&lt;400, "12", P372&lt;600, "14", P372&gt;600, "16")</f>
        <v>12</v>
      </c>
      <c r="R372" s="75">
        <f t="shared" si="110"/>
        <v>65.325000000000003</v>
      </c>
      <c r="S372" s="75">
        <f t="shared" si="108"/>
        <v>0.22682291666666668</v>
      </c>
      <c r="T372" s="76">
        <v>67789</v>
      </c>
      <c r="U372" s="306">
        <f>T372/H372*100</f>
        <v>77.828932261768074</v>
      </c>
      <c r="V372" s="76">
        <v>875</v>
      </c>
      <c r="W372" s="3" t="s">
        <v>91</v>
      </c>
      <c r="X372" s="2">
        <v>46009</v>
      </c>
      <c r="Y372" s="3" t="s">
        <v>95</v>
      </c>
      <c r="Z372" s="3" t="s">
        <v>87</v>
      </c>
      <c r="AA372" s="76">
        <v>70749.789999999994</v>
      </c>
      <c r="AB372" s="76">
        <v>233.86</v>
      </c>
    </row>
    <row r="373" spans="1:30" ht="16.5" customHeight="1" x14ac:dyDescent="0.35">
      <c r="A373" s="351">
        <v>46008</v>
      </c>
      <c r="B373" s="76" t="s">
        <v>673</v>
      </c>
      <c r="C373" s="71" t="s">
        <v>104</v>
      </c>
      <c r="D373" s="3" t="s">
        <v>689</v>
      </c>
      <c r="E373" s="3" t="s">
        <v>86</v>
      </c>
      <c r="F373" s="3">
        <v>0.05</v>
      </c>
      <c r="G373" s="3" t="s">
        <v>640</v>
      </c>
      <c r="H373" s="76">
        <v>109897</v>
      </c>
      <c r="I373" s="3" t="s">
        <v>88</v>
      </c>
      <c r="J373" s="3" t="s">
        <v>89</v>
      </c>
      <c r="K373" s="3" t="s">
        <v>479</v>
      </c>
      <c r="L373" s="326" t="s">
        <v>454</v>
      </c>
      <c r="M373" s="3" t="s">
        <v>502</v>
      </c>
      <c r="N373" s="356" cm="1">
        <f t="array" ref="N373">_xlfn.IFS(I373="AEX",H373/400,I373="RP",H373/200)</f>
        <v>274.74250000000001</v>
      </c>
      <c r="O373" s="3">
        <v>400</v>
      </c>
      <c r="P373" s="75">
        <f t="shared" si="107"/>
        <v>274.74250000000001</v>
      </c>
      <c r="Q373" s="3" t="str" cm="1">
        <f t="array" ref="Q373">_xlfn.IFS(P373&lt;200, "10", P373&lt;400, "12", P373&lt;600, "14", P373&gt;600, "16")</f>
        <v>12</v>
      </c>
      <c r="R373" s="75">
        <f t="shared" si="110"/>
        <v>82.422749999999994</v>
      </c>
      <c r="S373" s="75">
        <f t="shared" si="108"/>
        <v>0.20605687499999997</v>
      </c>
      <c r="T373" s="76">
        <v>59337</v>
      </c>
      <c r="U373" s="306">
        <f>T373/H373*100</f>
        <v>53.993284621054258</v>
      </c>
      <c r="V373" s="76">
        <v>892.5</v>
      </c>
      <c r="W373" s="3" t="s">
        <v>91</v>
      </c>
      <c r="X373" s="2">
        <v>46009</v>
      </c>
      <c r="Y373" s="3" t="s">
        <v>318</v>
      </c>
      <c r="Z373" s="3" t="s">
        <v>87</v>
      </c>
      <c r="AA373" s="76">
        <v>60005.97</v>
      </c>
      <c r="AB373" s="76">
        <v>217.72</v>
      </c>
    </row>
    <row r="374" spans="1:30" ht="16.5" customHeight="1" x14ac:dyDescent="0.35">
      <c r="A374" s="351">
        <v>46008</v>
      </c>
      <c r="B374" s="76" t="s">
        <v>701</v>
      </c>
      <c r="C374" s="71" t="s">
        <v>104</v>
      </c>
      <c r="D374" s="3" t="s">
        <v>704</v>
      </c>
      <c r="E374" s="3" t="s">
        <v>86</v>
      </c>
      <c r="F374" s="3" t="s">
        <v>87</v>
      </c>
      <c r="G374" s="3" t="s">
        <v>641</v>
      </c>
      <c r="H374" s="76">
        <v>520</v>
      </c>
      <c r="I374" s="3" t="s">
        <v>70</v>
      </c>
      <c r="J374" s="3" t="s">
        <v>195</v>
      </c>
      <c r="K374" s="83" t="s">
        <v>489</v>
      </c>
      <c r="L374" s="326" t="s">
        <v>459</v>
      </c>
      <c r="M374" s="3" t="s">
        <v>502</v>
      </c>
      <c r="N374" s="356" cm="1">
        <f t="array" ref="N374">_xlfn.IFS(I374="AEX",H374/400,I374="RP",H374/200)</f>
        <v>2.6</v>
      </c>
      <c r="O374" s="3">
        <v>22</v>
      </c>
      <c r="P374" s="75">
        <f t="shared" si="107"/>
        <v>23.636363636363637</v>
      </c>
      <c r="Q374" s="3" t="str" cm="1">
        <f t="array" ref="Q374">_xlfn.IFS(P374&lt;200, "10", P374&lt;400, "12", P374&lt;600, "14", P374&gt;600, "16")</f>
        <v>10</v>
      </c>
      <c r="R374" s="75">
        <f t="shared" si="110"/>
        <v>0.78</v>
      </c>
      <c r="S374" s="75">
        <f t="shared" si="108"/>
        <v>3.5454545454545454E-2</v>
      </c>
      <c r="U374" s="306"/>
    </row>
    <row r="375" spans="1:30" ht="16.5" customHeight="1" x14ac:dyDescent="0.35">
      <c r="A375" s="351">
        <v>46009</v>
      </c>
      <c r="B375" s="76" t="s">
        <v>683</v>
      </c>
      <c r="C375" s="71" t="s">
        <v>104</v>
      </c>
      <c r="D375" s="3" t="s">
        <v>689</v>
      </c>
      <c r="E375" s="3" t="s">
        <v>86</v>
      </c>
      <c r="F375" s="3">
        <v>0.05</v>
      </c>
      <c r="G375" s="3" t="s">
        <v>640</v>
      </c>
      <c r="H375" s="76">
        <v>97073</v>
      </c>
      <c r="I375" s="3" t="s">
        <v>88</v>
      </c>
      <c r="J375" s="3" t="s">
        <v>89</v>
      </c>
      <c r="K375" s="3" t="s">
        <v>479</v>
      </c>
      <c r="L375" s="326" t="s">
        <v>454</v>
      </c>
      <c r="M375" s="3" t="s">
        <v>502</v>
      </c>
      <c r="N375" s="356" cm="1">
        <f t="array" ref="N375">_xlfn.IFS(I375="AEX",H375/400,I375="RP",H375/200)</f>
        <v>242.6825</v>
      </c>
      <c r="O375" s="3">
        <v>400</v>
      </c>
      <c r="P375" s="75">
        <f t="shared" si="107"/>
        <v>242.6825</v>
      </c>
      <c r="Q375" s="3" t="str" cm="1">
        <f t="array" ref="Q375">_xlfn.IFS(P375&lt;200, "10", P375&lt;400, "12", P375&lt;600, "14", P375&gt;600, "16")</f>
        <v>12</v>
      </c>
      <c r="R375" s="75">
        <f t="shared" si="110"/>
        <v>72.804749999999999</v>
      </c>
      <c r="S375" s="75">
        <f t="shared" si="108"/>
        <v>0.18201187499999999</v>
      </c>
      <c r="T375" s="76">
        <v>72724</v>
      </c>
      <c r="U375" s="306">
        <f t="shared" ref="U375:U406" si="111">T375/H375*100</f>
        <v>74.916815180328214</v>
      </c>
      <c r="V375" s="76">
        <v>1066</v>
      </c>
      <c r="W375" s="3" t="s">
        <v>91</v>
      </c>
      <c r="X375" s="2">
        <v>46010</v>
      </c>
      <c r="Y375" s="3" t="s">
        <v>95</v>
      </c>
      <c r="Z375" s="3" t="s">
        <v>87</v>
      </c>
      <c r="AA375" s="76">
        <v>71956.679999999993</v>
      </c>
      <c r="AB375" s="76">
        <v>242.07</v>
      </c>
    </row>
    <row r="376" spans="1:30" ht="17.5" customHeight="1" x14ac:dyDescent="0.35">
      <c r="A376" s="351">
        <v>46009</v>
      </c>
      <c r="B376" s="76" t="s">
        <v>703</v>
      </c>
      <c r="C376" s="71" t="s">
        <v>104</v>
      </c>
      <c r="D376" s="3" t="s">
        <v>689</v>
      </c>
      <c r="E376" s="3" t="s">
        <v>86</v>
      </c>
      <c r="F376" s="3" t="s">
        <v>87</v>
      </c>
      <c r="G376" s="3" t="s">
        <v>641</v>
      </c>
      <c r="H376" s="76">
        <v>8000</v>
      </c>
      <c r="I376" s="3" t="s">
        <v>88</v>
      </c>
      <c r="J376" s="3" t="s">
        <v>377</v>
      </c>
      <c r="K376" s="3" t="s">
        <v>479</v>
      </c>
      <c r="L376" s="326" t="s">
        <v>454</v>
      </c>
      <c r="M376" s="3" t="s">
        <v>502</v>
      </c>
      <c r="N376" s="356" cm="1">
        <f t="array" ref="N376">_xlfn.IFS(I376="AEX",H376/400,I376="RP",H376/200)</f>
        <v>20</v>
      </c>
      <c r="O376" s="3">
        <v>63.8</v>
      </c>
      <c r="P376" s="75">
        <f t="shared" si="107"/>
        <v>125.39184952978057</v>
      </c>
      <c r="Q376" s="3" t="str" cm="1">
        <f t="array" ref="Q376">_xlfn.IFS(P376&lt;200, "10", P376&lt;400, "12", P376&lt;600, "14", P376&gt;600, "16")</f>
        <v>10</v>
      </c>
      <c r="R376" s="75">
        <f t="shared" si="110"/>
        <v>6</v>
      </c>
      <c r="S376" s="75">
        <f t="shared" si="108"/>
        <v>9.4043887147335428E-2</v>
      </c>
      <c r="U376" s="306">
        <f t="shared" si="111"/>
        <v>0</v>
      </c>
      <c r="V376" s="76">
        <v>45</v>
      </c>
      <c r="W376" s="3" t="s">
        <v>91</v>
      </c>
      <c r="X376" s="2">
        <v>46009</v>
      </c>
      <c r="Y376" s="3" t="s">
        <v>172</v>
      </c>
      <c r="Z376" s="3" t="s">
        <v>87</v>
      </c>
      <c r="AA376" s="76">
        <v>1877</v>
      </c>
      <c r="AB376" s="76">
        <v>63</v>
      </c>
    </row>
    <row r="377" spans="1:30" ht="16.5" customHeight="1" x14ac:dyDescent="0.35">
      <c r="A377" s="351">
        <v>46009</v>
      </c>
      <c r="B377" s="76" t="s">
        <v>687</v>
      </c>
      <c r="C377" s="71" t="s">
        <v>104</v>
      </c>
      <c r="D377" s="3"/>
      <c r="E377" s="3" t="s">
        <v>87</v>
      </c>
      <c r="F377" s="3" t="s">
        <v>87</v>
      </c>
      <c r="G377" s="3" t="s">
        <v>640</v>
      </c>
      <c r="H377" s="76">
        <v>72757</v>
      </c>
      <c r="I377" s="3" t="s">
        <v>88</v>
      </c>
      <c r="J377" s="3" t="s">
        <v>89</v>
      </c>
      <c r="K377" s="3" t="s">
        <v>479</v>
      </c>
      <c r="L377" s="326" t="s">
        <v>454</v>
      </c>
      <c r="M377" s="3" t="s">
        <v>502</v>
      </c>
      <c r="N377" s="356" cm="1">
        <f t="array" ref="N377">_xlfn.IFS(I377="AEX",H377/400,I377="RP",H377/200)</f>
        <v>181.89250000000001</v>
      </c>
      <c r="O377" s="3">
        <v>400</v>
      </c>
      <c r="P377" s="75">
        <f t="shared" si="107"/>
        <v>181.89250000000001</v>
      </c>
      <c r="Q377" s="3" t="str" cm="1">
        <f t="array" ref="Q377">_xlfn.IFS(P377&lt;200, "10", P377&lt;400, "12", P377&lt;600, "14", P377&gt;600, "16")</f>
        <v>10</v>
      </c>
      <c r="R377" s="75">
        <f t="shared" si="110"/>
        <v>54.567749999999997</v>
      </c>
      <c r="S377" s="75">
        <f t="shared" si="108"/>
        <v>0.13641937499999998</v>
      </c>
      <c r="T377" s="76">
        <v>16605</v>
      </c>
      <c r="U377" s="306">
        <f t="shared" si="111"/>
        <v>22.822546284206329</v>
      </c>
      <c r="V377" s="76">
        <v>221.76</v>
      </c>
      <c r="W377" s="3" t="s">
        <v>91</v>
      </c>
      <c r="X377" s="2">
        <v>46010</v>
      </c>
      <c r="Y377" s="3" t="s">
        <v>97</v>
      </c>
      <c r="Z377" s="3" t="s">
        <v>87</v>
      </c>
      <c r="AA377" s="76">
        <v>16894.97</v>
      </c>
      <c r="AB377" s="76">
        <v>348.45</v>
      </c>
    </row>
    <row r="378" spans="1:30" ht="16.5" customHeight="1" x14ac:dyDescent="0.35">
      <c r="A378" s="351">
        <v>46009</v>
      </c>
      <c r="B378" s="76" t="s">
        <v>708</v>
      </c>
      <c r="C378" s="71" t="s">
        <v>104</v>
      </c>
      <c r="D378" s="3" t="s">
        <v>690</v>
      </c>
      <c r="E378" s="3" t="s">
        <v>87</v>
      </c>
      <c r="F378" s="3">
        <v>0.01</v>
      </c>
      <c r="G378" s="3" t="s">
        <v>640</v>
      </c>
      <c r="H378" s="76">
        <v>76794</v>
      </c>
      <c r="I378" s="3" t="s">
        <v>88</v>
      </c>
      <c r="J378" s="3" t="s">
        <v>89</v>
      </c>
      <c r="K378" s="3" t="s">
        <v>479</v>
      </c>
      <c r="L378" s="326" t="s">
        <v>454</v>
      </c>
      <c r="M378" s="3" t="s">
        <v>502</v>
      </c>
      <c r="N378" s="356" cm="1">
        <f t="array" ref="N378">_xlfn.IFS(I378="AEX",H378/400,I378="RP",H378/200)</f>
        <v>191.98500000000001</v>
      </c>
      <c r="O378" s="3">
        <v>288</v>
      </c>
      <c r="P378" s="75">
        <f t="shared" si="107"/>
        <v>266.64583333333331</v>
      </c>
      <c r="Q378" s="3" t="str" cm="1">
        <f t="array" ref="Q378">_xlfn.IFS(P378&lt;200, "10", P378&lt;400, "12", P378&lt;600, "14", P378&gt;600, "16")</f>
        <v>12</v>
      </c>
      <c r="R378" s="75">
        <f t="shared" si="110"/>
        <v>57.595500000000001</v>
      </c>
      <c r="S378" s="75">
        <f t="shared" si="108"/>
        <v>0.19998437499999999</v>
      </c>
      <c r="T378" s="76">
        <v>33572</v>
      </c>
      <c r="U378" s="306">
        <f t="shared" si="111"/>
        <v>43.716957053936504</v>
      </c>
      <c r="V378" s="76">
        <v>848</v>
      </c>
      <c r="W378" s="3" t="s">
        <v>91</v>
      </c>
      <c r="X378" s="2">
        <v>46014</v>
      </c>
      <c r="Y378" s="3" t="s">
        <v>95</v>
      </c>
      <c r="Z378" s="3" t="s">
        <v>87</v>
      </c>
      <c r="AA378" s="76">
        <v>32183.88</v>
      </c>
      <c r="AB378" s="76">
        <v>223.96</v>
      </c>
    </row>
    <row r="379" spans="1:30" ht="16.5" customHeight="1" x14ac:dyDescent="0.35">
      <c r="A379" s="351" t="s">
        <v>711</v>
      </c>
      <c r="B379" s="76" t="s">
        <v>692</v>
      </c>
      <c r="C379" s="71" t="s">
        <v>104</v>
      </c>
      <c r="D379" s="3"/>
      <c r="E379" s="3" t="s">
        <v>87</v>
      </c>
      <c r="F379" s="3" t="s">
        <v>87</v>
      </c>
      <c r="G379" s="3" t="s">
        <v>641</v>
      </c>
      <c r="H379" s="76">
        <v>6170</v>
      </c>
      <c r="I379" s="2" t="s">
        <v>88</v>
      </c>
      <c r="K379" s="3" t="s">
        <v>479</v>
      </c>
      <c r="L379" s="326" t="s">
        <v>454</v>
      </c>
      <c r="M379" s="3" t="s">
        <v>502</v>
      </c>
      <c r="N379" s="356" cm="1">
        <f t="array" ref="N379">_xlfn.IFS(I386="AEX",H379/400,I386="RP",H379/200)</f>
        <v>15.425000000000001</v>
      </c>
      <c r="P379" s="75" t="e">
        <f t="shared" si="107"/>
        <v>#DIV/0!</v>
      </c>
      <c r="Q379" s="3" t="e" cm="1">
        <f t="array" ref="Q379">_xlfn.IFS(P379&lt;200, "10", P379&lt;400, "12", P379&lt;600, "14", P379&gt;600, "16")</f>
        <v>#DIV/0!</v>
      </c>
      <c r="R379" s="75">
        <f>IF(I386="AEX",H379*0.3/400,H379*0.3/200)</f>
        <v>4.6275000000000004</v>
      </c>
      <c r="S379" s="75" t="e">
        <f t="shared" si="108"/>
        <v>#DIV/0!</v>
      </c>
      <c r="U379" s="306">
        <f t="shared" si="111"/>
        <v>0</v>
      </c>
    </row>
    <row r="380" spans="1:30" ht="16.5" customHeight="1" x14ac:dyDescent="0.35">
      <c r="A380" s="351" t="s">
        <v>580</v>
      </c>
      <c r="B380" s="76" t="s">
        <v>694</v>
      </c>
      <c r="C380" s="71" t="s">
        <v>104</v>
      </c>
      <c r="D380" s="3"/>
      <c r="E380" s="3" t="s">
        <v>87</v>
      </c>
      <c r="F380" s="3" t="s">
        <v>87</v>
      </c>
      <c r="G380" s="3" t="s">
        <v>641</v>
      </c>
      <c r="H380" s="76">
        <v>6700</v>
      </c>
      <c r="I380" s="2" t="s">
        <v>88</v>
      </c>
      <c r="K380" s="3" t="s">
        <v>479</v>
      </c>
      <c r="L380" s="326" t="s">
        <v>454</v>
      </c>
      <c r="M380" s="3" t="s">
        <v>502</v>
      </c>
      <c r="N380" s="356" cm="1">
        <f t="array" ref="N380">_xlfn.IFS(I380="AEX",H380/400,I380="RP",H380/200)</f>
        <v>16.75</v>
      </c>
      <c r="P380" s="75" t="e">
        <f t="shared" si="107"/>
        <v>#DIV/0!</v>
      </c>
      <c r="Q380" s="3" t="e" cm="1">
        <f t="array" ref="Q380">_xlfn.IFS(P380&lt;200, "10", P380&lt;400, "12", P380&lt;600, "14", P380&gt;600, "16")</f>
        <v>#DIV/0!</v>
      </c>
      <c r="R380" s="75">
        <f t="shared" ref="R380:R412" si="112">IF(I380="AEX",H380*0.3/400,H380*0.3/200)</f>
        <v>5.0250000000000004</v>
      </c>
      <c r="S380" s="75" t="e">
        <f t="shared" si="108"/>
        <v>#DIV/0!</v>
      </c>
      <c r="U380" s="306">
        <f t="shared" si="111"/>
        <v>0</v>
      </c>
    </row>
    <row r="381" spans="1:30" ht="16.5" customHeight="1" x14ac:dyDescent="0.35">
      <c r="A381" s="351">
        <v>46009</v>
      </c>
      <c r="B381" s="76" t="s">
        <v>682</v>
      </c>
      <c r="C381" s="71" t="s">
        <v>104</v>
      </c>
      <c r="D381" s="3" t="s">
        <v>705</v>
      </c>
      <c r="E381" s="3" t="s">
        <v>87</v>
      </c>
      <c r="F381" s="3" t="s">
        <v>87</v>
      </c>
      <c r="G381" s="3" t="s">
        <v>641</v>
      </c>
      <c r="H381" s="76">
        <v>4300</v>
      </c>
      <c r="I381" s="3" t="s">
        <v>88</v>
      </c>
      <c r="J381" s="3" t="s">
        <v>377</v>
      </c>
      <c r="K381" s="3" t="s">
        <v>496</v>
      </c>
      <c r="L381" s="326" t="s">
        <v>455</v>
      </c>
      <c r="M381" s="3">
        <v>60</v>
      </c>
      <c r="N381" s="356" cm="1">
        <f t="array" ref="N381">_xlfn.IFS(I381="AEX",H381/400,I381="RP",H381/200)</f>
        <v>10.75</v>
      </c>
      <c r="O381" s="3">
        <v>16.100000000000001</v>
      </c>
      <c r="P381" s="75">
        <f t="shared" si="107"/>
        <v>267.08074534161489</v>
      </c>
      <c r="Q381" s="3" t="str" cm="1">
        <f t="array" ref="Q381">_xlfn.IFS(P381&lt;200, "10", P381&lt;400, "12", P381&lt;600, "14", P381&gt;600, "16")</f>
        <v>12</v>
      </c>
      <c r="R381" s="75">
        <f t="shared" si="112"/>
        <v>3.2250000000000001</v>
      </c>
      <c r="S381" s="75">
        <f t="shared" si="108"/>
        <v>0.20031055900621117</v>
      </c>
      <c r="T381" s="76">
        <v>1432</v>
      </c>
      <c r="U381" s="306">
        <f t="shared" si="111"/>
        <v>33.302325581395351</v>
      </c>
      <c r="V381" s="76">
        <v>20</v>
      </c>
      <c r="W381" s="3" t="s">
        <v>87</v>
      </c>
      <c r="X381" s="2">
        <v>46009</v>
      </c>
      <c r="Y381" s="3" t="s">
        <v>172</v>
      </c>
      <c r="Z381" s="3" t="s">
        <v>87</v>
      </c>
      <c r="AA381" s="76">
        <v>1475</v>
      </c>
      <c r="AB381" s="76">
        <v>30</v>
      </c>
    </row>
    <row r="382" spans="1:30" ht="16.5" customHeight="1" x14ac:dyDescent="0.35">
      <c r="A382" s="351">
        <v>46009</v>
      </c>
      <c r="B382" s="76" t="s">
        <v>702</v>
      </c>
      <c r="C382" s="71" t="s">
        <v>104</v>
      </c>
      <c r="D382" s="3" t="s">
        <v>709</v>
      </c>
      <c r="E382" s="3" t="s">
        <v>87</v>
      </c>
      <c r="F382" s="3" t="s">
        <v>87</v>
      </c>
      <c r="G382" s="3" t="s">
        <v>641</v>
      </c>
      <c r="H382" s="76">
        <v>4447</v>
      </c>
      <c r="I382" s="3" t="s">
        <v>88</v>
      </c>
      <c r="J382" s="3" t="s">
        <v>377</v>
      </c>
      <c r="K382" s="3" t="s">
        <v>479</v>
      </c>
      <c r="L382" s="326" t="s">
        <v>454</v>
      </c>
      <c r="M382" s="3" t="s">
        <v>502</v>
      </c>
      <c r="N382" s="356" cm="1">
        <f t="array" ref="N382">_xlfn.IFS(I382="AEX",H382/400,I382="RP",H382/200)</f>
        <v>11.1175</v>
      </c>
      <c r="O382" s="3">
        <v>23.5</v>
      </c>
      <c r="P382" s="75">
        <f t="shared" si="107"/>
        <v>189.2340425531915</v>
      </c>
      <c r="Q382" s="3" t="str" cm="1">
        <f t="array" ref="Q382">_xlfn.IFS(P382&lt;200, "10", P382&lt;400, "12", P382&lt;600, "14", P382&gt;600, "16")</f>
        <v>10</v>
      </c>
      <c r="R382" s="75">
        <f t="shared" si="112"/>
        <v>3.3352499999999998</v>
      </c>
      <c r="S382" s="75">
        <f t="shared" si="108"/>
        <v>0.1419255319148936</v>
      </c>
      <c r="T382" s="76">
        <v>2648</v>
      </c>
      <c r="U382" s="306">
        <f t="shared" si="111"/>
        <v>59.545761187317289</v>
      </c>
      <c r="V382" s="76">
        <v>45</v>
      </c>
      <c r="W382" s="3" t="s">
        <v>91</v>
      </c>
      <c r="X382" s="2">
        <v>46009</v>
      </c>
      <c r="Y382" s="3" t="s">
        <v>172</v>
      </c>
      <c r="Z382" s="3" t="s">
        <v>87</v>
      </c>
      <c r="AA382" s="76">
        <v>2919</v>
      </c>
      <c r="AB382" s="76">
        <v>63</v>
      </c>
    </row>
    <row r="383" spans="1:30" ht="16.5" customHeight="1" x14ac:dyDescent="0.35">
      <c r="A383" s="351">
        <v>46009</v>
      </c>
      <c r="B383" s="76" t="s">
        <v>710</v>
      </c>
      <c r="C383" s="71" t="s">
        <v>104</v>
      </c>
      <c r="D383" s="3" t="s">
        <v>704</v>
      </c>
      <c r="E383" s="3" t="s">
        <v>86</v>
      </c>
      <c r="F383" s="3" t="s">
        <v>87</v>
      </c>
      <c r="G383" s="3" t="s">
        <v>641</v>
      </c>
      <c r="H383" s="76">
        <v>711</v>
      </c>
      <c r="I383" s="3" t="s">
        <v>70</v>
      </c>
      <c r="J383" s="3" t="s">
        <v>195</v>
      </c>
      <c r="K383" s="83" t="s">
        <v>489</v>
      </c>
      <c r="L383" s="326" t="s">
        <v>459</v>
      </c>
      <c r="M383" s="3" t="s">
        <v>502</v>
      </c>
      <c r="N383" s="356" cm="1">
        <f t="array" ref="N383">_xlfn.IFS(I383="AEX",H383/400,I383="RP",H383/200)</f>
        <v>3.5550000000000002</v>
      </c>
      <c r="O383" s="3">
        <v>22</v>
      </c>
      <c r="P383" s="75">
        <f>H383/O383</f>
        <v>32.31818181818182</v>
      </c>
      <c r="Q383" s="3" t="str" cm="1">
        <f t="array" ref="Q383">_xlfn.IFS(P383&lt;200, "10", P383&lt;400, "12", P383&lt;600, "14", P383&gt;600, "16")</f>
        <v>10</v>
      </c>
      <c r="R383" s="75">
        <f>IF(I383="AEX",H383*0.3/400,H383*0.3/200)</f>
        <v>1.0665</v>
      </c>
      <c r="S383" s="75">
        <f>R383/O383</f>
        <v>4.847727272727273E-2</v>
      </c>
      <c r="T383" s="76">
        <v>584</v>
      </c>
      <c r="U383" s="306">
        <f>T383/H383*100</f>
        <v>82.137834036568208</v>
      </c>
      <c r="V383" s="76">
        <v>584</v>
      </c>
      <c r="W383" s="3" t="s">
        <v>87</v>
      </c>
      <c r="X383" s="2">
        <v>46010</v>
      </c>
      <c r="Y383" s="3" t="s">
        <v>172</v>
      </c>
      <c r="Z383" s="3" t="s">
        <v>91</v>
      </c>
      <c r="AA383" s="76">
        <v>397.5</v>
      </c>
      <c r="AB383" s="76">
        <v>7.8</v>
      </c>
    </row>
    <row r="384" spans="1:30" ht="16" customHeight="1" x14ac:dyDescent="0.35">
      <c r="A384" s="351">
        <v>46010</v>
      </c>
      <c r="B384" s="76" t="s">
        <v>684</v>
      </c>
      <c r="C384" s="71" t="s">
        <v>104</v>
      </c>
      <c r="D384" s="3" t="s">
        <v>689</v>
      </c>
      <c r="E384" s="3" t="s">
        <v>86</v>
      </c>
      <c r="F384" s="3">
        <v>0.05</v>
      </c>
      <c r="G384" s="3" t="s">
        <v>640</v>
      </c>
      <c r="H384" s="76">
        <v>99759</v>
      </c>
      <c r="I384" s="3" t="s">
        <v>88</v>
      </c>
      <c r="J384" s="3" t="s">
        <v>89</v>
      </c>
      <c r="K384" s="3" t="s">
        <v>479</v>
      </c>
      <c r="L384" s="326" t="s">
        <v>454</v>
      </c>
      <c r="M384" s="3" t="s">
        <v>502</v>
      </c>
      <c r="N384" s="356" cm="1">
        <f t="array" ref="N384">_xlfn.IFS(I384="AEX",H384/400,I384="RP",H384/200)</f>
        <v>249.39750000000001</v>
      </c>
      <c r="O384" s="3">
        <v>400</v>
      </c>
      <c r="P384" s="75">
        <f>H384/O384</f>
        <v>249.39750000000001</v>
      </c>
      <c r="Q384" s="3" t="str" cm="1">
        <f t="array" ref="Q384">_xlfn.IFS(P384&lt;200, "10", P384&lt;400, "12", P384&lt;600, "14", P384&gt;600, "16")</f>
        <v>12</v>
      </c>
      <c r="R384" s="75">
        <f>IF(I384="AEX",H384*0.3/400,H384*0.3/200)</f>
        <v>74.819249999999997</v>
      </c>
      <c r="S384" s="75">
        <f>R384/O384</f>
        <v>0.18704812499999998</v>
      </c>
      <c r="T384" s="76">
        <v>59083</v>
      </c>
      <c r="U384" s="306">
        <f>T384/H384*100</f>
        <v>59.225734018985754</v>
      </c>
      <c r="V384" s="76">
        <v>948.07</v>
      </c>
      <c r="W384" s="3" t="s">
        <v>91</v>
      </c>
      <c r="X384" s="2">
        <v>46013</v>
      </c>
      <c r="Y384" s="3" t="s">
        <v>95</v>
      </c>
      <c r="Z384" s="3" t="s">
        <v>87</v>
      </c>
      <c r="AA384" s="76">
        <v>57623.28</v>
      </c>
      <c r="AB384" s="76">
        <v>223.3</v>
      </c>
    </row>
    <row r="385" spans="1:30" ht="16.5" customHeight="1" x14ac:dyDescent="0.35">
      <c r="A385" s="351">
        <v>46010</v>
      </c>
      <c r="B385" s="76" t="s">
        <v>712</v>
      </c>
      <c r="C385" s="71" t="s">
        <v>104</v>
      </c>
      <c r="D385" s="3"/>
      <c r="E385" s="3" t="s">
        <v>87</v>
      </c>
      <c r="F385" s="3" t="s">
        <v>87</v>
      </c>
      <c r="G385" s="3" t="s">
        <v>640</v>
      </c>
      <c r="H385" s="76">
        <v>4864</v>
      </c>
      <c r="I385" s="3" t="s">
        <v>88</v>
      </c>
      <c r="J385" s="3" t="s">
        <v>377</v>
      </c>
      <c r="K385" s="3" t="s">
        <v>479</v>
      </c>
      <c r="L385" s="326" t="s">
        <v>454</v>
      </c>
      <c r="M385" s="3" t="s">
        <v>502</v>
      </c>
      <c r="N385" s="356" cm="1">
        <f t="array" ref="N385">_xlfn.IFS(I385="AEX",H385/400,I385="RP",H385/200)</f>
        <v>12.16</v>
      </c>
      <c r="O385" s="3">
        <v>63.8</v>
      </c>
      <c r="P385" s="75">
        <f t="shared" si="107"/>
        <v>76.238244514106583</v>
      </c>
      <c r="Q385" s="3" t="str" cm="1">
        <f t="array" ref="Q385">_xlfn.IFS(P385&lt;200, "10", P385&lt;400, "12", P385&lt;600, "14", P385&gt;600, "16")</f>
        <v>10</v>
      </c>
      <c r="R385" s="75">
        <f t="shared" si="112"/>
        <v>3.6480000000000001</v>
      </c>
      <c r="S385" s="75">
        <f t="shared" si="108"/>
        <v>5.7178683385579944E-2</v>
      </c>
      <c r="T385" s="76">
        <v>3326</v>
      </c>
      <c r="U385" s="306">
        <f t="shared" si="111"/>
        <v>68.379934210526315</v>
      </c>
      <c r="V385" s="76">
        <v>87</v>
      </c>
      <c r="W385" s="3" t="s">
        <v>91</v>
      </c>
      <c r="X385" s="2">
        <v>46010</v>
      </c>
      <c r="Y385" s="3" t="s">
        <v>172</v>
      </c>
      <c r="Z385" s="3" t="s">
        <v>87</v>
      </c>
      <c r="AA385" s="76">
        <v>3286</v>
      </c>
      <c r="AB385" s="76">
        <v>127.4</v>
      </c>
    </row>
    <row r="386" spans="1:30" ht="16.5" customHeight="1" x14ac:dyDescent="0.35">
      <c r="A386" s="351">
        <v>46010</v>
      </c>
      <c r="B386" s="76" t="s">
        <v>693</v>
      </c>
      <c r="C386" s="71" t="s">
        <v>104</v>
      </c>
      <c r="D386" s="3"/>
      <c r="E386" s="3" t="s">
        <v>87</v>
      </c>
      <c r="F386" s="3" t="s">
        <v>87</v>
      </c>
      <c r="G386" s="3" t="s">
        <v>641</v>
      </c>
      <c r="H386" s="76">
        <v>8800</v>
      </c>
      <c r="I386" s="2" t="s">
        <v>88</v>
      </c>
      <c r="J386" s="3" t="s">
        <v>89</v>
      </c>
      <c r="K386" s="3" t="s">
        <v>479</v>
      </c>
      <c r="L386" s="326" t="s">
        <v>454</v>
      </c>
      <c r="M386" s="3" t="s">
        <v>502</v>
      </c>
      <c r="N386" s="356" cm="1">
        <f t="array" ref="N386">_xlfn.IFS(I380="AEX",H386/400,I380="RP",H386/200)</f>
        <v>22</v>
      </c>
      <c r="O386" s="3">
        <v>64.7</v>
      </c>
      <c r="P386" s="75">
        <f>H386/O386</f>
        <v>136.01236476043277</v>
      </c>
      <c r="Q386" s="3" t="str" cm="1">
        <f t="array" ref="Q386">_xlfn.IFS(P386&lt;200, "10", P386&lt;400, "12", P386&lt;600, "14", P386&gt;600, "16")</f>
        <v>10</v>
      </c>
      <c r="R386" s="75">
        <f>IF(I380="AEX",H386*0.3/400,H386*0.3/200)</f>
        <v>6.6</v>
      </c>
      <c r="S386" s="75">
        <f>R386/O386</f>
        <v>0.10200927357032456</v>
      </c>
      <c r="T386" s="76">
        <v>4934</v>
      </c>
      <c r="U386" s="306">
        <f>T386/H386*100</f>
        <v>56.06818181818182</v>
      </c>
      <c r="V386" s="76">
        <v>88.37</v>
      </c>
      <c r="W386" s="3" t="s">
        <v>91</v>
      </c>
      <c r="X386" s="2">
        <v>46010</v>
      </c>
      <c r="Y386" s="3" t="s">
        <v>172</v>
      </c>
      <c r="Z386" s="3" t="s">
        <v>87</v>
      </c>
      <c r="AA386" s="76">
        <v>4808</v>
      </c>
      <c r="AB386" s="76">
        <v>135</v>
      </c>
    </row>
    <row r="387" spans="1:30" ht="16.5" customHeight="1" x14ac:dyDescent="0.35">
      <c r="A387" s="351">
        <v>46010</v>
      </c>
      <c r="B387" s="76" t="s">
        <v>714</v>
      </c>
      <c r="C387" s="71" t="s">
        <v>104</v>
      </c>
      <c r="D387" s="3" t="s">
        <v>691</v>
      </c>
      <c r="E387" s="3" t="s">
        <v>87</v>
      </c>
      <c r="F387" s="3" t="s">
        <v>87</v>
      </c>
      <c r="G387" s="3" t="s">
        <v>641</v>
      </c>
      <c r="H387" s="76">
        <v>2942</v>
      </c>
      <c r="I387" s="3" t="s">
        <v>88</v>
      </c>
      <c r="J387" s="3" t="s">
        <v>377</v>
      </c>
      <c r="K387" s="3" t="s">
        <v>496</v>
      </c>
      <c r="L387" s="326" t="s">
        <v>455</v>
      </c>
      <c r="M387" s="3">
        <v>60</v>
      </c>
      <c r="N387" s="356" cm="1">
        <f t="array" ref="N387">_xlfn.IFS(I387="AEX",H387/400,I387="RP",H387/200)</f>
        <v>7.3550000000000004</v>
      </c>
      <c r="O387" s="3">
        <v>16.100000000000001</v>
      </c>
      <c r="P387" s="75">
        <f t="shared" si="107"/>
        <v>182.73291925465836</v>
      </c>
      <c r="Q387" s="3" t="str" cm="1">
        <f t="array" ref="Q387">_xlfn.IFS(P387&lt;200, "10", P387&lt;400, "12", P387&lt;600, "14", P387&gt;600, "16")</f>
        <v>10</v>
      </c>
      <c r="R387" s="75">
        <f t="shared" si="112"/>
        <v>2.2065000000000001</v>
      </c>
      <c r="S387" s="75">
        <f t="shared" si="108"/>
        <v>0.13704968944099377</v>
      </c>
      <c r="T387" s="76">
        <v>690</v>
      </c>
      <c r="U387" s="306">
        <f t="shared" si="111"/>
        <v>23.45343303874915</v>
      </c>
      <c r="V387" s="76">
        <v>12</v>
      </c>
      <c r="W387" s="3" t="s">
        <v>87</v>
      </c>
      <c r="X387" s="2">
        <v>46010</v>
      </c>
      <c r="Y387" s="3" t="s">
        <v>172</v>
      </c>
      <c r="Z387" s="3" t="s">
        <v>87</v>
      </c>
      <c r="AA387" s="76">
        <v>714</v>
      </c>
      <c r="AB387" s="76">
        <v>16.8</v>
      </c>
    </row>
    <row r="388" spans="1:30" ht="16.5" customHeight="1" x14ac:dyDescent="0.35">
      <c r="A388" s="351">
        <v>46010</v>
      </c>
      <c r="B388" s="76" t="s">
        <v>715</v>
      </c>
      <c r="C388" s="71" t="s">
        <v>104</v>
      </c>
      <c r="D388" s="3" t="s">
        <v>691</v>
      </c>
      <c r="E388" s="3" t="s">
        <v>87</v>
      </c>
      <c r="F388" s="3" t="s">
        <v>87</v>
      </c>
      <c r="G388" s="3" t="s">
        <v>641</v>
      </c>
      <c r="H388" s="76">
        <v>5306</v>
      </c>
      <c r="I388" s="3" t="s">
        <v>88</v>
      </c>
      <c r="J388" s="3" t="s">
        <v>377</v>
      </c>
      <c r="K388" s="3" t="s">
        <v>496</v>
      </c>
      <c r="L388" s="326" t="s">
        <v>455</v>
      </c>
      <c r="M388" s="3">
        <v>60</v>
      </c>
      <c r="N388" s="356" cm="1">
        <f t="array" ref="N388">_xlfn.IFS(I388="AEX",H388/400,I388="RP",H388/200)</f>
        <v>13.265000000000001</v>
      </c>
      <c r="O388" s="3">
        <v>23.5</v>
      </c>
      <c r="P388" s="75">
        <f t="shared" si="107"/>
        <v>225.78723404255319</v>
      </c>
      <c r="Q388" s="3" t="str" cm="1">
        <f t="array" ref="Q388">_xlfn.IFS(P388&lt;200, "10", P388&lt;400, "12", P388&lt;600, "14", P388&gt;600, "16")</f>
        <v>12</v>
      </c>
      <c r="R388" s="75">
        <f t="shared" si="112"/>
        <v>3.9794999999999998</v>
      </c>
      <c r="S388" s="75">
        <f t="shared" si="108"/>
        <v>0.16934042553191489</v>
      </c>
      <c r="T388" s="76">
        <v>2476</v>
      </c>
      <c r="U388" s="306">
        <f t="shared" si="111"/>
        <v>46.664153788164342</v>
      </c>
      <c r="V388" s="76">
        <v>45</v>
      </c>
      <c r="W388" s="3" t="s">
        <v>87</v>
      </c>
      <c r="X388" s="2">
        <v>46010</v>
      </c>
      <c r="Y388" s="3" t="s">
        <v>172</v>
      </c>
      <c r="Z388" s="3" t="s">
        <v>87</v>
      </c>
      <c r="AA388" s="76">
        <v>2631</v>
      </c>
      <c r="AB388" s="76">
        <v>67.5</v>
      </c>
    </row>
    <row r="389" spans="1:30" ht="16.5" customHeight="1" x14ac:dyDescent="0.35">
      <c r="A389" s="351">
        <v>46010</v>
      </c>
      <c r="B389" s="76" t="s">
        <v>716</v>
      </c>
      <c r="C389" s="71" t="s">
        <v>104</v>
      </c>
      <c r="D389" s="3" t="s">
        <v>690</v>
      </c>
      <c r="E389" s="3" t="s">
        <v>194</v>
      </c>
      <c r="F389" s="3">
        <v>0.01</v>
      </c>
      <c r="G389" s="3" t="s">
        <v>640</v>
      </c>
      <c r="H389" s="76">
        <v>71787</v>
      </c>
      <c r="I389" s="3" t="s">
        <v>88</v>
      </c>
      <c r="J389" s="3" t="s">
        <v>89</v>
      </c>
      <c r="K389" s="3" t="s">
        <v>634</v>
      </c>
      <c r="L389" s="326" t="s">
        <v>454</v>
      </c>
      <c r="M389" s="3" t="s">
        <v>502</v>
      </c>
      <c r="N389" s="356" cm="1">
        <f t="array" ref="N389">_xlfn.IFS(I389="AEX",H389/400,I389="RP",H389/200)</f>
        <v>179.4675</v>
      </c>
      <c r="O389" s="3">
        <v>400</v>
      </c>
      <c r="P389" s="75">
        <f t="shared" si="107"/>
        <v>179.4675</v>
      </c>
      <c r="Q389" s="3" t="str" cm="1">
        <f t="array" ref="Q389">_xlfn.IFS(P389&lt;200, "10", P389&lt;400, "12", P389&lt;600, "14", P389&gt;600, "16")</f>
        <v>10</v>
      </c>
      <c r="R389" s="75">
        <f t="shared" si="112"/>
        <v>53.840249999999997</v>
      </c>
      <c r="S389" s="75">
        <f t="shared" si="108"/>
        <v>0.134600625</v>
      </c>
      <c r="T389" s="76">
        <v>29804</v>
      </c>
      <c r="U389" s="306">
        <f t="shared" si="111"/>
        <v>41.517266357418478</v>
      </c>
      <c r="V389" s="76">
        <v>799.46</v>
      </c>
      <c r="W389" s="3" t="s">
        <v>91</v>
      </c>
      <c r="X389" s="2">
        <v>46015</v>
      </c>
      <c r="Y389" s="3" t="s">
        <v>318</v>
      </c>
      <c r="Z389" s="3" t="s">
        <v>87</v>
      </c>
      <c r="AA389" s="76">
        <v>28994.76</v>
      </c>
      <c r="AB389" s="76">
        <v>234.42</v>
      </c>
    </row>
    <row r="390" spans="1:30" ht="16.5" customHeight="1" x14ac:dyDescent="0.35">
      <c r="A390" s="351">
        <v>46014</v>
      </c>
      <c r="B390" s="76" t="s">
        <v>721</v>
      </c>
      <c r="C390" s="71" t="s">
        <v>321</v>
      </c>
      <c r="D390" s="3"/>
      <c r="E390" s="3" t="s">
        <v>87</v>
      </c>
      <c r="F390" s="3">
        <v>0.01</v>
      </c>
      <c r="G390" s="3" t="s">
        <v>641</v>
      </c>
      <c r="H390" s="76">
        <v>43056</v>
      </c>
      <c r="I390" s="3" t="s">
        <v>88</v>
      </c>
      <c r="J390" s="3" t="s">
        <v>89</v>
      </c>
      <c r="K390" s="3" t="s">
        <v>479</v>
      </c>
      <c r="L390" s="326" t="s">
        <v>454</v>
      </c>
      <c r="M390" s="3" t="s">
        <v>502</v>
      </c>
      <c r="N390" s="356" cm="1">
        <f t="array" ref="N390">_xlfn.IFS(I390="AEX",H390/400,I390="RP",H390/200)</f>
        <v>107.64</v>
      </c>
      <c r="O390" s="3">
        <v>298</v>
      </c>
      <c r="P390" s="75">
        <f t="shared" si="107"/>
        <v>144.48322147651007</v>
      </c>
      <c r="Q390" s="3" t="str" cm="1">
        <f t="array" ref="Q390">_xlfn.IFS(P390&lt;200, "10", P390&lt;400, "12", P390&lt;600, "14", P390&gt;600, "16")</f>
        <v>10</v>
      </c>
      <c r="R390" s="75">
        <f t="shared" si="112"/>
        <v>32.292000000000002</v>
      </c>
      <c r="S390" s="75">
        <f t="shared" si="108"/>
        <v>0.10836241610738255</v>
      </c>
      <c r="U390" s="306">
        <f t="shared" si="111"/>
        <v>0</v>
      </c>
    </row>
    <row r="391" spans="1:30" ht="16.5" customHeight="1" x14ac:dyDescent="0.35">
      <c r="A391" s="351">
        <v>46014</v>
      </c>
      <c r="B391" s="76" t="s">
        <v>722</v>
      </c>
      <c r="C391" s="71" t="s">
        <v>104</v>
      </c>
      <c r="D391" s="3"/>
      <c r="E391" s="3" t="s">
        <v>87</v>
      </c>
      <c r="F391" s="3">
        <v>0.01</v>
      </c>
      <c r="G391" s="3" t="s">
        <v>640</v>
      </c>
      <c r="H391" s="76">
        <v>52655</v>
      </c>
      <c r="I391" s="3" t="s">
        <v>88</v>
      </c>
      <c r="J391" s="3" t="s">
        <v>89</v>
      </c>
      <c r="K391" s="3" t="s">
        <v>479</v>
      </c>
      <c r="L391" s="326" t="s">
        <v>454</v>
      </c>
      <c r="M391" s="3" t="s">
        <v>502</v>
      </c>
      <c r="N391" s="356" cm="1">
        <f t="array" ref="N391">_xlfn.IFS(I391="AEX",H391/400,I391="RP",H391/200)</f>
        <v>131.63749999999999</v>
      </c>
      <c r="O391" s="3">
        <v>298</v>
      </c>
      <c r="P391" s="75">
        <f t="shared" si="107"/>
        <v>176.69463087248323</v>
      </c>
      <c r="Q391" s="3" t="str" cm="1">
        <f t="array" ref="Q391">_xlfn.IFS(P391&lt;200, "10", P391&lt;400, "12", P391&lt;600, "14", P391&gt;600, "16")</f>
        <v>10</v>
      </c>
      <c r="R391" s="75">
        <f t="shared" si="112"/>
        <v>39.491250000000001</v>
      </c>
      <c r="S391" s="75">
        <f t="shared" si="108"/>
        <v>0.13252097315436243</v>
      </c>
      <c r="T391" s="76">
        <v>36395</v>
      </c>
      <c r="U391" s="306">
        <f t="shared" si="111"/>
        <v>69.11974171493685</v>
      </c>
      <c r="V391" s="76">
        <v>687.74</v>
      </c>
      <c r="W391" s="3" t="s">
        <v>91</v>
      </c>
      <c r="X391" s="2">
        <v>46015</v>
      </c>
      <c r="Y391" s="3" t="s">
        <v>95</v>
      </c>
      <c r="Z391" s="3" t="s">
        <v>87</v>
      </c>
      <c r="AA391" s="76">
        <v>35284.86</v>
      </c>
      <c r="AB391" s="76">
        <v>223.76</v>
      </c>
    </row>
    <row r="392" spans="1:30" ht="16.5" customHeight="1" x14ac:dyDescent="0.35">
      <c r="A392" s="351">
        <v>46015</v>
      </c>
      <c r="B392" s="76" t="s">
        <v>717</v>
      </c>
      <c r="C392" s="71" t="s">
        <v>104</v>
      </c>
      <c r="D392" s="3"/>
      <c r="E392" s="3" t="s">
        <v>87</v>
      </c>
      <c r="F392" s="3">
        <v>0.01</v>
      </c>
      <c r="G392" s="3" t="s">
        <v>640</v>
      </c>
      <c r="H392" s="76">
        <v>44050</v>
      </c>
      <c r="I392" s="3" t="s">
        <v>88</v>
      </c>
      <c r="J392" s="3" t="s">
        <v>89</v>
      </c>
      <c r="K392" s="3" t="s">
        <v>479</v>
      </c>
      <c r="L392" s="326" t="s">
        <v>454</v>
      </c>
      <c r="M392" s="3" t="s">
        <v>502</v>
      </c>
      <c r="N392" s="356" cm="1">
        <f t="array" ref="N392">_xlfn.IFS(I392="AEX",H392/400,I392="RP",H392/200)</f>
        <v>110.125</v>
      </c>
      <c r="O392" s="3">
        <v>298</v>
      </c>
      <c r="P392" s="75">
        <f t="shared" si="107"/>
        <v>147.81879194630872</v>
      </c>
      <c r="Q392" s="3" t="str" cm="1">
        <f t="array" ref="Q392">_xlfn.IFS(P392&lt;200, "10", P392&lt;400, "12", P392&lt;600, "14", P392&gt;600, "16")</f>
        <v>10</v>
      </c>
      <c r="R392" s="75">
        <f t="shared" si="112"/>
        <v>33.037500000000001</v>
      </c>
      <c r="S392" s="75">
        <f t="shared" si="108"/>
        <v>0.11086409395973156</v>
      </c>
      <c r="T392" s="76">
        <v>29566.76</v>
      </c>
      <c r="U392" s="306">
        <f t="shared" si="111"/>
        <v>67.120908059023833</v>
      </c>
      <c r="V392" s="76">
        <v>629.08000000000004</v>
      </c>
      <c r="W392" s="3" t="s">
        <v>91</v>
      </c>
      <c r="X392" s="2">
        <v>46017</v>
      </c>
      <c r="Y392" s="3" t="s">
        <v>318</v>
      </c>
      <c r="Z392" s="3" t="s">
        <v>87</v>
      </c>
      <c r="AA392" s="76">
        <v>28893.35</v>
      </c>
      <c r="AB392" s="76">
        <v>227.19</v>
      </c>
    </row>
    <row r="393" spans="1:30" ht="16.5" customHeight="1" x14ac:dyDescent="0.35">
      <c r="A393" s="351">
        <v>46015</v>
      </c>
      <c r="B393" s="76" t="s">
        <v>718</v>
      </c>
      <c r="C393" s="71" t="s">
        <v>104</v>
      </c>
      <c r="D393" s="3"/>
      <c r="E393" s="3" t="s">
        <v>87</v>
      </c>
      <c r="F393" s="3">
        <v>0.01</v>
      </c>
      <c r="G393" s="3" t="s">
        <v>640</v>
      </c>
      <c r="H393" s="76">
        <v>67885</v>
      </c>
      <c r="I393" s="3" t="s">
        <v>88</v>
      </c>
      <c r="J393" s="3" t="s">
        <v>89</v>
      </c>
      <c r="K393" s="3" t="s">
        <v>479</v>
      </c>
      <c r="L393" s="326" t="s">
        <v>454</v>
      </c>
      <c r="M393" s="3" t="s">
        <v>502</v>
      </c>
      <c r="N393" s="356" cm="1">
        <f t="array" ref="N393">_xlfn.IFS(I393="AEX",H393/400,I393="RP",H393/200)</f>
        <v>169.71250000000001</v>
      </c>
      <c r="O393" s="3">
        <v>298</v>
      </c>
      <c r="P393" s="75">
        <f t="shared" si="107"/>
        <v>227.80201342281879</v>
      </c>
      <c r="Q393" s="3" t="str" cm="1">
        <f t="array" ref="Q393">_xlfn.IFS(P393&lt;200, "10", P393&lt;400, "12", P393&lt;600, "14", P393&gt;600, "16")</f>
        <v>12</v>
      </c>
      <c r="R393" s="75">
        <f t="shared" si="112"/>
        <v>50.91375</v>
      </c>
      <c r="S393" s="75">
        <f t="shared" si="108"/>
        <v>0.1708515100671141</v>
      </c>
      <c r="T393" s="76">
        <v>41467.18</v>
      </c>
      <c r="U393" s="306">
        <f t="shared" si="111"/>
        <v>61.084451646166315</v>
      </c>
      <c r="V393" s="76">
        <v>627.53</v>
      </c>
      <c r="W393" s="3" t="s">
        <v>91</v>
      </c>
      <c r="X393" s="2">
        <v>46017</v>
      </c>
      <c r="Y393" s="3" t="s">
        <v>95</v>
      </c>
      <c r="Z393" s="3" t="s">
        <v>87</v>
      </c>
      <c r="AA393" s="76">
        <v>39002.949999999997</v>
      </c>
      <c r="AB393" s="76">
        <v>222.45</v>
      </c>
    </row>
    <row r="394" spans="1:30" ht="16.5" customHeight="1" x14ac:dyDescent="0.35">
      <c r="A394" s="351">
        <v>46015</v>
      </c>
      <c r="B394" s="76" t="s">
        <v>719</v>
      </c>
      <c r="C394" s="71" t="s">
        <v>104</v>
      </c>
      <c r="D394" s="3"/>
      <c r="E394" s="3" t="s">
        <v>87</v>
      </c>
      <c r="F394" s="3" t="s">
        <v>87</v>
      </c>
      <c r="G394" s="3" t="s">
        <v>87</v>
      </c>
      <c r="H394" s="76">
        <v>11866</v>
      </c>
      <c r="I394" s="3" t="s">
        <v>88</v>
      </c>
      <c r="J394" s="3" t="s">
        <v>377</v>
      </c>
      <c r="K394" s="3" t="s">
        <v>479</v>
      </c>
      <c r="L394" s="326" t="s">
        <v>454</v>
      </c>
      <c r="M394" s="3" t="s">
        <v>502</v>
      </c>
      <c r="N394" s="356" cm="1">
        <f t="array" ref="N394">_xlfn.IFS(I394="AEX",H394/400,I394="RP",H394/200)</f>
        <v>29.664999999999999</v>
      </c>
      <c r="O394" s="3">
        <v>63.8</v>
      </c>
      <c r="P394" s="75">
        <f t="shared" si="107"/>
        <v>185.98746081504703</v>
      </c>
      <c r="Q394" s="3" t="str" cm="1">
        <f t="array" ref="Q394">_xlfn.IFS(P394&lt;200, "10", P394&lt;400, "12", P394&lt;600, "14", P394&gt;600, "16")</f>
        <v>10</v>
      </c>
      <c r="R394" s="75">
        <f t="shared" si="112"/>
        <v>8.8994999999999997</v>
      </c>
      <c r="S394" s="75">
        <f t="shared" si="108"/>
        <v>0.13949059561128527</v>
      </c>
      <c r="U394" s="306">
        <f t="shared" si="111"/>
        <v>0</v>
      </c>
      <c r="W394" s="3" t="s">
        <v>87</v>
      </c>
      <c r="X394" s="2">
        <v>46015</v>
      </c>
      <c r="Y394" s="3" t="s">
        <v>172</v>
      </c>
      <c r="Z394" s="3" t="s">
        <v>87</v>
      </c>
      <c r="AA394" s="76">
        <v>3964</v>
      </c>
      <c r="AB394" s="76">
        <v>120</v>
      </c>
    </row>
    <row r="395" spans="1:30" ht="16.5" customHeight="1" x14ac:dyDescent="0.35">
      <c r="A395" s="351">
        <v>46015</v>
      </c>
      <c r="B395" s="76" t="s">
        <v>720</v>
      </c>
      <c r="C395" s="71" t="s">
        <v>104</v>
      </c>
      <c r="D395" s="3"/>
      <c r="E395" s="3" t="s">
        <v>87</v>
      </c>
      <c r="F395" s="3" t="s">
        <v>87</v>
      </c>
      <c r="G395" s="3" t="s">
        <v>640</v>
      </c>
      <c r="H395" s="76">
        <v>13610</v>
      </c>
      <c r="I395" s="3" t="s">
        <v>88</v>
      </c>
      <c r="J395" s="3" t="s">
        <v>377</v>
      </c>
      <c r="K395" s="3" t="s">
        <v>479</v>
      </c>
      <c r="L395" s="326" t="s">
        <v>454</v>
      </c>
      <c r="M395" s="3" t="s">
        <v>502</v>
      </c>
      <c r="N395" s="356" cm="1">
        <f t="array" ref="N395">_xlfn.IFS(I395="AEX",H395/400,I395="RP",H395/200)</f>
        <v>34.024999999999999</v>
      </c>
      <c r="O395" s="3">
        <v>63.8</v>
      </c>
      <c r="P395" s="75">
        <f t="shared" si="107"/>
        <v>213.32288401253919</v>
      </c>
      <c r="Q395" s="3" t="str" cm="1">
        <f t="array" ref="Q395">_xlfn.IFS(P395&lt;200, "10", P395&lt;400, "12", P395&lt;600, "14", P395&gt;600, "16")</f>
        <v>12</v>
      </c>
      <c r="R395" s="75">
        <f t="shared" si="112"/>
        <v>10.2075</v>
      </c>
      <c r="S395" s="75">
        <f t="shared" si="108"/>
        <v>0.15999216300940439</v>
      </c>
      <c r="T395" s="76">
        <v>5880</v>
      </c>
      <c r="U395" s="306">
        <f t="shared" si="111"/>
        <v>43.203526818515797</v>
      </c>
      <c r="V395" s="76">
        <v>108.75</v>
      </c>
      <c r="W395" s="3" t="s">
        <v>91</v>
      </c>
      <c r="X395" s="2">
        <v>46017</v>
      </c>
      <c r="Y395" s="3" t="s">
        <v>97</v>
      </c>
      <c r="Z395" s="3" t="s">
        <v>87</v>
      </c>
      <c r="AA395" s="76">
        <v>5850.36</v>
      </c>
      <c r="AB395" s="76">
        <v>163.19</v>
      </c>
    </row>
    <row r="396" spans="1:30" ht="16.5" customHeight="1" x14ac:dyDescent="0.35">
      <c r="A396" s="351">
        <v>46015</v>
      </c>
      <c r="B396" s="76" t="s">
        <v>723</v>
      </c>
      <c r="C396" s="71" t="s">
        <v>104</v>
      </c>
      <c r="D396" s="3"/>
      <c r="E396" s="3" t="s">
        <v>87</v>
      </c>
      <c r="F396" s="3" t="s">
        <v>87</v>
      </c>
      <c r="G396" s="3" t="s">
        <v>640</v>
      </c>
      <c r="H396" s="76">
        <v>13717</v>
      </c>
      <c r="I396" s="3" t="s">
        <v>88</v>
      </c>
      <c r="J396" s="3" t="s">
        <v>377</v>
      </c>
      <c r="K396" s="3" t="s">
        <v>479</v>
      </c>
      <c r="L396" s="326" t="s">
        <v>454</v>
      </c>
      <c r="M396" s="3" t="s">
        <v>502</v>
      </c>
      <c r="N396" s="356" cm="1">
        <f t="array" ref="N396">_xlfn.IFS(I396="AEX",H396/400,I396="RP",H396/200)</f>
        <v>34.292499999999997</v>
      </c>
      <c r="O396" s="3">
        <v>63.8</v>
      </c>
      <c r="P396" s="75">
        <f t="shared" si="107"/>
        <v>215</v>
      </c>
      <c r="Q396" s="3" t="str" cm="1">
        <f t="array" ref="Q396">_xlfn.IFS(P396&lt;200, "10", P396&lt;400, "12", P396&lt;600, "14", P396&gt;600, "16")</f>
        <v>12</v>
      </c>
      <c r="R396" s="75">
        <f t="shared" si="112"/>
        <v>10.287749999999999</v>
      </c>
      <c r="S396" s="75">
        <f t="shared" si="108"/>
        <v>0.16125</v>
      </c>
      <c r="T396" s="76">
        <v>7358</v>
      </c>
      <c r="U396" s="306">
        <f t="shared" si="111"/>
        <v>53.641466793030546</v>
      </c>
      <c r="V396" s="76">
        <v>129.01</v>
      </c>
      <c r="W396" s="3" t="s">
        <v>91</v>
      </c>
      <c r="X396" s="2">
        <v>46017</v>
      </c>
      <c r="Y396" s="3" t="s">
        <v>97</v>
      </c>
      <c r="Z396" s="3" t="s">
        <v>87</v>
      </c>
      <c r="AA396" s="76">
        <v>7177.89</v>
      </c>
      <c r="AB396" s="76">
        <v>181.26</v>
      </c>
    </row>
    <row r="397" spans="1:30" ht="16.5" customHeight="1" x14ac:dyDescent="0.35">
      <c r="A397" s="351">
        <v>46017</v>
      </c>
      <c r="B397" s="76" t="s">
        <v>713</v>
      </c>
      <c r="C397" s="71" t="s">
        <v>104</v>
      </c>
      <c r="D397" s="3" t="s">
        <v>691</v>
      </c>
      <c r="E397" s="3" t="s">
        <v>87</v>
      </c>
      <c r="F397" s="3" t="s">
        <v>87</v>
      </c>
      <c r="G397" s="3" t="s">
        <v>641</v>
      </c>
      <c r="H397" s="76">
        <v>9666</v>
      </c>
      <c r="I397" s="3" t="s">
        <v>88</v>
      </c>
      <c r="J397" s="3" t="s">
        <v>89</v>
      </c>
      <c r="K397" s="83" t="s">
        <v>489</v>
      </c>
      <c r="L397" s="326" t="s">
        <v>455</v>
      </c>
      <c r="M397" s="3">
        <v>60</v>
      </c>
      <c r="N397" s="356" cm="1">
        <f t="array" ref="N397">_xlfn.IFS(I397="AEX",H397/400,I397="RP",H397/200)</f>
        <v>24.164999999999999</v>
      </c>
      <c r="O397" s="3">
        <v>64.7</v>
      </c>
      <c r="P397" s="75">
        <f>H397/O397</f>
        <v>149.39721792890262</v>
      </c>
      <c r="Q397" s="3" t="str" cm="1">
        <f t="array" ref="Q397">_xlfn.IFS(P397&lt;200, "10", P397&lt;400, "12", P397&lt;600, "14", P397&gt;600, "16")</f>
        <v>10</v>
      </c>
      <c r="R397" s="75">
        <f>IF(I397="AEX",H397*0.3/400,H397*0.3/200)</f>
        <v>7.2494999999999994</v>
      </c>
      <c r="S397" s="75">
        <f>R397/O397</f>
        <v>0.11204791344667696</v>
      </c>
      <c r="T397" s="76">
        <v>3798</v>
      </c>
      <c r="U397" s="306">
        <f>T397/H397*100</f>
        <v>39.292364990689009</v>
      </c>
      <c r="V397" s="76">
        <v>38.5</v>
      </c>
      <c r="W397" s="3" t="s">
        <v>87</v>
      </c>
      <c r="X397" s="2">
        <v>46017</v>
      </c>
      <c r="Y397" s="3" t="s">
        <v>172</v>
      </c>
      <c r="Z397" s="3" t="s">
        <v>87</v>
      </c>
      <c r="AA397" s="76">
        <v>3537</v>
      </c>
      <c r="AB397" s="76">
        <v>56</v>
      </c>
    </row>
    <row r="398" spans="1:30" ht="16.5" customHeight="1" x14ac:dyDescent="0.35">
      <c r="A398" s="351">
        <v>46017</v>
      </c>
      <c r="B398" s="76" t="s">
        <v>724</v>
      </c>
      <c r="C398" s="71" t="s">
        <v>104</v>
      </c>
      <c r="D398" s="3" t="s">
        <v>691</v>
      </c>
      <c r="E398" s="3" t="s">
        <v>86</v>
      </c>
      <c r="F398" s="3" t="s">
        <v>87</v>
      </c>
      <c r="G398" s="3" t="s">
        <v>640</v>
      </c>
      <c r="H398" s="76">
        <v>4700</v>
      </c>
      <c r="I398" s="3" t="s">
        <v>70</v>
      </c>
      <c r="J398" s="3" t="s">
        <v>195</v>
      </c>
      <c r="K398" s="3" t="s">
        <v>725</v>
      </c>
      <c r="L398" s="326" t="s">
        <v>463</v>
      </c>
      <c r="M398" s="3">
        <v>40</v>
      </c>
      <c r="N398" s="356" cm="1">
        <f t="array" ref="N398">_xlfn.IFS(I398="AEX",H398/400,I398="RP",H398/200)</f>
        <v>23.5</v>
      </c>
      <c r="O398" s="3">
        <v>178</v>
      </c>
      <c r="P398" s="75">
        <f t="shared" si="107"/>
        <v>26.40449438202247</v>
      </c>
      <c r="Q398" s="3" t="str" cm="1">
        <f t="array" ref="Q398">_xlfn.IFS(P398&lt;200, "10", P398&lt;400, "12", P398&lt;600, "14", P398&gt;600, "16")</f>
        <v>10</v>
      </c>
      <c r="R398" s="75">
        <f t="shared" si="112"/>
        <v>7.05</v>
      </c>
      <c r="S398" s="75">
        <f t="shared" si="108"/>
        <v>3.9606741573033705E-2</v>
      </c>
      <c r="T398" s="76">
        <v>1234</v>
      </c>
      <c r="U398" s="306">
        <f t="shared" si="111"/>
        <v>26.255319148936167</v>
      </c>
      <c r="V398" s="76">
        <v>50</v>
      </c>
      <c r="W398" s="3" t="s">
        <v>87</v>
      </c>
      <c r="X398" s="2">
        <v>46017</v>
      </c>
      <c r="Y398" s="3" t="s">
        <v>172</v>
      </c>
      <c r="Z398" s="3" t="s">
        <v>87</v>
      </c>
      <c r="AA398" s="76">
        <v>1123</v>
      </c>
      <c r="AB398" s="76">
        <v>70</v>
      </c>
      <c r="AD398" s="47" t="s">
        <v>727</v>
      </c>
    </row>
    <row r="399" spans="1:30" ht="16.5" customHeight="1" x14ac:dyDescent="0.35">
      <c r="A399" s="351">
        <v>46020</v>
      </c>
      <c r="B399" s="76" t="s">
        <v>734</v>
      </c>
      <c r="C399" s="71" t="s">
        <v>104</v>
      </c>
      <c r="D399" s="3"/>
      <c r="E399" s="3" t="s">
        <v>87</v>
      </c>
      <c r="F399" s="3" t="s">
        <v>87</v>
      </c>
      <c r="G399" s="3" t="s">
        <v>640</v>
      </c>
      <c r="H399" s="76">
        <v>14155</v>
      </c>
      <c r="I399" s="3" t="s">
        <v>88</v>
      </c>
      <c r="J399" s="3" t="s">
        <v>377</v>
      </c>
      <c r="K399" s="3" t="s">
        <v>479</v>
      </c>
      <c r="L399" s="326" t="s">
        <v>454</v>
      </c>
      <c r="M399" s="3" t="s">
        <v>502</v>
      </c>
      <c r="N399" s="356" cm="1">
        <f t="array" ref="N399">_xlfn.IFS(I399="AEX",H399/400,I399="RP",H399/200)</f>
        <v>35.387500000000003</v>
      </c>
      <c r="O399" s="3">
        <v>63.8</v>
      </c>
      <c r="P399" s="75">
        <f t="shared" si="107"/>
        <v>221.86520376175551</v>
      </c>
      <c r="Q399" s="3" t="str" cm="1">
        <f t="array" ref="Q399">_xlfn.IFS(P399&lt;200, "10", P399&lt;400, "12", P399&lt;600, "14", P399&gt;600, "16")</f>
        <v>12</v>
      </c>
      <c r="R399" s="75">
        <f t="shared" si="112"/>
        <v>10.616250000000001</v>
      </c>
      <c r="S399" s="75">
        <f t="shared" si="108"/>
        <v>0.16639890282131664</v>
      </c>
      <c r="T399" s="76">
        <v>6988.4</v>
      </c>
      <c r="U399" s="306">
        <f>T399/H399*100</f>
        <v>49.370540445072407</v>
      </c>
      <c r="V399" s="76">
        <v>128.4</v>
      </c>
      <c r="W399" s="3" t="s">
        <v>91</v>
      </c>
      <c r="X399" s="2">
        <v>46020</v>
      </c>
      <c r="Y399" s="3" t="s">
        <v>97</v>
      </c>
      <c r="Z399" s="3" t="s">
        <v>87</v>
      </c>
      <c r="AA399" s="76">
        <v>5862.7</v>
      </c>
      <c r="AB399" s="76">
        <v>170.18</v>
      </c>
    </row>
    <row r="400" spans="1:30" ht="16.5" customHeight="1" x14ac:dyDescent="0.35">
      <c r="A400" s="351">
        <v>46020</v>
      </c>
      <c r="B400" s="76" t="s">
        <v>730</v>
      </c>
      <c r="C400" s="71" t="s">
        <v>104</v>
      </c>
      <c r="D400" s="3"/>
      <c r="E400" s="3" t="s">
        <v>87</v>
      </c>
      <c r="F400" s="3">
        <v>0.01</v>
      </c>
      <c r="G400" s="3" t="s">
        <v>640</v>
      </c>
      <c r="H400" s="76">
        <v>55348</v>
      </c>
      <c r="I400" s="3" t="s">
        <v>88</v>
      </c>
      <c r="J400" s="3" t="s">
        <v>89</v>
      </c>
      <c r="K400" s="3" t="s">
        <v>479</v>
      </c>
      <c r="L400" s="326" t="s">
        <v>454</v>
      </c>
      <c r="M400" s="3" t="s">
        <v>502</v>
      </c>
      <c r="N400" s="356" cm="1">
        <f t="array" ref="N400">_xlfn.IFS(I400="AEX",H400/400,I400="RP",H400/200)</f>
        <v>138.37</v>
      </c>
      <c r="O400" s="3">
        <v>288</v>
      </c>
      <c r="P400" s="75">
        <f t="shared" si="107"/>
        <v>192.18055555555554</v>
      </c>
      <c r="Q400" s="3" t="str" cm="1">
        <f t="array" ref="Q400">_xlfn.IFS(P400&lt;200, "10", P400&lt;400, "12", P400&lt;600, "14", P400&gt;600, "16")</f>
        <v>10</v>
      </c>
      <c r="R400" s="75">
        <f t="shared" si="112"/>
        <v>41.510999999999996</v>
      </c>
      <c r="S400" s="75">
        <f t="shared" si="108"/>
        <v>0.14413541666666665</v>
      </c>
      <c r="T400" s="76">
        <v>33423</v>
      </c>
      <c r="U400" s="306">
        <f t="shared" si="111"/>
        <v>60.387005853870058</v>
      </c>
      <c r="V400" s="76">
        <v>589.58000000000004</v>
      </c>
      <c r="W400" s="3" t="s">
        <v>91</v>
      </c>
      <c r="X400" s="2">
        <v>46020</v>
      </c>
      <c r="Y400" s="3" t="s">
        <v>95</v>
      </c>
      <c r="Z400" s="3" t="s">
        <v>87</v>
      </c>
      <c r="AA400" s="76">
        <v>32553.93</v>
      </c>
      <c r="AB400" s="76">
        <v>221.61</v>
      </c>
    </row>
    <row r="401" spans="1:28" ht="16.5" customHeight="1" x14ac:dyDescent="0.35">
      <c r="A401" s="351">
        <v>46020</v>
      </c>
      <c r="B401" s="76" t="s">
        <v>731</v>
      </c>
      <c r="C401" s="71" t="s">
        <v>104</v>
      </c>
      <c r="D401" s="3"/>
      <c r="E401" s="3" t="s">
        <v>87</v>
      </c>
      <c r="F401" s="3">
        <v>0.01</v>
      </c>
      <c r="G401" s="3" t="s">
        <v>640</v>
      </c>
      <c r="H401" s="76">
        <v>64324</v>
      </c>
      <c r="I401" s="3" t="s">
        <v>88</v>
      </c>
      <c r="J401" s="3" t="s">
        <v>89</v>
      </c>
      <c r="K401" s="3" t="s">
        <v>479</v>
      </c>
      <c r="L401" s="326" t="s">
        <v>454</v>
      </c>
      <c r="M401" s="3" t="s">
        <v>502</v>
      </c>
      <c r="N401" s="356" cm="1">
        <f t="array" ref="N401">_xlfn.IFS(I401="AEX",H401/400,I401="RP",H401/200)</f>
        <v>160.81</v>
      </c>
      <c r="O401" s="3">
        <v>288</v>
      </c>
      <c r="P401" s="75">
        <f t="shared" si="107"/>
        <v>223.34722222222223</v>
      </c>
      <c r="Q401" s="3" t="str" cm="1">
        <f t="array" ref="Q401">_xlfn.IFS(P401&lt;200, "10", P401&lt;400, "12", P401&lt;600, "14", P401&gt;600, "16")</f>
        <v>12</v>
      </c>
      <c r="R401" s="75">
        <f t="shared" si="112"/>
        <v>48.243000000000002</v>
      </c>
      <c r="S401" s="75">
        <f t="shared" si="108"/>
        <v>0.16751041666666666</v>
      </c>
      <c r="T401" s="76">
        <v>41955</v>
      </c>
      <c r="U401" s="306">
        <f t="shared" si="111"/>
        <v>65.224488526832914</v>
      </c>
      <c r="V401" s="76">
        <v>832</v>
      </c>
      <c r="W401" s="3" t="s">
        <v>91</v>
      </c>
      <c r="X401" s="2">
        <v>46021</v>
      </c>
      <c r="Y401" s="3" t="s">
        <v>318</v>
      </c>
      <c r="Z401" s="3" t="s">
        <v>87</v>
      </c>
      <c r="AA401" s="76">
        <v>40315.29</v>
      </c>
      <c r="AB401" s="76">
        <v>227.82</v>
      </c>
    </row>
    <row r="402" spans="1:28" ht="16.5" customHeight="1" x14ac:dyDescent="0.35">
      <c r="A402" s="351">
        <v>46021</v>
      </c>
      <c r="B402" s="76" t="s">
        <v>728</v>
      </c>
      <c r="C402" s="71" t="s">
        <v>104</v>
      </c>
      <c r="D402" s="3"/>
      <c r="E402" s="3" t="s">
        <v>87</v>
      </c>
      <c r="F402" s="3" t="s">
        <v>87</v>
      </c>
      <c r="G402" s="3" t="s">
        <v>640</v>
      </c>
      <c r="H402" s="76">
        <v>150677</v>
      </c>
      <c r="I402" s="3" t="s">
        <v>88</v>
      </c>
      <c r="J402" s="3" t="s">
        <v>377</v>
      </c>
      <c r="K402" s="3" t="s">
        <v>479</v>
      </c>
      <c r="L402" s="326" t="s">
        <v>454</v>
      </c>
      <c r="M402" s="3" t="s">
        <v>502</v>
      </c>
      <c r="N402" s="356" cm="1">
        <f t="array" ref="N402">_xlfn.IFS(I402="AEX",H402/400,I402="RP",H402/200)</f>
        <v>376.6925</v>
      </c>
      <c r="O402" s="3">
        <v>760</v>
      </c>
      <c r="P402" s="75">
        <f t="shared" si="107"/>
        <v>198.2592105263158</v>
      </c>
      <c r="Q402" s="3" t="str" cm="1">
        <f t="array" ref="Q402">_xlfn.IFS(P402&lt;200, "10", P402&lt;400, "12", P402&lt;600, "14", P402&gt;600, "16")</f>
        <v>10</v>
      </c>
      <c r="R402" s="75">
        <f t="shared" si="112"/>
        <v>113.00775</v>
      </c>
      <c r="S402" s="75">
        <f t="shared" si="108"/>
        <v>0.14869440789473684</v>
      </c>
      <c r="T402" s="76">
        <v>109817</v>
      </c>
      <c r="U402" s="306">
        <f t="shared" si="111"/>
        <v>72.882390809479887</v>
      </c>
      <c r="V402" s="76">
        <v>1426.94</v>
      </c>
      <c r="W402" s="3" t="s">
        <v>91</v>
      </c>
      <c r="X402" s="2">
        <v>46024</v>
      </c>
      <c r="Y402" s="3" t="s">
        <v>95</v>
      </c>
      <c r="Z402" s="3" t="s">
        <v>87</v>
      </c>
      <c r="AA402" s="76">
        <v>107768.27</v>
      </c>
      <c r="AB402" s="76">
        <v>242.85</v>
      </c>
    </row>
    <row r="403" spans="1:28" ht="16.5" customHeight="1" x14ac:dyDescent="0.35">
      <c r="A403" s="351">
        <v>46021</v>
      </c>
      <c r="B403" s="76" t="s">
        <v>729</v>
      </c>
      <c r="C403" s="71" t="s">
        <v>104</v>
      </c>
      <c r="D403" s="3"/>
      <c r="E403" s="3" t="s">
        <v>87</v>
      </c>
      <c r="F403" s="3" t="s">
        <v>87</v>
      </c>
      <c r="G403" s="3" t="s">
        <v>640</v>
      </c>
      <c r="H403" s="76">
        <v>150756</v>
      </c>
      <c r="I403" s="3" t="s">
        <v>88</v>
      </c>
      <c r="J403" s="3" t="s">
        <v>377</v>
      </c>
      <c r="K403" s="3" t="s">
        <v>479</v>
      </c>
      <c r="L403" s="326" t="s">
        <v>454</v>
      </c>
      <c r="M403" s="3" t="s">
        <v>502</v>
      </c>
      <c r="N403" s="356" cm="1">
        <f t="array" ref="N403">_xlfn.IFS(I403="AEX",H403/400,I403="RP",H403/200)</f>
        <v>376.89</v>
      </c>
      <c r="O403" s="3">
        <v>760</v>
      </c>
      <c r="P403" s="75">
        <f t="shared" si="107"/>
        <v>198.36315789473684</v>
      </c>
      <c r="Q403" s="3" t="str" cm="1">
        <f t="array" ref="Q403">_xlfn.IFS(P403&lt;200, "10", P403&lt;400, "12", P403&lt;600, "14", P403&gt;600, "16")</f>
        <v>10</v>
      </c>
      <c r="R403" s="75">
        <f t="shared" si="112"/>
        <v>113.06699999999999</v>
      </c>
      <c r="S403" s="75">
        <f t="shared" si="108"/>
        <v>0.14877236842105263</v>
      </c>
      <c r="T403" s="76">
        <v>113574</v>
      </c>
      <c r="U403" s="306">
        <f t="shared" si="111"/>
        <v>75.336305022685664</v>
      </c>
      <c r="V403" s="76">
        <v>1607.8</v>
      </c>
      <c r="W403" s="3" t="s">
        <v>91</v>
      </c>
      <c r="X403" s="2">
        <v>46028</v>
      </c>
      <c r="Y403" s="3" t="s">
        <v>95</v>
      </c>
      <c r="Z403" s="3" t="s">
        <v>87</v>
      </c>
      <c r="AA403" s="76">
        <v>116246.53</v>
      </c>
      <c r="AB403" s="76">
        <v>257.41000000000003</v>
      </c>
    </row>
    <row r="404" spans="1:28" ht="16.5" customHeight="1" x14ac:dyDescent="0.35">
      <c r="A404" s="351">
        <v>46021</v>
      </c>
      <c r="B404" s="76" t="s">
        <v>732</v>
      </c>
      <c r="C404" s="71" t="s">
        <v>104</v>
      </c>
      <c r="D404" s="3"/>
      <c r="E404" s="3" t="s">
        <v>87</v>
      </c>
      <c r="F404" s="3">
        <v>0.01</v>
      </c>
      <c r="G404" s="3" t="s">
        <v>640</v>
      </c>
      <c r="H404" s="76">
        <v>51474</v>
      </c>
      <c r="I404" s="3" t="s">
        <v>88</v>
      </c>
      <c r="J404" s="3" t="s">
        <v>89</v>
      </c>
      <c r="K404" s="3" t="s">
        <v>479</v>
      </c>
      <c r="L404" s="326" t="s">
        <v>454</v>
      </c>
      <c r="M404" s="3" t="s">
        <v>502</v>
      </c>
      <c r="N404" s="356" cm="1">
        <f t="array" ref="N404">_xlfn.IFS(I404="AEX",H404/400,I404="RP",H404/200)</f>
        <v>128.685</v>
      </c>
      <c r="O404" s="3">
        <v>298</v>
      </c>
      <c r="P404" s="75">
        <f t="shared" si="107"/>
        <v>172.73154362416108</v>
      </c>
      <c r="Q404" s="3" t="str" cm="1">
        <f t="array" ref="Q404">_xlfn.IFS(P404&lt;200, "10", P404&lt;400, "12", P404&lt;600, "14", P404&gt;600, "16")</f>
        <v>10</v>
      </c>
      <c r="R404" s="75">
        <f t="shared" si="112"/>
        <v>38.605499999999999</v>
      </c>
      <c r="S404" s="75">
        <f t="shared" si="108"/>
        <v>0.1295486577181208</v>
      </c>
      <c r="T404" s="76">
        <v>34747</v>
      </c>
      <c r="U404" s="306">
        <f t="shared" si="111"/>
        <v>67.503982593153822</v>
      </c>
      <c r="V404" s="76">
        <v>589</v>
      </c>
      <c r="W404" s="3" t="s">
        <v>91</v>
      </c>
      <c r="X404" s="2">
        <v>46022</v>
      </c>
      <c r="Y404" s="3" t="s">
        <v>318</v>
      </c>
      <c r="Z404" s="3" t="s">
        <v>87</v>
      </c>
      <c r="AA404" s="76">
        <v>34020.36</v>
      </c>
      <c r="AB404" s="76">
        <v>236.91</v>
      </c>
    </row>
    <row r="405" spans="1:28" ht="16.5" customHeight="1" x14ac:dyDescent="0.35">
      <c r="A405" s="351">
        <v>46021</v>
      </c>
      <c r="B405" s="76" t="s">
        <v>733</v>
      </c>
      <c r="C405" s="71" t="s">
        <v>104</v>
      </c>
      <c r="D405" s="3"/>
      <c r="E405" s="3" t="s">
        <v>87</v>
      </c>
      <c r="F405" s="3">
        <v>0.01</v>
      </c>
      <c r="G405" s="3" t="s">
        <v>640</v>
      </c>
      <c r="H405" s="76">
        <v>56281</v>
      </c>
      <c r="I405" s="3" t="s">
        <v>88</v>
      </c>
      <c r="J405" s="3" t="s">
        <v>89</v>
      </c>
      <c r="K405" s="3" t="s">
        <v>479</v>
      </c>
      <c r="L405" s="326" t="s">
        <v>454</v>
      </c>
      <c r="M405" s="3" t="s">
        <v>502</v>
      </c>
      <c r="N405" s="356" cm="1">
        <f t="array" ref="N405">_xlfn.IFS(I405="AEX",H405/400,I405="RP",H405/200)</f>
        <v>140.70249999999999</v>
      </c>
      <c r="O405" s="3">
        <v>298</v>
      </c>
      <c r="P405" s="75">
        <f t="shared" si="107"/>
        <v>188.86241610738256</v>
      </c>
      <c r="Q405" s="3" t="str" cm="1">
        <f t="array" ref="Q405">_xlfn.IFS(P405&lt;200, "10", P405&lt;400, "12", P405&lt;600, "14", P405&gt;600, "16")</f>
        <v>10</v>
      </c>
      <c r="R405" s="75">
        <f t="shared" si="112"/>
        <v>42.210749999999997</v>
      </c>
      <c r="S405" s="75">
        <f t="shared" si="108"/>
        <v>0.14164681208053689</v>
      </c>
      <c r="T405" s="76">
        <v>36884</v>
      </c>
      <c r="U405" s="306">
        <f t="shared" si="111"/>
        <v>65.535438247365903</v>
      </c>
      <c r="V405" s="76">
        <v>637</v>
      </c>
      <c r="W405" s="3" t="s">
        <v>91</v>
      </c>
      <c r="X405" s="2">
        <v>46021</v>
      </c>
      <c r="Y405" s="3" t="s">
        <v>95</v>
      </c>
      <c r="Z405" s="3" t="s">
        <v>87</v>
      </c>
      <c r="AA405" s="76">
        <v>33587.800000000003</v>
      </c>
      <c r="AB405" s="76">
        <v>232.23</v>
      </c>
    </row>
    <row r="406" spans="1:28" ht="16.5" customHeight="1" x14ac:dyDescent="0.35">
      <c r="A406" s="351">
        <v>46021</v>
      </c>
      <c r="B406" s="76" t="s">
        <v>735</v>
      </c>
      <c r="C406" s="71" t="s">
        <v>104</v>
      </c>
      <c r="D406" s="3"/>
      <c r="E406" s="3" t="s">
        <v>257</v>
      </c>
      <c r="F406" s="3" t="s">
        <v>87</v>
      </c>
      <c r="G406" s="3" t="s">
        <v>640</v>
      </c>
      <c r="H406" s="76">
        <v>7500</v>
      </c>
      <c r="I406" s="3" t="s">
        <v>88</v>
      </c>
      <c r="J406" s="3" t="s">
        <v>90</v>
      </c>
      <c r="K406" s="3" t="s">
        <v>479</v>
      </c>
      <c r="L406" s="326" t="s">
        <v>454</v>
      </c>
      <c r="M406" s="3" t="s">
        <v>502</v>
      </c>
      <c r="N406" s="356" cm="1">
        <f t="array" ref="N406">_xlfn.IFS(I406="AEX",H406/400,I406="RP",H406/200)</f>
        <v>18.75</v>
      </c>
      <c r="O406" s="3">
        <v>23.5</v>
      </c>
      <c r="P406" s="75">
        <f t="shared" si="107"/>
        <v>319.14893617021278</v>
      </c>
      <c r="Q406" s="3" t="str" cm="1">
        <f t="array" ref="Q406">_xlfn.IFS(P406&lt;200, "10", P406&lt;400, "12", P406&lt;600, "14", P406&gt;600, "16")</f>
        <v>12</v>
      </c>
      <c r="R406" s="75">
        <f t="shared" si="112"/>
        <v>5.625</v>
      </c>
      <c r="S406" s="75">
        <f t="shared" si="108"/>
        <v>0.23936170212765959</v>
      </c>
      <c r="T406" s="76">
        <v>5812</v>
      </c>
      <c r="U406" s="306">
        <f t="shared" si="111"/>
        <v>77.493333333333339</v>
      </c>
      <c r="V406" s="76">
        <v>128</v>
      </c>
      <c r="W406" s="3" t="s">
        <v>91</v>
      </c>
      <c r="X406" s="2">
        <v>46021</v>
      </c>
      <c r="Y406" s="3" t="s">
        <v>97</v>
      </c>
      <c r="Z406" s="3" t="s">
        <v>87</v>
      </c>
      <c r="AA406" s="76">
        <v>4971.93</v>
      </c>
      <c r="AB406" s="76">
        <v>163.82</v>
      </c>
    </row>
    <row r="407" spans="1:28" ht="16.5" customHeight="1" x14ac:dyDescent="0.35">
      <c r="A407" s="351">
        <v>46021</v>
      </c>
      <c r="B407" s="76" t="s">
        <v>737</v>
      </c>
      <c r="C407" s="71" t="s">
        <v>321</v>
      </c>
      <c r="D407" s="3"/>
      <c r="E407" s="3" t="s">
        <v>87</v>
      </c>
      <c r="F407" s="3">
        <v>0.01</v>
      </c>
      <c r="G407" s="3" t="s">
        <v>641</v>
      </c>
      <c r="H407" s="76">
        <v>4100</v>
      </c>
      <c r="I407" s="3" t="s">
        <v>88</v>
      </c>
      <c r="J407" s="3" t="s">
        <v>90</v>
      </c>
      <c r="K407" s="3" t="s">
        <v>540</v>
      </c>
      <c r="L407" s="326" t="s">
        <v>454</v>
      </c>
      <c r="M407" s="3" t="s">
        <v>502</v>
      </c>
      <c r="N407" s="356" cm="1">
        <f t="array" ref="N407">_xlfn.IFS(I407="AEX",H407/400,I407="RP",H407/200)</f>
        <v>10.25</v>
      </c>
      <c r="O407" s="3">
        <v>16.100000000000001</v>
      </c>
      <c r="P407" s="75">
        <f t="shared" si="107"/>
        <v>254.65838509316768</v>
      </c>
      <c r="Q407" s="3" t="str" cm="1">
        <f t="array" ref="Q407">_xlfn.IFS(P407&lt;200, "10", P407&lt;400, "12", P407&lt;600, "14", P407&gt;600, "16")</f>
        <v>12</v>
      </c>
      <c r="R407" s="75">
        <f t="shared" si="112"/>
        <v>3.0750000000000002</v>
      </c>
      <c r="S407" s="75">
        <f t="shared" si="108"/>
        <v>0.19099378881987578</v>
      </c>
      <c r="U407" s="306">
        <f t="shared" ref="U407:U433" si="113">T407/H407*100</f>
        <v>0</v>
      </c>
    </row>
    <row r="408" spans="1:28" ht="16.5" customHeight="1" x14ac:dyDescent="0.35">
      <c r="A408" s="351" t="s">
        <v>711</v>
      </c>
      <c r="B408" s="76" t="s">
        <v>736</v>
      </c>
      <c r="C408" s="71" t="s">
        <v>321</v>
      </c>
      <c r="D408" s="3"/>
      <c r="E408" s="3" t="s">
        <v>87</v>
      </c>
      <c r="F408" s="3">
        <v>0.01</v>
      </c>
      <c r="G408" s="3" t="s">
        <v>641</v>
      </c>
      <c r="H408" s="76">
        <v>3200</v>
      </c>
      <c r="I408" s="3" t="s">
        <v>88</v>
      </c>
      <c r="M408" s="3"/>
      <c r="N408" s="356" cm="1">
        <f t="array" ref="N408">_xlfn.IFS(I408="AEX",H408/400,I408="RP",H408/200)</f>
        <v>8</v>
      </c>
      <c r="O408" s="3">
        <v>16.100000000000001</v>
      </c>
      <c r="P408" s="75">
        <f t="shared" si="107"/>
        <v>198.75776397515526</v>
      </c>
      <c r="Q408" s="3" t="str" cm="1">
        <f t="array" ref="Q408">_xlfn.IFS(P408&lt;200, "10", P408&lt;400, "12", P408&lt;600, "14", P408&gt;600, "16")</f>
        <v>10</v>
      </c>
      <c r="R408" s="75">
        <f t="shared" si="112"/>
        <v>2.4</v>
      </c>
      <c r="S408" s="75">
        <f t="shared" si="108"/>
        <v>0.14906832298136644</v>
      </c>
      <c r="U408" s="306">
        <f t="shared" si="113"/>
        <v>0</v>
      </c>
    </row>
    <row r="409" spans="1:28" ht="16.5" customHeight="1" x14ac:dyDescent="0.35">
      <c r="A409" s="351">
        <v>46022</v>
      </c>
      <c r="B409" s="76" t="s">
        <v>738</v>
      </c>
      <c r="C409" s="71" t="s">
        <v>104</v>
      </c>
      <c r="D409" s="3"/>
      <c r="E409" s="3" t="s">
        <v>87</v>
      </c>
      <c r="F409" s="3" t="s">
        <v>87</v>
      </c>
      <c r="G409" s="3" t="s">
        <v>640</v>
      </c>
      <c r="H409" s="76">
        <v>168281</v>
      </c>
      <c r="I409" s="3" t="s">
        <v>88</v>
      </c>
      <c r="J409" s="3" t="s">
        <v>377</v>
      </c>
      <c r="K409" s="3" t="s">
        <v>479</v>
      </c>
      <c r="L409" s="326" t="s">
        <v>454</v>
      </c>
      <c r="M409" s="3" t="s">
        <v>502</v>
      </c>
      <c r="N409" s="356" cm="1">
        <f t="array" ref="N409">_xlfn.IFS(I409="AEX",H409/400,I409="RP",H409/200)</f>
        <v>420.70249999999999</v>
      </c>
      <c r="O409" s="3">
        <v>760</v>
      </c>
      <c r="P409" s="75">
        <f t="shared" si="107"/>
        <v>221.42236842105262</v>
      </c>
      <c r="Q409" s="3" t="str" cm="1">
        <f t="array" ref="Q409">_xlfn.IFS(P409&lt;200, "10", P409&lt;400, "12", P409&lt;600, "14", P409&gt;600, "16")</f>
        <v>12</v>
      </c>
      <c r="R409" s="75">
        <f t="shared" si="112"/>
        <v>126.21074999999999</v>
      </c>
      <c r="S409" s="75">
        <f t="shared" si="108"/>
        <v>0.16606677631578945</v>
      </c>
      <c r="T409" s="76">
        <v>101514.14</v>
      </c>
      <c r="U409" s="306">
        <f t="shared" si="113"/>
        <v>60.324183954219436</v>
      </c>
      <c r="V409" s="76">
        <v>1640.5</v>
      </c>
      <c r="W409" s="3" t="s">
        <v>91</v>
      </c>
      <c r="X409" s="2">
        <v>46024</v>
      </c>
      <c r="Y409" s="3" t="s">
        <v>318</v>
      </c>
      <c r="Z409" s="3" t="s">
        <v>87</v>
      </c>
      <c r="AA409" s="76">
        <v>101433.15</v>
      </c>
      <c r="AB409" s="76">
        <v>237.21</v>
      </c>
    </row>
    <row r="410" spans="1:28" ht="16" customHeight="1" x14ac:dyDescent="0.35">
      <c r="A410" s="351">
        <v>46022</v>
      </c>
      <c r="B410" s="76" t="s">
        <v>739</v>
      </c>
      <c r="C410" s="71" t="s">
        <v>104</v>
      </c>
      <c r="D410" s="3"/>
      <c r="E410" s="3" t="s">
        <v>257</v>
      </c>
      <c r="F410" s="3" t="s">
        <v>87</v>
      </c>
      <c r="G410" s="3" t="s">
        <v>641</v>
      </c>
      <c r="H410" s="76">
        <v>4248</v>
      </c>
      <c r="I410" s="3" t="s">
        <v>88</v>
      </c>
      <c r="J410" s="3" t="s">
        <v>90</v>
      </c>
      <c r="K410" s="3" t="s">
        <v>540</v>
      </c>
      <c r="L410" s="326" t="s">
        <v>454</v>
      </c>
      <c r="M410" s="3" t="s">
        <v>502</v>
      </c>
      <c r="N410" s="356" cm="1">
        <f t="array" ref="N410">_xlfn.IFS(I410="AEX",H410/400,I410="RP",H410/200)</f>
        <v>10.62</v>
      </c>
      <c r="O410" s="3">
        <v>23.5</v>
      </c>
      <c r="P410" s="75">
        <f t="shared" si="107"/>
        <v>180.7659574468085</v>
      </c>
      <c r="Q410" s="3" t="str" cm="1">
        <f t="array" ref="Q410">_xlfn.IFS(P410&lt;200, "10", P410&lt;400, "12", P410&lt;600, "14", P410&gt;600, "16")</f>
        <v>10</v>
      </c>
      <c r="R410" s="75">
        <f t="shared" si="112"/>
        <v>3.1859999999999995</v>
      </c>
      <c r="S410" s="75">
        <f t="shared" si="108"/>
        <v>0.13557446808510637</v>
      </c>
      <c r="U410" s="306">
        <f t="shared" si="113"/>
        <v>0</v>
      </c>
    </row>
    <row r="411" spans="1:28" ht="16.5" customHeight="1" x14ac:dyDescent="0.35">
      <c r="A411" s="351">
        <v>46022</v>
      </c>
      <c r="B411" s="76" t="s">
        <v>740</v>
      </c>
      <c r="C411" s="71" t="s">
        <v>104</v>
      </c>
      <c r="D411" s="3"/>
      <c r="E411" s="3" t="s">
        <v>87</v>
      </c>
      <c r="F411" s="3" t="s">
        <v>87</v>
      </c>
      <c r="G411" s="3" t="s">
        <v>640</v>
      </c>
      <c r="H411" s="76">
        <v>180821</v>
      </c>
      <c r="I411" s="3" t="s">
        <v>88</v>
      </c>
      <c r="J411" s="3" t="s">
        <v>377</v>
      </c>
      <c r="K411" s="3" t="s">
        <v>479</v>
      </c>
      <c r="L411" s="326" t="s">
        <v>454</v>
      </c>
      <c r="M411" s="3" t="s">
        <v>502</v>
      </c>
      <c r="N411" s="356" cm="1">
        <f t="array" ref="N411">_xlfn.IFS(I411="AEX",H411/400,I411="RP",H411/200)</f>
        <v>452.05250000000001</v>
      </c>
      <c r="O411" s="3">
        <v>760</v>
      </c>
      <c r="P411" s="75">
        <f t="shared" si="107"/>
        <v>237.92236842105262</v>
      </c>
      <c r="Q411" s="3" t="str" cm="1">
        <f t="array" ref="Q411">_xlfn.IFS(P411&lt;200, "10", P411&lt;400, "12", P411&lt;600, "14", P411&gt;600, "16")</f>
        <v>12</v>
      </c>
      <c r="R411" s="75">
        <f t="shared" si="112"/>
        <v>135.61574999999999</v>
      </c>
      <c r="S411" s="75">
        <f t="shared" si="108"/>
        <v>0.17844177631578947</v>
      </c>
      <c r="T411" s="76">
        <v>99211.23</v>
      </c>
      <c r="U411" s="306">
        <f t="shared" si="113"/>
        <v>54.867095082982623</v>
      </c>
      <c r="V411" s="76">
        <v>1605.1</v>
      </c>
      <c r="W411" s="3" t="s">
        <v>91</v>
      </c>
      <c r="X411" s="2">
        <v>46024</v>
      </c>
      <c r="Y411" s="3" t="s">
        <v>95</v>
      </c>
      <c r="Z411" s="3" t="s">
        <v>87</v>
      </c>
      <c r="AA411" s="76">
        <v>96318.75</v>
      </c>
      <c r="AB411" s="76">
        <v>262.49</v>
      </c>
    </row>
    <row r="412" spans="1:28" ht="16.5" customHeight="1" x14ac:dyDescent="0.35">
      <c r="A412" s="351">
        <v>46022</v>
      </c>
      <c r="B412" s="76" t="s">
        <v>742</v>
      </c>
      <c r="C412" s="71" t="s">
        <v>104</v>
      </c>
      <c r="D412" s="3"/>
      <c r="E412" s="3" t="s">
        <v>87</v>
      </c>
      <c r="F412" s="3" t="s">
        <v>87</v>
      </c>
      <c r="G412" s="3" t="s">
        <v>640</v>
      </c>
      <c r="H412" s="76">
        <v>21100</v>
      </c>
      <c r="I412" s="3" t="s">
        <v>88</v>
      </c>
      <c r="J412" s="3" t="s">
        <v>90</v>
      </c>
      <c r="K412" s="3" t="s">
        <v>540</v>
      </c>
      <c r="L412" s="326" t="s">
        <v>454</v>
      </c>
      <c r="M412" s="3" t="s">
        <v>502</v>
      </c>
      <c r="N412" s="356" cm="1">
        <f t="array" ref="N412">_xlfn.IFS(I412="AEX",H412/400,I412="RP",H412/200)</f>
        <v>52.75</v>
      </c>
      <c r="O412" s="3">
        <v>63.8</v>
      </c>
      <c r="P412" s="75">
        <f t="shared" si="107"/>
        <v>330.72100313479626</v>
      </c>
      <c r="Q412" s="3" t="str" cm="1">
        <f t="array" ref="Q412">_xlfn.IFS(P412&lt;200, "10", P412&lt;400, "12", P412&lt;600, "14", P412&gt;600, "16")</f>
        <v>12</v>
      </c>
      <c r="R412" s="75">
        <f t="shared" si="112"/>
        <v>15.824999999999999</v>
      </c>
      <c r="S412" s="75">
        <f t="shared" si="108"/>
        <v>0.24804075235109718</v>
      </c>
      <c r="T412" s="76">
        <v>11452</v>
      </c>
      <c r="U412" s="306">
        <f t="shared" si="113"/>
        <v>54.274881516587683</v>
      </c>
      <c r="V412" s="76">
        <v>237</v>
      </c>
      <c r="W412" s="3" t="s">
        <v>91</v>
      </c>
      <c r="X412" s="2">
        <v>46024</v>
      </c>
      <c r="Y412" s="3" t="s">
        <v>97</v>
      </c>
      <c r="Z412" s="3" t="s">
        <v>87</v>
      </c>
      <c r="AA412" s="76">
        <v>10598.19</v>
      </c>
      <c r="AB412" s="76">
        <v>377.16</v>
      </c>
    </row>
    <row r="413" spans="1:28" ht="16.5" customHeight="1" x14ac:dyDescent="0.35">
      <c r="A413" s="351">
        <v>45659</v>
      </c>
      <c r="B413" s="76" t="s">
        <v>741</v>
      </c>
      <c r="C413" s="71" t="s">
        <v>104</v>
      </c>
      <c r="D413" s="3"/>
      <c r="E413" s="3" t="s">
        <v>194</v>
      </c>
      <c r="F413" s="3" t="s">
        <v>87</v>
      </c>
      <c r="G413" s="3" t="s">
        <v>641</v>
      </c>
      <c r="H413" s="76">
        <v>3964</v>
      </c>
      <c r="I413" s="3" t="s">
        <v>88</v>
      </c>
      <c r="J413" s="3" t="s">
        <v>377</v>
      </c>
      <c r="K413" s="3" t="s">
        <v>479</v>
      </c>
      <c r="L413" s="326" t="s">
        <v>454</v>
      </c>
      <c r="M413" s="3" t="s">
        <v>502</v>
      </c>
      <c r="N413" s="356" cm="1">
        <f t="array" ref="N413">_xlfn.IFS(I413="AEX",H413/400,I413="RP",H413/200)</f>
        <v>9.91</v>
      </c>
      <c r="O413" s="3">
        <v>63.8</v>
      </c>
      <c r="P413" s="75">
        <f>H413/O413</f>
        <v>62.131661442006269</v>
      </c>
      <c r="Q413" s="3" t="str" cm="1">
        <f t="array" ref="Q413">_xlfn.IFS(P413&lt;200, "10", P413&lt;400, "12", P413&lt;600, "14", P413&gt;600, "16")</f>
        <v>10</v>
      </c>
      <c r="R413" s="75">
        <f>IF(I413="AEX",H413*0.3/400,H413*0.3/200)</f>
        <v>2.9730000000000003</v>
      </c>
      <c r="S413" s="75">
        <f>R413/O413</f>
        <v>4.6598746081504709E-2</v>
      </c>
      <c r="U413" s="306">
        <f>T413/H413*100</f>
        <v>0</v>
      </c>
      <c r="W413" s="3" t="s">
        <v>91</v>
      </c>
      <c r="X413" s="2">
        <v>46024</v>
      </c>
      <c r="Y413" s="3" t="s">
        <v>172</v>
      </c>
    </row>
    <row r="414" spans="1:28" ht="16.5" customHeight="1" x14ac:dyDescent="0.35">
      <c r="A414" s="351">
        <v>46024</v>
      </c>
      <c r="B414" s="76" t="s">
        <v>743</v>
      </c>
      <c r="C414" s="71" t="s">
        <v>104</v>
      </c>
      <c r="D414" s="3"/>
      <c r="E414" s="3" t="s">
        <v>87</v>
      </c>
      <c r="F414" s="3" t="s">
        <v>87</v>
      </c>
      <c r="G414" s="3" t="s">
        <v>640</v>
      </c>
      <c r="H414" s="76">
        <v>15939</v>
      </c>
      <c r="I414" s="3" t="s">
        <v>88</v>
      </c>
      <c r="J414" s="3" t="s">
        <v>377</v>
      </c>
      <c r="K414" s="3" t="s">
        <v>540</v>
      </c>
      <c r="L414" s="326" t="s">
        <v>454</v>
      </c>
      <c r="M414" s="3" t="s">
        <v>502</v>
      </c>
      <c r="N414" s="356" cm="1">
        <f t="array" ref="N414">_xlfn.IFS(I414="AEX",H414/400,I414="RP",H414/200)</f>
        <v>39.847499999999997</v>
      </c>
      <c r="O414" s="3">
        <v>63.8</v>
      </c>
      <c r="P414" s="75">
        <f t="shared" si="107"/>
        <v>249.82758620689657</v>
      </c>
      <c r="Q414" s="3" t="str" cm="1">
        <f t="array" ref="Q414">_xlfn.IFS(P414&lt;200, "10", P414&lt;400, "12", P414&lt;600, "14", P414&gt;600, "16")</f>
        <v>12</v>
      </c>
      <c r="R414" s="75">
        <f t="shared" ref="R414:R443" si="114">IF(I414="AEX",H414*0.3/400,H414*0.3/200)</f>
        <v>11.95425</v>
      </c>
      <c r="S414" s="75">
        <f t="shared" si="108"/>
        <v>0.18737068965517242</v>
      </c>
      <c r="T414" s="76">
        <v>6409</v>
      </c>
      <c r="U414" s="306">
        <f t="shared" si="113"/>
        <v>40.209548905201082</v>
      </c>
      <c r="V414" s="76">
        <v>166.6</v>
      </c>
      <c r="W414" s="3" t="s">
        <v>91</v>
      </c>
      <c r="X414" s="2">
        <v>46027</v>
      </c>
      <c r="Y414" s="3" t="s">
        <v>97</v>
      </c>
      <c r="Z414" s="3" t="s">
        <v>87</v>
      </c>
      <c r="AA414" s="76">
        <v>5744.24</v>
      </c>
      <c r="AB414" s="76">
        <v>254.17</v>
      </c>
    </row>
    <row r="415" spans="1:28" ht="16.5" customHeight="1" x14ac:dyDescent="0.35">
      <c r="A415" s="351">
        <v>46024</v>
      </c>
      <c r="B415" s="76" t="s">
        <v>744</v>
      </c>
      <c r="C415" s="71" t="s">
        <v>104</v>
      </c>
      <c r="D415" s="3"/>
      <c r="E415" s="3" t="s">
        <v>87</v>
      </c>
      <c r="F415" s="3">
        <v>0.01</v>
      </c>
      <c r="G415" s="3" t="s">
        <v>640</v>
      </c>
      <c r="H415" s="76">
        <v>60936</v>
      </c>
      <c r="I415" s="3" t="s">
        <v>88</v>
      </c>
      <c r="J415" s="3" t="s">
        <v>89</v>
      </c>
      <c r="K415" s="3" t="s">
        <v>540</v>
      </c>
      <c r="L415" s="326" t="s">
        <v>454</v>
      </c>
      <c r="M415" s="3" t="s">
        <v>502</v>
      </c>
      <c r="N415" s="356" cm="1">
        <f t="array" ref="N415">_xlfn.IFS(I415="AEX",H415/400,I415="RP",H415/200)</f>
        <v>152.34</v>
      </c>
      <c r="O415" s="3">
        <v>288</v>
      </c>
      <c r="P415" s="75">
        <f t="shared" si="107"/>
        <v>211.58333333333334</v>
      </c>
      <c r="Q415" s="3" t="str" cm="1">
        <f t="array" ref="Q415">_xlfn.IFS(P415&lt;200, "10", P415&lt;400, "12", P415&lt;600, "14", P415&gt;600, "16")</f>
        <v>12</v>
      </c>
      <c r="R415" s="75">
        <f t="shared" si="114"/>
        <v>45.701999999999998</v>
      </c>
      <c r="S415" s="75">
        <f t="shared" si="108"/>
        <v>0.15868749999999998</v>
      </c>
      <c r="T415" s="76">
        <v>27846</v>
      </c>
      <c r="U415" s="306">
        <f t="shared" si="113"/>
        <v>45.697124852304057</v>
      </c>
      <c r="V415" s="76">
        <v>673.6</v>
      </c>
      <c r="W415" s="3" t="s">
        <v>91</v>
      </c>
      <c r="X415" s="2">
        <v>46027</v>
      </c>
      <c r="Y415" s="3" t="s">
        <v>318</v>
      </c>
      <c r="Z415" s="3" t="s">
        <v>87</v>
      </c>
      <c r="AA415" s="76">
        <v>26831.65</v>
      </c>
      <c r="AB415" s="76">
        <v>203.99</v>
      </c>
    </row>
    <row r="416" spans="1:28" ht="16.5" customHeight="1" x14ac:dyDescent="0.35">
      <c r="A416" s="351">
        <v>45659</v>
      </c>
      <c r="B416" s="76" t="s">
        <v>749</v>
      </c>
      <c r="C416" s="71" t="s">
        <v>104</v>
      </c>
      <c r="D416" s="3"/>
      <c r="E416" s="3" t="s">
        <v>194</v>
      </c>
      <c r="F416" s="3" t="s">
        <v>87</v>
      </c>
      <c r="G416" s="3" t="s">
        <v>641</v>
      </c>
      <c r="H416" s="76">
        <v>2925</v>
      </c>
      <c r="I416" s="3" t="s">
        <v>88</v>
      </c>
      <c r="J416" s="3" t="s">
        <v>377</v>
      </c>
      <c r="K416" s="3" t="s">
        <v>479</v>
      </c>
      <c r="L416" s="326" t="s">
        <v>454</v>
      </c>
      <c r="M416" s="3" t="s">
        <v>502</v>
      </c>
      <c r="N416" s="356" cm="1">
        <f t="array" ref="N416">_xlfn.IFS(I416="AEX",H416/400,I416="RP",H416/200)</f>
        <v>7.3125</v>
      </c>
      <c r="O416" s="3">
        <v>63.8</v>
      </c>
      <c r="P416" s="75">
        <f t="shared" si="107"/>
        <v>45.846394984326018</v>
      </c>
      <c r="Q416" s="3" t="str" cm="1">
        <f t="array" ref="Q416">_xlfn.IFS(P416&lt;200, "10", P416&lt;400, "12", P416&lt;600, "14", P416&gt;600, "16")</f>
        <v>10</v>
      </c>
      <c r="R416" s="75">
        <f t="shared" si="114"/>
        <v>2.1937500000000001</v>
      </c>
      <c r="S416" s="75">
        <f t="shared" si="108"/>
        <v>3.4384796238244517E-2</v>
      </c>
      <c r="U416" s="306">
        <f t="shared" si="113"/>
        <v>0</v>
      </c>
      <c r="Y416" s="3" t="s">
        <v>172</v>
      </c>
    </row>
    <row r="417" spans="1:28" ht="16.5" customHeight="1" x14ac:dyDescent="0.35">
      <c r="A417" s="351">
        <v>45659</v>
      </c>
      <c r="B417" s="76" t="s">
        <v>750</v>
      </c>
      <c r="C417" s="71" t="s">
        <v>321</v>
      </c>
      <c r="D417" s="3"/>
      <c r="E417" s="3" t="s">
        <v>194</v>
      </c>
      <c r="F417" s="3" t="s">
        <v>87</v>
      </c>
      <c r="G417" s="3" t="s">
        <v>641</v>
      </c>
      <c r="H417" s="76">
        <v>3589</v>
      </c>
      <c r="I417" s="3" t="s">
        <v>88</v>
      </c>
      <c r="J417" s="3" t="s">
        <v>90</v>
      </c>
      <c r="K417" s="3" t="s">
        <v>479</v>
      </c>
      <c r="L417" s="326" t="s">
        <v>454</v>
      </c>
      <c r="M417" s="3" t="s">
        <v>502</v>
      </c>
      <c r="N417" s="356" cm="1">
        <f t="array" ref="N417">_xlfn.IFS(I417="AEX",H417/400,I417="RP",H417/200)</f>
        <v>8.9725000000000001</v>
      </c>
      <c r="O417" s="3">
        <v>16.100000000000001</v>
      </c>
      <c r="P417" s="75">
        <f t="shared" si="107"/>
        <v>222.91925465838509</v>
      </c>
      <c r="Q417" s="3" t="str" cm="1">
        <f t="array" ref="Q417">_xlfn.IFS(P417&lt;200, "10", P417&lt;400, "12", P417&lt;600, "14", P417&gt;600, "16")</f>
        <v>12</v>
      </c>
      <c r="R417" s="75">
        <f t="shared" si="114"/>
        <v>2.6917500000000003</v>
      </c>
      <c r="S417" s="75">
        <f t="shared" si="108"/>
        <v>0.16718944099378882</v>
      </c>
      <c r="U417" s="306">
        <f t="shared" si="113"/>
        <v>0</v>
      </c>
      <c r="Y417" s="3" t="s">
        <v>172</v>
      </c>
    </row>
    <row r="418" spans="1:28" ht="16.5" customHeight="1" x14ac:dyDescent="0.35">
      <c r="A418" s="355">
        <v>45659</v>
      </c>
      <c r="B418" s="76" t="s">
        <v>746</v>
      </c>
      <c r="C418" s="71" t="s">
        <v>104</v>
      </c>
      <c r="D418" s="3" t="s">
        <v>747</v>
      </c>
      <c r="E418" s="3" t="s">
        <v>87</v>
      </c>
      <c r="F418" s="3" t="s">
        <v>87</v>
      </c>
      <c r="G418" s="3" t="s">
        <v>641</v>
      </c>
      <c r="H418" s="76">
        <v>1115</v>
      </c>
      <c r="I418" s="3" t="s">
        <v>88</v>
      </c>
      <c r="J418" s="3" t="s">
        <v>90</v>
      </c>
      <c r="K418" s="3" t="s">
        <v>479</v>
      </c>
      <c r="L418" s="326" t="s">
        <v>454</v>
      </c>
      <c r="M418" s="3" t="s">
        <v>502</v>
      </c>
      <c r="N418" s="356" cm="1">
        <f t="array" ref="N418">_xlfn.IFS(I418="AEX",H418/400,I418="RP",H418/200)</f>
        <v>2.7875000000000001</v>
      </c>
      <c r="O418" s="3">
        <v>7.9</v>
      </c>
      <c r="P418" s="75">
        <f t="shared" si="107"/>
        <v>141.13924050632912</v>
      </c>
      <c r="Q418" s="3" t="str" cm="1">
        <f t="array" ref="Q418">_xlfn.IFS(P418&lt;200, "10", P418&lt;400, "12", P418&lt;600, "14", P418&gt;600, "16")</f>
        <v>10</v>
      </c>
      <c r="R418" s="75">
        <f t="shared" si="114"/>
        <v>0.83625000000000005</v>
      </c>
      <c r="S418" s="75">
        <f t="shared" si="108"/>
        <v>0.10585443037974683</v>
      </c>
      <c r="U418" s="306">
        <f t="shared" si="113"/>
        <v>0</v>
      </c>
      <c r="Y418" s="3" t="s">
        <v>172</v>
      </c>
    </row>
    <row r="419" spans="1:28" ht="16.5" customHeight="1" x14ac:dyDescent="0.35">
      <c r="A419" s="355">
        <v>45659</v>
      </c>
      <c r="B419" s="76" t="s">
        <v>745</v>
      </c>
      <c r="C419" s="71" t="s">
        <v>104</v>
      </c>
      <c r="D419" s="3" t="s">
        <v>747</v>
      </c>
      <c r="E419" s="3" t="s">
        <v>87</v>
      </c>
      <c r="F419" s="3" t="s">
        <v>87</v>
      </c>
      <c r="G419" s="3" t="s">
        <v>641</v>
      </c>
      <c r="H419" s="76">
        <v>1303</v>
      </c>
      <c r="I419" s="3" t="s">
        <v>88</v>
      </c>
      <c r="J419" s="3" t="s">
        <v>90</v>
      </c>
      <c r="K419" s="3" t="s">
        <v>479</v>
      </c>
      <c r="L419" s="326" t="s">
        <v>454</v>
      </c>
      <c r="M419" s="3" t="s">
        <v>502</v>
      </c>
      <c r="N419" s="356" cm="1">
        <f t="array" ref="N419">_xlfn.IFS(I419="AEX",H419/400,I419="RP",H419/200)</f>
        <v>3.2574999999999998</v>
      </c>
      <c r="O419" s="3">
        <v>7.9</v>
      </c>
      <c r="P419" s="75">
        <f t="shared" si="107"/>
        <v>164.9367088607595</v>
      </c>
      <c r="Q419" s="3" t="str" cm="1">
        <f t="array" ref="Q419">_xlfn.IFS(P419&lt;200, "10", P419&lt;400, "12", P419&lt;600, "14", P419&gt;600, "16")</f>
        <v>10</v>
      </c>
      <c r="R419" s="75">
        <f t="shared" si="114"/>
        <v>0.97724999999999995</v>
      </c>
      <c r="S419" s="75">
        <f t="shared" si="108"/>
        <v>0.1237025316455696</v>
      </c>
      <c r="U419" s="306">
        <f t="shared" si="113"/>
        <v>0</v>
      </c>
      <c r="Y419" s="3" t="s">
        <v>172</v>
      </c>
    </row>
    <row r="420" spans="1:28" ht="16.5" customHeight="1" x14ac:dyDescent="0.35">
      <c r="A420" s="351">
        <v>46027</v>
      </c>
      <c r="B420" s="76" t="s">
        <v>751</v>
      </c>
      <c r="C420" s="71" t="s">
        <v>321</v>
      </c>
      <c r="D420" s="3"/>
      <c r="F420" s="3">
        <v>0.01</v>
      </c>
      <c r="G420" s="3" t="s">
        <v>641</v>
      </c>
      <c r="H420" s="76">
        <v>2900</v>
      </c>
      <c r="I420" s="3" t="s">
        <v>88</v>
      </c>
      <c r="J420" s="3" t="s">
        <v>90</v>
      </c>
      <c r="K420" s="3" t="s">
        <v>753</v>
      </c>
      <c r="L420" s="326" t="s">
        <v>454</v>
      </c>
      <c r="M420" s="3" t="s">
        <v>502</v>
      </c>
      <c r="N420" s="356" cm="1">
        <f t="array" ref="N420">_xlfn.IFS(I420="AEX",H420/400,I420="RP",H420/200)</f>
        <v>7.25</v>
      </c>
      <c r="O420" s="3">
        <v>16.100000000000001</v>
      </c>
      <c r="P420" s="75">
        <f t="shared" si="107"/>
        <v>180.12422360248445</v>
      </c>
      <c r="Q420" s="3">
        <v>12</v>
      </c>
      <c r="R420" s="75">
        <f t="shared" si="114"/>
        <v>2.1749999999999998</v>
      </c>
      <c r="S420" s="75">
        <f t="shared" si="108"/>
        <v>0.13509316770186333</v>
      </c>
      <c r="U420" s="306">
        <f t="shared" si="113"/>
        <v>0</v>
      </c>
      <c r="Y420" s="3" t="s">
        <v>172</v>
      </c>
    </row>
    <row r="421" spans="1:28" ht="16.5" customHeight="1" x14ac:dyDescent="0.35">
      <c r="A421" s="351">
        <v>46027</v>
      </c>
      <c r="B421" s="76" t="s">
        <v>748</v>
      </c>
      <c r="C421" s="71" t="s">
        <v>104</v>
      </c>
      <c r="D421" s="3"/>
      <c r="E421" s="3" t="s">
        <v>87</v>
      </c>
      <c r="F421" s="3">
        <v>0.01</v>
      </c>
      <c r="G421" s="3" t="s">
        <v>640</v>
      </c>
      <c r="H421" s="76">
        <v>21318</v>
      </c>
      <c r="I421" s="3" t="s">
        <v>88</v>
      </c>
      <c r="J421" s="3" t="s">
        <v>377</v>
      </c>
      <c r="K421" s="3" t="s">
        <v>479</v>
      </c>
      <c r="L421" s="326" t="s">
        <v>454</v>
      </c>
      <c r="M421" s="3" t="s">
        <v>502</v>
      </c>
      <c r="N421" s="356" cm="1">
        <f t="array" ref="N421">_xlfn.IFS(I421="AEX",H421/400,I421="RP",H421/200)</f>
        <v>53.295000000000002</v>
      </c>
      <c r="O421" s="3">
        <v>63.8</v>
      </c>
      <c r="P421" s="75">
        <f>H421/O421</f>
        <v>334.13793103448279</v>
      </c>
      <c r="Q421" s="3" t="str" cm="1">
        <f t="array" ref="Q421">_xlfn.IFS(P421&lt;200, "10", P421&lt;400, "12", P421&lt;600, "14", P421&gt;600, "16")</f>
        <v>12</v>
      </c>
      <c r="R421" s="75">
        <f>IF(I421="AEX",H421*0.3/400,H421*0.3/200)</f>
        <v>15.988499999999998</v>
      </c>
      <c r="S421" s="75">
        <f>R421/O421</f>
        <v>0.25060344827586206</v>
      </c>
      <c r="T421" s="76">
        <v>10402</v>
      </c>
      <c r="U421" s="306">
        <f>T421/H421*100</f>
        <v>48.794446008068299</v>
      </c>
      <c r="V421" s="76">
        <v>162.5</v>
      </c>
      <c r="W421" s="3" t="s">
        <v>91</v>
      </c>
      <c r="X421" s="2">
        <v>46027</v>
      </c>
      <c r="Y421" s="3" t="s">
        <v>97</v>
      </c>
      <c r="Z421" s="3" t="s">
        <v>87</v>
      </c>
      <c r="AA421" s="76">
        <v>10564</v>
      </c>
      <c r="AB421" s="76">
        <v>236.65</v>
      </c>
    </row>
    <row r="422" spans="1:28" ht="16.5" customHeight="1" x14ac:dyDescent="0.35">
      <c r="A422" s="351">
        <v>46027</v>
      </c>
      <c r="B422" s="76" t="s">
        <v>752</v>
      </c>
      <c r="C422" s="71" t="s">
        <v>104</v>
      </c>
      <c r="D422" s="3" t="s">
        <v>691</v>
      </c>
      <c r="G422" s="3" t="s">
        <v>641</v>
      </c>
      <c r="H422" s="76">
        <v>6092</v>
      </c>
      <c r="I422" s="3" t="s">
        <v>88</v>
      </c>
      <c r="J422" s="3" t="s">
        <v>89</v>
      </c>
      <c r="K422" s="3" t="s">
        <v>496</v>
      </c>
      <c r="L422" s="326" t="s">
        <v>454</v>
      </c>
      <c r="M422" s="3">
        <v>60</v>
      </c>
      <c r="N422" s="356" cm="1">
        <f t="array" ref="N422">_xlfn.IFS(I422="AEX",H422/400,I422="RP",H422/200)</f>
        <v>15.23</v>
      </c>
      <c r="O422" s="3">
        <v>23.5</v>
      </c>
      <c r="P422" s="75">
        <f t="shared" si="107"/>
        <v>259.2340425531915</v>
      </c>
      <c r="Q422" s="3" t="str" cm="1">
        <f t="array" ref="Q422">_xlfn.IFS(P422&lt;200, "10", P422&lt;400, "12", P422&lt;600, "14", P422&gt;600, "16")</f>
        <v>12</v>
      </c>
      <c r="R422" s="75">
        <f t="shared" si="114"/>
        <v>4.569</v>
      </c>
      <c r="S422" s="75">
        <f t="shared" si="108"/>
        <v>0.19442553191489362</v>
      </c>
      <c r="T422" s="76">
        <v>885</v>
      </c>
      <c r="U422" s="306">
        <f t="shared" si="113"/>
        <v>14.527248850952068</v>
      </c>
      <c r="Y422" s="3" t="s">
        <v>172</v>
      </c>
    </row>
    <row r="423" spans="1:28" ht="16.5" customHeight="1" x14ac:dyDescent="0.35">
      <c r="A423" s="351">
        <v>46027</v>
      </c>
      <c r="B423" s="76" t="s">
        <v>757</v>
      </c>
      <c r="C423" s="71" t="s">
        <v>104</v>
      </c>
      <c r="D423" s="3" t="s">
        <v>758</v>
      </c>
      <c r="E423" s="3" t="s">
        <v>87</v>
      </c>
      <c r="F423" s="3" t="s">
        <v>87</v>
      </c>
      <c r="G423" s="3" t="s">
        <v>640</v>
      </c>
      <c r="H423" s="76">
        <v>8700</v>
      </c>
      <c r="I423" s="3" t="s">
        <v>70</v>
      </c>
      <c r="J423" s="3" t="s">
        <v>195</v>
      </c>
      <c r="K423" s="3" t="s">
        <v>759</v>
      </c>
      <c r="L423" s="326" t="s">
        <v>760</v>
      </c>
      <c r="M423" s="3">
        <v>40</v>
      </c>
      <c r="N423" s="356" cm="1">
        <f t="array" ref="N423">_xlfn.IFS(I423="AEX",H423/400,I423="RP",H423/200)</f>
        <v>43.5</v>
      </c>
      <c r="O423" s="3">
        <v>55</v>
      </c>
      <c r="P423" s="75">
        <f t="shared" si="107"/>
        <v>158.18181818181819</v>
      </c>
      <c r="Q423" s="3" t="str" cm="1">
        <f t="array" ref="Q423">_xlfn.IFS(P423&lt;200, "10", P423&lt;400, "12", P423&lt;600, "14", P423&gt;600, "16")</f>
        <v>10</v>
      </c>
      <c r="R423" s="75">
        <f t="shared" si="114"/>
        <v>13.05</v>
      </c>
      <c r="S423" s="75">
        <f t="shared" si="108"/>
        <v>0.23727272727272727</v>
      </c>
      <c r="T423" s="76">
        <v>3366</v>
      </c>
      <c r="U423" s="306">
        <f t="shared" si="113"/>
        <v>38.689655172413794</v>
      </c>
      <c r="V423" s="76">
        <v>81.760000000000005</v>
      </c>
      <c r="W423" s="3" t="s">
        <v>87</v>
      </c>
      <c r="X423" s="2">
        <v>46028</v>
      </c>
      <c r="Y423" s="3" t="s">
        <v>318</v>
      </c>
      <c r="Z423" s="3" t="s">
        <v>91</v>
      </c>
      <c r="AA423" s="76">
        <v>3113.51</v>
      </c>
      <c r="AB423" s="76">
        <v>154.5</v>
      </c>
    </row>
    <row r="424" spans="1:28" ht="16.5" customHeight="1" x14ac:dyDescent="0.35">
      <c r="A424" s="351">
        <v>46027</v>
      </c>
      <c r="B424" s="76" t="s">
        <v>755</v>
      </c>
      <c r="C424" s="71" t="s">
        <v>104</v>
      </c>
      <c r="D424" s="3"/>
      <c r="F424" s="3">
        <v>0.01</v>
      </c>
      <c r="G424" s="3" t="s">
        <v>641</v>
      </c>
      <c r="H424" s="76">
        <v>3870</v>
      </c>
      <c r="I424" s="3" t="s">
        <v>88</v>
      </c>
      <c r="J424" s="3" t="s">
        <v>90</v>
      </c>
      <c r="K424" s="3" t="s">
        <v>753</v>
      </c>
      <c r="L424" s="326" t="s">
        <v>454</v>
      </c>
      <c r="M424" s="3" t="s">
        <v>502</v>
      </c>
      <c r="N424" s="356" cm="1">
        <f t="array" ref="N424">_xlfn.IFS(I424="AEX",H424/400,I424="RP",H424/200)</f>
        <v>9.6750000000000007</v>
      </c>
      <c r="O424" s="3">
        <v>16.100000000000001</v>
      </c>
      <c r="P424" s="75">
        <f t="shared" si="107"/>
        <v>240.3726708074534</v>
      </c>
      <c r="Q424" s="3" t="str" cm="1">
        <f t="array" ref="Q424">_xlfn.IFS(P424&lt;200, "10", P424&lt;400, "12", P424&lt;600, "14", P424&gt;600, "16")</f>
        <v>12</v>
      </c>
      <c r="R424" s="75">
        <f t="shared" si="114"/>
        <v>2.9024999999999999</v>
      </c>
      <c r="S424" s="75">
        <f t="shared" si="108"/>
        <v>0.18027950310559004</v>
      </c>
      <c r="U424" s="306">
        <f t="shared" si="113"/>
        <v>0</v>
      </c>
      <c r="Y424" s="3" t="s">
        <v>172</v>
      </c>
    </row>
    <row r="425" spans="1:28" ht="16.5" customHeight="1" x14ac:dyDescent="0.35">
      <c r="A425" s="351">
        <v>46027</v>
      </c>
      <c r="B425" s="76" t="s">
        <v>756</v>
      </c>
      <c r="C425" s="71" t="s">
        <v>104</v>
      </c>
      <c r="D425" s="3"/>
      <c r="F425" s="3">
        <v>0.01</v>
      </c>
      <c r="G425" s="3" t="s">
        <v>641</v>
      </c>
      <c r="H425" s="76">
        <v>4147</v>
      </c>
      <c r="I425" s="3" t="s">
        <v>88</v>
      </c>
      <c r="J425" s="3" t="s">
        <v>377</v>
      </c>
      <c r="K425" s="3" t="s">
        <v>753</v>
      </c>
      <c r="L425" s="326" t="s">
        <v>454</v>
      </c>
      <c r="M425" s="3" t="s">
        <v>502</v>
      </c>
      <c r="N425" s="356" cm="1">
        <f t="array" ref="N425">_xlfn.IFS(I425="AEX",H425/400,I425="RP",H425/200)</f>
        <v>10.3675</v>
      </c>
      <c r="O425" s="3">
        <v>23.5</v>
      </c>
      <c r="P425" s="75">
        <f t="shared" si="107"/>
        <v>176.46808510638297</v>
      </c>
      <c r="Q425" s="3" t="str" cm="1">
        <f t="array" ref="Q425">_xlfn.IFS(P425&lt;200, "10", P425&lt;400, "12", P425&lt;600, "14", P425&gt;600, "16")</f>
        <v>10</v>
      </c>
      <c r="R425" s="75">
        <f t="shared" si="114"/>
        <v>3.1102499999999997</v>
      </c>
      <c r="S425" s="75">
        <f t="shared" si="108"/>
        <v>0.13235106382978723</v>
      </c>
      <c r="T425" s="76">
        <v>2910</v>
      </c>
      <c r="U425" s="306">
        <f t="shared" si="113"/>
        <v>70.171208102242588</v>
      </c>
      <c r="Y425" s="3" t="s">
        <v>172</v>
      </c>
    </row>
    <row r="426" spans="1:28" ht="16.5" customHeight="1" x14ac:dyDescent="0.35">
      <c r="A426" s="351">
        <v>46027</v>
      </c>
      <c r="B426" s="76" t="s">
        <v>754</v>
      </c>
      <c r="C426" s="71" t="s">
        <v>104</v>
      </c>
      <c r="D426" s="3"/>
      <c r="F426" s="3">
        <v>0.01</v>
      </c>
      <c r="G426" s="3" t="s">
        <v>641</v>
      </c>
      <c r="H426" s="76">
        <v>2925</v>
      </c>
      <c r="I426" s="3" t="s">
        <v>88</v>
      </c>
      <c r="J426" s="3" t="s">
        <v>90</v>
      </c>
      <c r="K426" s="3" t="s">
        <v>753</v>
      </c>
      <c r="L426" s="326" t="s">
        <v>454</v>
      </c>
      <c r="M426" s="3" t="s">
        <v>502</v>
      </c>
      <c r="N426" s="356" cm="1">
        <f t="array" ref="N426">_xlfn.IFS(I426="AEX",H426/400,I426="RP",H426/200)</f>
        <v>7.3125</v>
      </c>
      <c r="O426" s="3">
        <v>16.100000000000001</v>
      </c>
      <c r="P426" s="75">
        <f t="shared" ref="P426:P492" si="115">H426/O426</f>
        <v>181.67701863354037</v>
      </c>
      <c r="Q426" s="3" t="str" cm="1">
        <f t="array" ref="Q426">_xlfn.IFS(P426&lt;200, "10", P426&lt;400, "12", P426&lt;600, "14", P426&gt;600, "16")</f>
        <v>10</v>
      </c>
      <c r="R426" s="75">
        <f t="shared" si="114"/>
        <v>2.1937500000000001</v>
      </c>
      <c r="S426" s="75">
        <f t="shared" ref="S426:S492" si="116">R426/O426</f>
        <v>0.13625776397515527</v>
      </c>
      <c r="U426" s="306">
        <f t="shared" si="113"/>
        <v>0</v>
      </c>
      <c r="Y426" s="3" t="s">
        <v>172</v>
      </c>
    </row>
    <row r="427" spans="1:28" ht="16.5" customHeight="1" x14ac:dyDescent="0.35">
      <c r="A427" s="351">
        <v>46028</v>
      </c>
      <c r="B427" s="76" t="s">
        <v>761</v>
      </c>
      <c r="C427" s="71" t="s">
        <v>104</v>
      </c>
      <c r="D427" s="3"/>
      <c r="E427" s="3" t="s">
        <v>87</v>
      </c>
      <c r="F427" s="3">
        <v>0.01</v>
      </c>
      <c r="G427" s="3" t="s">
        <v>641</v>
      </c>
      <c r="H427" s="76">
        <v>3380</v>
      </c>
      <c r="I427" s="3" t="s">
        <v>88</v>
      </c>
      <c r="J427" s="3" t="s">
        <v>90</v>
      </c>
      <c r="K427" s="3" t="s">
        <v>479</v>
      </c>
      <c r="L427" s="326" t="s">
        <v>454</v>
      </c>
      <c r="M427" s="3" t="s">
        <v>502</v>
      </c>
      <c r="N427" s="356" cm="1">
        <f t="array" ref="N427">_xlfn.IFS(I427="AEX",H427/400,I427="RP",H427/200)</f>
        <v>8.4499999999999993</v>
      </c>
      <c r="O427" s="3">
        <v>16.100000000000001</v>
      </c>
      <c r="P427" s="75">
        <f t="shared" si="115"/>
        <v>209.93788819875775</v>
      </c>
      <c r="Q427" s="3" t="str" cm="1">
        <f t="array" ref="Q427">_xlfn.IFS(P427&lt;200, "10", P427&lt;400, "12", P427&lt;600, "14", P427&gt;600, "16")</f>
        <v>12</v>
      </c>
      <c r="R427" s="75">
        <f t="shared" si="114"/>
        <v>2.5350000000000001</v>
      </c>
      <c r="S427" s="75">
        <f t="shared" si="116"/>
        <v>0.15745341614906833</v>
      </c>
      <c r="U427" s="306">
        <f t="shared" si="113"/>
        <v>0</v>
      </c>
      <c r="Y427" s="3" t="s">
        <v>172</v>
      </c>
    </row>
    <row r="428" spans="1:28" ht="16.5" customHeight="1" x14ac:dyDescent="0.35">
      <c r="A428" s="351">
        <v>46028</v>
      </c>
      <c r="B428" s="76" t="s">
        <v>762</v>
      </c>
      <c r="C428" s="71" t="s">
        <v>104</v>
      </c>
      <c r="D428" s="3"/>
      <c r="E428" s="3" t="s">
        <v>87</v>
      </c>
      <c r="F428" s="3">
        <v>0.01</v>
      </c>
      <c r="G428" s="3" t="s">
        <v>641</v>
      </c>
      <c r="H428" s="76">
        <v>3557</v>
      </c>
      <c r="I428" s="3" t="s">
        <v>88</v>
      </c>
      <c r="J428" s="3" t="s">
        <v>90</v>
      </c>
      <c r="K428" s="3" t="s">
        <v>479</v>
      </c>
      <c r="L428" s="326" t="s">
        <v>454</v>
      </c>
      <c r="M428" s="3" t="s">
        <v>502</v>
      </c>
      <c r="N428" s="356" cm="1">
        <f t="array" ref="N428">_xlfn.IFS(I428="AEX",H428/400,I428="RP",H428/200)</f>
        <v>8.8925000000000001</v>
      </c>
      <c r="O428" s="3">
        <v>16.100000000000001</v>
      </c>
      <c r="P428" s="75">
        <f t="shared" si="115"/>
        <v>220.93167701863351</v>
      </c>
      <c r="Q428" s="3" t="str" cm="1">
        <f t="array" ref="Q428">_xlfn.IFS(P428&lt;200, "10", P428&lt;400, "12", P428&lt;600, "14", P428&gt;600, "16")</f>
        <v>12</v>
      </c>
      <c r="R428" s="75">
        <f t="shared" si="114"/>
        <v>2.6677499999999998</v>
      </c>
      <c r="S428" s="75">
        <f t="shared" si="116"/>
        <v>0.16569875776397514</v>
      </c>
      <c r="U428" s="306">
        <f t="shared" si="113"/>
        <v>0</v>
      </c>
      <c r="Y428" s="3" t="s">
        <v>172</v>
      </c>
    </row>
    <row r="429" spans="1:28" ht="17.5" customHeight="1" x14ac:dyDescent="0.35">
      <c r="A429" s="351">
        <v>46028</v>
      </c>
      <c r="B429" s="76" t="s">
        <v>764</v>
      </c>
      <c r="C429" s="71" t="s">
        <v>104</v>
      </c>
      <c r="D429" s="3"/>
      <c r="E429" s="3" t="s">
        <v>86</v>
      </c>
      <c r="F429" s="3">
        <v>0.01</v>
      </c>
      <c r="G429" s="3" t="s">
        <v>640</v>
      </c>
      <c r="H429" s="76">
        <v>21306</v>
      </c>
      <c r="I429" s="3" t="s">
        <v>88</v>
      </c>
      <c r="J429" s="3" t="s">
        <v>89</v>
      </c>
      <c r="K429" s="3" t="s">
        <v>479</v>
      </c>
      <c r="L429" s="326" t="s">
        <v>454</v>
      </c>
      <c r="M429" s="3" t="s">
        <v>502</v>
      </c>
      <c r="N429" s="356" cm="1">
        <f t="array" ref="N429">_xlfn.IFS(I429="AEX",H429/400,I429="RP",H429/200)</f>
        <v>53.265000000000001</v>
      </c>
      <c r="O429" s="3">
        <v>288</v>
      </c>
      <c r="P429" s="75">
        <f>H429/O429</f>
        <v>73.979166666666671</v>
      </c>
      <c r="Q429" s="3" t="str" cm="1">
        <f t="array" ref="Q429">_xlfn.IFS(P429&lt;200, "10", P429&lt;400, "12", P429&lt;600, "14", P429&gt;600, "16")</f>
        <v>10</v>
      </c>
      <c r="R429" s="75">
        <f>IF(I429="AEX",H429*0.3/400,H429*0.3/200)</f>
        <v>15.9795</v>
      </c>
      <c r="S429" s="75">
        <f>R429/O429</f>
        <v>5.5484375000000002E-2</v>
      </c>
      <c r="T429" s="76">
        <v>10907</v>
      </c>
      <c r="U429" s="306">
        <f>T429/H429*100</f>
        <v>51.192152445320573</v>
      </c>
      <c r="V429" s="76">
        <v>271</v>
      </c>
      <c r="W429" s="3" t="s">
        <v>91</v>
      </c>
      <c r="X429" s="2">
        <v>46028</v>
      </c>
      <c r="Y429" s="3" t="s">
        <v>97</v>
      </c>
      <c r="Z429" s="3" t="s">
        <v>87</v>
      </c>
      <c r="AA429" s="76">
        <v>11122.12</v>
      </c>
      <c r="AB429" s="76">
        <v>351.41</v>
      </c>
    </row>
    <row r="430" spans="1:28" ht="16.5" customHeight="1" x14ac:dyDescent="0.35">
      <c r="A430" s="351">
        <v>46028</v>
      </c>
      <c r="B430" s="76" t="s">
        <v>766</v>
      </c>
      <c r="C430" s="71" t="s">
        <v>104</v>
      </c>
      <c r="D430" s="3"/>
      <c r="E430" s="3" t="s">
        <v>194</v>
      </c>
      <c r="F430" s="3">
        <v>0.01</v>
      </c>
      <c r="G430" s="3" t="s">
        <v>641</v>
      </c>
      <c r="H430" s="76">
        <v>2930</v>
      </c>
      <c r="I430" s="3" t="s">
        <v>88</v>
      </c>
      <c r="J430" s="3" t="s">
        <v>90</v>
      </c>
      <c r="K430" s="3" t="s">
        <v>753</v>
      </c>
      <c r="L430" s="326" t="s">
        <v>454</v>
      </c>
      <c r="M430" s="3" t="s">
        <v>502</v>
      </c>
      <c r="N430" s="356" cm="1">
        <f t="array" ref="N430">_xlfn.IFS(I430="AEX",H430/400,I430="RP",H430/200)</f>
        <v>7.3250000000000002</v>
      </c>
      <c r="O430" s="3">
        <v>16.100000000000001</v>
      </c>
      <c r="P430" s="75">
        <f>H430/O430</f>
        <v>181.98757763975155</v>
      </c>
      <c r="Q430" s="3" t="str" cm="1">
        <f t="array" ref="Q430">_xlfn.IFS(P430&lt;200, "10", P430&lt;400, "12", P430&lt;600, "14", P430&gt;600, "16")</f>
        <v>10</v>
      </c>
      <c r="R430" s="75">
        <f>IF(I430="AEX",H430*0.3/400,H430*0.3/200)</f>
        <v>2.1974999999999998</v>
      </c>
      <c r="S430" s="75">
        <f>R430/O430</f>
        <v>0.13649068322981364</v>
      </c>
      <c r="U430" s="306">
        <f>T430/H430*100</f>
        <v>0</v>
      </c>
      <c r="Y430" s="3" t="s">
        <v>172</v>
      </c>
    </row>
    <row r="431" spans="1:28" ht="16.5" customHeight="1" x14ac:dyDescent="0.35">
      <c r="A431" s="351">
        <v>46029</v>
      </c>
      <c r="B431" s="76" t="s">
        <v>765</v>
      </c>
      <c r="C431" s="71" t="s">
        <v>104</v>
      </c>
      <c r="D431" s="3"/>
      <c r="E431" s="3" t="s">
        <v>194</v>
      </c>
      <c r="F431" s="3">
        <v>0.01</v>
      </c>
      <c r="G431" s="3" t="s">
        <v>640</v>
      </c>
      <c r="H431" s="76">
        <v>156832</v>
      </c>
      <c r="I431" s="3" t="s">
        <v>88</v>
      </c>
      <c r="J431" s="3" t="s">
        <v>377</v>
      </c>
      <c r="K431" s="3" t="s">
        <v>479</v>
      </c>
      <c r="L431" s="326" t="s">
        <v>454</v>
      </c>
      <c r="M431" s="3" t="s">
        <v>502</v>
      </c>
      <c r="N431" s="356" cm="1">
        <f t="array" ref="N431">_xlfn.IFS(I431="AEX",H431/400,I431="RP",H431/200)</f>
        <v>392.08</v>
      </c>
      <c r="O431" s="3">
        <v>760</v>
      </c>
      <c r="P431" s="75">
        <f>H431/O431</f>
        <v>206.3578947368421</v>
      </c>
      <c r="Q431" s="3" t="str" cm="1">
        <f t="array" ref="Q431">_xlfn.IFS(P431&lt;200, "10", P431&lt;400, "12", P431&lt;600, "14", P431&gt;600, "16")</f>
        <v>12</v>
      </c>
      <c r="R431" s="75">
        <f>IF(I431="AEX",H431*0.3/400,H431*0.3/200)</f>
        <v>117.624</v>
      </c>
      <c r="S431" s="75">
        <f>R431/O431</f>
        <v>0.15476842105263158</v>
      </c>
      <c r="T431" s="76">
        <v>88775.75</v>
      </c>
      <c r="U431" s="306">
        <f>T431/H431*100</f>
        <v>56.605635329524581</v>
      </c>
      <c r="V431" s="76">
        <v>1457.73</v>
      </c>
      <c r="W431" s="3" t="s">
        <v>91</v>
      </c>
      <c r="X431" s="2">
        <v>46030</v>
      </c>
      <c r="Y431" s="3" t="s">
        <v>95</v>
      </c>
      <c r="Z431" s="3" t="s">
        <v>87</v>
      </c>
      <c r="AA431" s="76">
        <v>88435.71</v>
      </c>
      <c r="AB431" s="76">
        <v>246.58</v>
      </c>
    </row>
    <row r="432" spans="1:28" ht="16.5" customHeight="1" x14ac:dyDescent="0.35">
      <c r="A432" s="351">
        <v>46029</v>
      </c>
      <c r="B432" s="76" t="s">
        <v>763</v>
      </c>
      <c r="C432" s="71" t="s">
        <v>104</v>
      </c>
      <c r="D432" s="3"/>
      <c r="E432" s="3" t="s">
        <v>86</v>
      </c>
      <c r="F432" s="3">
        <v>0.01</v>
      </c>
      <c r="G432" s="3" t="s">
        <v>640</v>
      </c>
      <c r="H432" s="76">
        <v>2286</v>
      </c>
      <c r="I432" s="3" t="s">
        <v>88</v>
      </c>
      <c r="J432" s="3" t="s">
        <v>90</v>
      </c>
      <c r="K432" s="3" t="s">
        <v>540</v>
      </c>
      <c r="L432" s="326" t="s">
        <v>454</v>
      </c>
      <c r="M432" s="3" t="s">
        <v>502</v>
      </c>
      <c r="N432" s="356" cm="1">
        <f t="array" ref="N432">_xlfn.IFS(I432="AEX",H432/400,I432="RP",H432/200)</f>
        <v>5.7149999999999999</v>
      </c>
      <c r="O432" s="3">
        <v>16.100000000000001</v>
      </c>
      <c r="P432" s="75">
        <f t="shared" si="115"/>
        <v>141.98757763975155</v>
      </c>
      <c r="Q432" s="3" t="str" cm="1">
        <f t="array" ref="Q432">_xlfn.IFS(P432&lt;200, "10", P432&lt;400, "12", P432&lt;600, "14", P432&gt;600, "16")</f>
        <v>10</v>
      </c>
      <c r="R432" s="75">
        <f t="shared" si="114"/>
        <v>1.7144999999999999</v>
      </c>
      <c r="S432" s="75">
        <f t="shared" si="116"/>
        <v>0.10649068322981364</v>
      </c>
      <c r="U432" s="306">
        <f t="shared" si="113"/>
        <v>0</v>
      </c>
    </row>
    <row r="433" spans="1:30" ht="16.5" customHeight="1" x14ac:dyDescent="0.35">
      <c r="A433" s="351">
        <v>46029</v>
      </c>
      <c r="B433" s="76" t="s">
        <v>768</v>
      </c>
      <c r="C433" s="71" t="s">
        <v>104</v>
      </c>
      <c r="D433" s="3"/>
      <c r="E433" s="3" t="s">
        <v>86</v>
      </c>
      <c r="F433" s="3" t="s">
        <v>87</v>
      </c>
      <c r="G433" s="3" t="s">
        <v>641</v>
      </c>
      <c r="H433" s="76">
        <v>5450</v>
      </c>
      <c r="I433" s="3" t="s">
        <v>88</v>
      </c>
      <c r="J433" s="3" t="s">
        <v>90</v>
      </c>
      <c r="K433" s="3" t="s">
        <v>479</v>
      </c>
      <c r="L433" s="326" t="s">
        <v>454</v>
      </c>
      <c r="M433" s="3" t="s">
        <v>502</v>
      </c>
      <c r="N433" s="356" cm="1">
        <f t="array" ref="N433">_xlfn.IFS(I433="AEX",H433/400,I433="RP",H433/200)</f>
        <v>13.625</v>
      </c>
      <c r="O433" s="3">
        <v>23.5</v>
      </c>
      <c r="P433" s="75">
        <f t="shared" si="115"/>
        <v>231.91489361702128</v>
      </c>
      <c r="Q433" s="3" t="str" cm="1">
        <f t="array" ref="Q433">_xlfn.IFS(P433&lt;200, "10", P433&lt;400, "12", P433&lt;600, "14", P433&gt;600, "16")</f>
        <v>12</v>
      </c>
      <c r="R433" s="75">
        <f t="shared" si="114"/>
        <v>4.0875000000000004</v>
      </c>
      <c r="S433" s="75">
        <f t="shared" si="116"/>
        <v>0.17393617021276597</v>
      </c>
      <c r="U433" s="306">
        <f t="shared" si="113"/>
        <v>0</v>
      </c>
    </row>
    <row r="434" spans="1:30" ht="16.5" customHeight="1" x14ac:dyDescent="0.35">
      <c r="A434" s="351">
        <v>46029</v>
      </c>
      <c r="B434" s="76" t="s">
        <v>769</v>
      </c>
      <c r="C434" s="71" t="s">
        <v>104</v>
      </c>
      <c r="D434" s="3"/>
      <c r="E434" s="3" t="s">
        <v>86</v>
      </c>
      <c r="F434" s="3" t="s">
        <v>87</v>
      </c>
      <c r="G434" s="3" t="s">
        <v>641</v>
      </c>
      <c r="H434" s="76">
        <v>5000</v>
      </c>
      <c r="I434" s="3" t="s">
        <v>88</v>
      </c>
      <c r="J434" s="3" t="s">
        <v>89</v>
      </c>
      <c r="K434" s="3" t="s">
        <v>540</v>
      </c>
      <c r="L434" s="326" t="s">
        <v>454</v>
      </c>
      <c r="M434" s="3" t="s">
        <v>502</v>
      </c>
      <c r="N434" s="356" cm="1">
        <f t="array" ref="N434">_xlfn.IFS(I434="AEX",H434/400,I434="RP",H434/200)</f>
        <v>12.5</v>
      </c>
      <c r="O434" s="3">
        <v>63.8</v>
      </c>
      <c r="P434" s="75">
        <f>H434/O434</f>
        <v>78.369905956112859</v>
      </c>
      <c r="Q434" s="3" t="str" cm="1">
        <f t="array" ref="Q434">_xlfn.IFS(P434&lt;200, "10", P434&lt;400, "12", P434&lt;600, "14", P434&gt;600, "16")</f>
        <v>10</v>
      </c>
      <c r="R434" s="75">
        <f>IF(I434="AEX",H434*0.3/400,H434*0.3/200)</f>
        <v>3.75</v>
      </c>
      <c r="S434" s="75">
        <f>R434/O434</f>
        <v>5.8777429467084641E-2</v>
      </c>
      <c r="U434" s="306">
        <f>T434/H434*100</f>
        <v>0</v>
      </c>
    </row>
    <row r="435" spans="1:30" ht="16.5" customHeight="1" x14ac:dyDescent="0.35">
      <c r="A435" s="351">
        <v>46030</v>
      </c>
      <c r="B435" s="76" t="s">
        <v>767</v>
      </c>
      <c r="C435" s="71" t="s">
        <v>104</v>
      </c>
      <c r="D435" s="3"/>
      <c r="E435" s="3" t="s">
        <v>194</v>
      </c>
      <c r="F435" s="3">
        <v>0.01</v>
      </c>
      <c r="G435" s="3" t="s">
        <v>640</v>
      </c>
      <c r="H435" s="76">
        <v>123620</v>
      </c>
      <c r="I435" s="3" t="s">
        <v>88</v>
      </c>
      <c r="J435" s="3" t="s">
        <v>377</v>
      </c>
      <c r="K435" s="3" t="s">
        <v>479</v>
      </c>
      <c r="L435" s="326" t="s">
        <v>454</v>
      </c>
      <c r="M435" s="3" t="s">
        <v>502</v>
      </c>
      <c r="N435" s="356" cm="1">
        <f t="array" ref="N435">_xlfn.IFS(I435="AEX",H435/400,I435="RP",H435/200)</f>
        <v>309.05</v>
      </c>
      <c r="O435" s="3">
        <v>760</v>
      </c>
      <c r="P435" s="75">
        <f>H435/O435</f>
        <v>162.65789473684211</v>
      </c>
      <c r="Q435" s="3" t="str" cm="1">
        <f t="array" ref="Q435">_xlfn.IFS(P435&lt;200, "10", P435&lt;400, "12", P435&lt;600, "14", P435&gt;600, "16")</f>
        <v>10</v>
      </c>
      <c r="R435" s="75">
        <f>IF(I435="AEX",H435*0.3/400,H435*0.3/200)</f>
        <v>92.715000000000003</v>
      </c>
      <c r="S435" s="75">
        <f>R435/O435</f>
        <v>0.12199342105263158</v>
      </c>
      <c r="T435" s="76">
        <v>72157</v>
      </c>
      <c r="U435" s="306">
        <f>T435/H435*100</f>
        <v>58.370004853583566</v>
      </c>
      <c r="V435" s="76">
        <v>1104.8499999999999</v>
      </c>
      <c r="W435" s="3" t="s">
        <v>91</v>
      </c>
      <c r="X435" s="2">
        <v>46031</v>
      </c>
      <c r="Y435" s="3" t="s">
        <v>318</v>
      </c>
      <c r="Z435" s="3" t="s">
        <v>87</v>
      </c>
      <c r="AA435" s="76">
        <v>74867.11</v>
      </c>
      <c r="AB435" s="76">
        <v>247.55</v>
      </c>
    </row>
    <row r="436" spans="1:30" ht="16.5" customHeight="1" x14ac:dyDescent="0.35">
      <c r="A436" s="351">
        <v>46030</v>
      </c>
      <c r="B436" s="76" t="s">
        <v>772</v>
      </c>
      <c r="C436" s="71" t="s">
        <v>104</v>
      </c>
      <c r="D436" s="3"/>
      <c r="E436" s="3" t="s">
        <v>87</v>
      </c>
      <c r="F436" s="3">
        <v>0.5</v>
      </c>
      <c r="G436" s="3" t="s">
        <v>641</v>
      </c>
      <c r="H436" s="76">
        <v>3800</v>
      </c>
      <c r="I436" s="3" t="s">
        <v>88</v>
      </c>
      <c r="J436" s="3" t="s">
        <v>90</v>
      </c>
      <c r="K436" s="3" t="s">
        <v>479</v>
      </c>
      <c r="L436" s="326" t="s">
        <v>454</v>
      </c>
      <c r="M436" s="3" t="s">
        <v>502</v>
      </c>
      <c r="N436" s="356" cm="1">
        <f t="array" ref="N436">_xlfn.IFS(I436="AEX",H436/400,I436="RP",H436/200)</f>
        <v>9.5</v>
      </c>
      <c r="O436" s="3">
        <v>16.100000000000001</v>
      </c>
      <c r="P436" s="75">
        <f t="shared" si="115"/>
        <v>236.02484472049687</v>
      </c>
      <c r="Q436" s="3" t="str" cm="1">
        <f t="array" ref="Q436">_xlfn.IFS(P436&lt;200, "10", P436&lt;400, "12", P436&lt;600, "14", P436&gt;600, "16")</f>
        <v>12</v>
      </c>
      <c r="R436" s="75">
        <f t="shared" si="114"/>
        <v>2.85</v>
      </c>
      <c r="S436" s="75">
        <f t="shared" si="116"/>
        <v>0.17701863354037267</v>
      </c>
      <c r="U436" s="306">
        <f t="shared" ref="U436:U473" si="117">T436/H436*100</f>
        <v>0</v>
      </c>
      <c r="Y436" s="3" t="s">
        <v>172</v>
      </c>
      <c r="AA436" s="76">
        <f>1079+1056</f>
        <v>2135</v>
      </c>
    </row>
    <row r="437" spans="1:30" ht="16.5" customHeight="1" x14ac:dyDescent="0.35">
      <c r="A437" s="351">
        <v>46030</v>
      </c>
      <c r="B437" s="76" t="s">
        <v>773</v>
      </c>
      <c r="C437" s="71" t="s">
        <v>104</v>
      </c>
      <c r="D437" s="3" t="s">
        <v>774</v>
      </c>
      <c r="E437" s="3" t="s">
        <v>86</v>
      </c>
      <c r="F437" s="3">
        <v>0.01</v>
      </c>
      <c r="G437" s="3" t="s">
        <v>640</v>
      </c>
      <c r="H437" s="76">
        <v>3500</v>
      </c>
      <c r="I437" s="3" t="s">
        <v>70</v>
      </c>
      <c r="J437" s="3" t="s">
        <v>195</v>
      </c>
      <c r="K437" s="83" t="s">
        <v>489</v>
      </c>
      <c r="L437" s="326" t="s">
        <v>459</v>
      </c>
      <c r="M437" s="3">
        <v>40</v>
      </c>
      <c r="N437" s="356" cm="1">
        <f t="array" ref="N437">_xlfn.IFS(I437="AEX",H437/400,I437="RP",H437/200)</f>
        <v>17.5</v>
      </c>
      <c r="O437" s="3">
        <v>22</v>
      </c>
      <c r="P437" s="75">
        <f t="shared" si="115"/>
        <v>159.09090909090909</v>
      </c>
      <c r="Q437" s="3" t="str" cm="1">
        <f t="array" ref="Q437">_xlfn.IFS(P437&lt;200, "10", P437&lt;400, "12", P437&lt;600, "14", P437&gt;600, "16")</f>
        <v>10</v>
      </c>
      <c r="R437" s="75">
        <f t="shared" si="114"/>
        <v>5.25</v>
      </c>
      <c r="S437" s="75">
        <f t="shared" si="116"/>
        <v>0.23863636363636365</v>
      </c>
      <c r="T437" s="76">
        <v>2007</v>
      </c>
      <c r="U437" s="306">
        <f t="shared" si="117"/>
        <v>57.342857142857142</v>
      </c>
      <c r="V437" s="76">
        <v>44.95</v>
      </c>
      <c r="W437" s="3" t="s">
        <v>87</v>
      </c>
    </row>
    <row r="438" spans="1:30" ht="16.5" customHeight="1" x14ac:dyDescent="0.35">
      <c r="A438" s="351">
        <v>46030</v>
      </c>
      <c r="B438" s="76" t="s">
        <v>775</v>
      </c>
      <c r="C438" s="71" t="s">
        <v>104</v>
      </c>
      <c r="D438" s="3"/>
      <c r="E438" s="3" t="s">
        <v>87</v>
      </c>
      <c r="F438" s="3" t="s">
        <v>87</v>
      </c>
      <c r="G438" s="3" t="s">
        <v>640</v>
      </c>
      <c r="H438" s="76">
        <v>4320</v>
      </c>
      <c r="I438" s="3" t="s">
        <v>88</v>
      </c>
      <c r="J438" s="3" t="s">
        <v>90</v>
      </c>
      <c r="K438" s="3" t="s">
        <v>479</v>
      </c>
      <c r="L438" s="326" t="s">
        <v>454</v>
      </c>
      <c r="M438" s="3" t="s">
        <v>502</v>
      </c>
      <c r="N438" s="356" cm="1">
        <f t="array" ref="N438">_xlfn.IFS(I438="AEX",H438/400,I438="RP",H438/200)</f>
        <v>10.8</v>
      </c>
      <c r="O438" s="3">
        <v>16.100000000000001</v>
      </c>
      <c r="P438" s="75">
        <f>H438/O438</f>
        <v>268.3229813664596</v>
      </c>
      <c r="Q438" s="3" t="str" cm="1">
        <f t="array" ref="Q438">_xlfn.IFS(P438&lt;200, "10", P438&lt;400, "12", P438&lt;600, "14", P438&gt;600, "16")</f>
        <v>12</v>
      </c>
      <c r="R438" s="75">
        <f>IF(I438="AEX",H438*0.3/400,H438*0.3/200)</f>
        <v>3.24</v>
      </c>
      <c r="S438" s="75">
        <f>R438/O438</f>
        <v>0.20124223602484473</v>
      </c>
      <c r="T438" s="76">
        <v>2152</v>
      </c>
      <c r="U438" s="306">
        <f>T438/H438*100</f>
        <v>49.814814814814817</v>
      </c>
      <c r="V438" s="76">
        <v>44</v>
      </c>
    </row>
    <row r="439" spans="1:30" ht="16.5" customHeight="1" x14ac:dyDescent="0.35">
      <c r="A439" s="351">
        <v>46031</v>
      </c>
      <c r="B439" s="76" t="s">
        <v>776</v>
      </c>
      <c r="C439" s="71" t="s">
        <v>104</v>
      </c>
      <c r="D439" s="3"/>
      <c r="E439" s="3" t="s">
        <v>86</v>
      </c>
      <c r="F439" s="3">
        <v>0.01</v>
      </c>
      <c r="G439" s="3" t="s">
        <v>87</v>
      </c>
      <c r="H439" s="76">
        <v>6120</v>
      </c>
      <c r="I439" s="3" t="s">
        <v>88</v>
      </c>
      <c r="J439" s="3" t="s">
        <v>90</v>
      </c>
      <c r="K439" s="3" t="s">
        <v>540</v>
      </c>
      <c r="L439" s="326" t="s">
        <v>454</v>
      </c>
      <c r="M439" s="3" t="s">
        <v>502</v>
      </c>
      <c r="N439" s="356" cm="1">
        <f t="array" ref="N439">_xlfn.IFS(I439="AEX",H439/400,I439="RP",H439/200)</f>
        <v>15.3</v>
      </c>
      <c r="O439" s="3">
        <v>63.8</v>
      </c>
      <c r="P439" s="75">
        <f>H439/O439</f>
        <v>95.924764890282134</v>
      </c>
      <c r="Q439" s="3" t="str" cm="1">
        <f t="array" ref="Q439">_xlfn.IFS(P439&lt;200, "10", P439&lt;400, "12", P439&lt;600, "14", P439&gt;600, "16")</f>
        <v>10</v>
      </c>
      <c r="R439" s="75">
        <f>IF(I439="AEX",H439*0.3/400,H439*0.3/200)</f>
        <v>4.59</v>
      </c>
      <c r="S439" s="75">
        <f>R439/O439</f>
        <v>7.1943573667711605E-2</v>
      </c>
      <c r="U439" s="306">
        <f>T439/H439*100</f>
        <v>0</v>
      </c>
    </row>
    <row r="440" spans="1:30" ht="16.5" customHeight="1" x14ac:dyDescent="0.35">
      <c r="A440" s="351">
        <v>46031</v>
      </c>
      <c r="B440" s="76" t="s">
        <v>770</v>
      </c>
      <c r="C440" s="71" t="s">
        <v>104</v>
      </c>
      <c r="D440" s="3"/>
      <c r="E440" s="3" t="s">
        <v>257</v>
      </c>
      <c r="F440" s="3" t="s">
        <v>87</v>
      </c>
      <c r="G440" s="3" t="s">
        <v>640</v>
      </c>
      <c r="H440" s="76">
        <f>801795/2</f>
        <v>400897.5</v>
      </c>
      <c r="I440" s="3" t="s">
        <v>88</v>
      </c>
      <c r="J440" s="3" t="s">
        <v>89</v>
      </c>
      <c r="K440" s="3" t="s">
        <v>479</v>
      </c>
      <c r="L440" s="326" t="s">
        <v>454</v>
      </c>
      <c r="M440" s="3" t="s">
        <v>502</v>
      </c>
      <c r="N440" s="356" cm="1">
        <f t="array" ref="N440">_xlfn.IFS(I440="AEX",H440/400,I440="RP",H440/200)</f>
        <v>1002.24375</v>
      </c>
      <c r="O440" s="3">
        <v>1823</v>
      </c>
      <c r="P440" s="75">
        <f>H440/O440</f>
        <v>219.91086121777289</v>
      </c>
      <c r="Q440" s="3" t="str" cm="1">
        <f t="array" ref="Q440">_xlfn.IFS(P440&lt;200, "10", P440&lt;400, "12", P440&lt;600, "14", P440&gt;600, "16")</f>
        <v>12</v>
      </c>
      <c r="R440" s="75">
        <f>IF(I440="AEX",H440*0.3/400,H440*0.3/200)</f>
        <v>300.67312500000003</v>
      </c>
      <c r="S440" s="75">
        <f>R440/O440</f>
        <v>0.16493314591332969</v>
      </c>
      <c r="U440" s="306">
        <f>T440/H440*100</f>
        <v>0</v>
      </c>
    </row>
    <row r="441" spans="1:30" ht="16.5" customHeight="1" x14ac:dyDescent="0.35">
      <c r="A441" s="351">
        <v>46031</v>
      </c>
      <c r="B441" s="259" t="s">
        <v>771</v>
      </c>
      <c r="C441" s="71" t="s">
        <v>104</v>
      </c>
      <c r="D441" s="3"/>
      <c r="E441" s="3" t="s">
        <v>257</v>
      </c>
      <c r="F441" s="3" t="s">
        <v>87</v>
      </c>
      <c r="G441" s="3" t="s">
        <v>640</v>
      </c>
      <c r="H441" s="76">
        <f>801795/2</f>
        <v>400897.5</v>
      </c>
      <c r="I441" s="3" t="s">
        <v>88</v>
      </c>
      <c r="J441" s="3" t="s">
        <v>89</v>
      </c>
      <c r="K441" s="3" t="s">
        <v>479</v>
      </c>
      <c r="L441" s="326" t="s">
        <v>454</v>
      </c>
      <c r="M441" s="3" t="s">
        <v>502</v>
      </c>
      <c r="N441" s="356" cm="1">
        <f t="array" ref="N441">_xlfn.IFS(I441="AEX",H441/400,I441="RP",H441/200)</f>
        <v>1002.24375</v>
      </c>
      <c r="O441" s="3">
        <v>1823</v>
      </c>
      <c r="P441" s="75">
        <f>H441/O441</f>
        <v>219.91086121777289</v>
      </c>
      <c r="Q441" s="3" t="str" cm="1">
        <f t="array" ref="Q441">_xlfn.IFS(P441&lt;200, "10", P441&lt;400, "12", P441&lt;600, "14", P441&gt;600, "16")</f>
        <v>12</v>
      </c>
      <c r="R441" s="75">
        <f>IF(I441="AEX",H441*0.3/400,H441*0.3/200)</f>
        <v>300.67312500000003</v>
      </c>
      <c r="S441" s="75">
        <f>R441/O441</f>
        <v>0.16493314591332969</v>
      </c>
      <c r="U441" s="306">
        <f>T441/H441*100</f>
        <v>0</v>
      </c>
    </row>
    <row r="442" spans="1:30" ht="16.5" customHeight="1" x14ac:dyDescent="0.35">
      <c r="B442" s="76" t="s">
        <v>820</v>
      </c>
      <c r="D442" s="365"/>
      <c r="E442" s="365"/>
      <c r="F442" s="365"/>
      <c r="G442" s="365"/>
      <c r="H442" s="76">
        <v>801795</v>
      </c>
      <c r="I442" s="365"/>
      <c r="J442" s="365"/>
      <c r="K442" s="366"/>
      <c r="L442" s="367"/>
      <c r="M442" s="365"/>
      <c r="N442" s="368"/>
      <c r="O442" s="365"/>
      <c r="P442" s="369"/>
      <c r="Q442" s="365"/>
      <c r="R442" s="369"/>
      <c r="S442" s="369"/>
      <c r="T442" s="76">
        <v>495574.88</v>
      </c>
      <c r="U442" s="306">
        <f t="shared" ref="U442" si="118">T442/H442*100</f>
        <v>61.808177900835005</v>
      </c>
      <c r="V442" s="76">
        <v>11222</v>
      </c>
      <c r="W442" s="3" t="s">
        <v>91</v>
      </c>
      <c r="X442" s="2">
        <v>46034</v>
      </c>
      <c r="Y442" s="3" t="s">
        <v>94</v>
      </c>
      <c r="Z442" s="3" t="s">
        <v>87</v>
      </c>
      <c r="AA442" s="357">
        <v>43535</v>
      </c>
      <c r="AB442" s="357">
        <v>874.1</v>
      </c>
      <c r="AC442" s="357"/>
      <c r="AD442" s="47" t="s">
        <v>821</v>
      </c>
    </row>
    <row r="443" spans="1:30" ht="16.5" customHeight="1" x14ac:dyDescent="0.35">
      <c r="A443" s="351">
        <v>46031</v>
      </c>
      <c r="B443" s="76" t="s">
        <v>813</v>
      </c>
      <c r="C443" s="71" t="s">
        <v>104</v>
      </c>
      <c r="D443" s="3"/>
      <c r="E443" s="3" t="s">
        <v>86</v>
      </c>
      <c r="F443" s="3">
        <v>0.01</v>
      </c>
      <c r="G443" s="3" t="s">
        <v>640</v>
      </c>
      <c r="H443" s="76">
        <v>2090</v>
      </c>
      <c r="I443" s="3" t="s">
        <v>88</v>
      </c>
      <c r="J443" s="3" t="s">
        <v>90</v>
      </c>
      <c r="K443" s="3" t="s">
        <v>540</v>
      </c>
      <c r="L443" s="326" t="s">
        <v>454</v>
      </c>
      <c r="M443" s="3" t="s">
        <v>502</v>
      </c>
      <c r="N443" s="356" cm="1">
        <f t="array" ref="N443">_xlfn.IFS(I443="AEX",H443/400,I443="RP",H443/200)</f>
        <v>5.2249999999999996</v>
      </c>
      <c r="O443" s="3">
        <v>16.100000000000001</v>
      </c>
      <c r="P443" s="75">
        <f t="shared" si="115"/>
        <v>129.81366459627327</v>
      </c>
      <c r="Q443" s="3" t="str" cm="1">
        <f t="array" ref="Q443">_xlfn.IFS(P443&lt;200, "10", P443&lt;400, "12", P443&lt;600, "14", P443&gt;600, "16")</f>
        <v>10</v>
      </c>
      <c r="R443" s="75">
        <f t="shared" si="114"/>
        <v>1.5674999999999999</v>
      </c>
      <c r="S443" s="75">
        <f t="shared" si="116"/>
        <v>9.736024844720495E-2</v>
      </c>
      <c r="T443" s="76">
        <v>1594</v>
      </c>
      <c r="U443" s="306">
        <f t="shared" si="117"/>
        <v>76.267942583732065</v>
      </c>
      <c r="V443" s="76">
        <v>18</v>
      </c>
    </row>
    <row r="444" spans="1:30" ht="16.5" customHeight="1" x14ac:dyDescent="0.35">
      <c r="A444" s="351">
        <v>46034</v>
      </c>
      <c r="B444" s="76" t="s">
        <v>805</v>
      </c>
      <c r="C444" s="333" t="s">
        <v>104</v>
      </c>
      <c r="D444" s="3"/>
      <c r="E444" s="2" t="s">
        <v>86</v>
      </c>
      <c r="F444" s="3" t="s">
        <v>87</v>
      </c>
      <c r="G444" s="3" t="s">
        <v>641</v>
      </c>
      <c r="H444" s="76">
        <v>3600</v>
      </c>
      <c r="I444" s="3" t="s">
        <v>88</v>
      </c>
      <c r="J444" s="3" t="s">
        <v>90</v>
      </c>
      <c r="K444" s="3" t="s">
        <v>540</v>
      </c>
      <c r="L444" s="326" t="s">
        <v>454</v>
      </c>
      <c r="M444" s="3" t="s">
        <v>502</v>
      </c>
      <c r="N444" s="356" cm="1">
        <f t="array" ref="N444">_xlfn.IFS(I444="AEX",H444/400,I444="RP",H444/200)</f>
        <v>9</v>
      </c>
      <c r="O444" s="3">
        <v>16.100000000000001</v>
      </c>
      <c r="P444" s="75">
        <f t="shared" ref="P444:P451" si="119">H444/O444</f>
        <v>223.60248447204967</v>
      </c>
      <c r="Q444" s="3" t="str" cm="1">
        <f t="array" ref="Q444">_xlfn.IFS(P444&lt;200, "10", P444&lt;400, "12", P444&lt;600, "14", P444&gt;600, "16")</f>
        <v>12</v>
      </c>
      <c r="R444" s="75">
        <f t="shared" ref="R444:R451" si="120">IF(I444="AEX",H444*0.3/400,H444*0.3/200)</f>
        <v>2.7</v>
      </c>
      <c r="S444" s="75">
        <f t="shared" ref="S444" si="121">R444/O444</f>
        <v>0.16770186335403725</v>
      </c>
      <c r="T444" s="76">
        <v>258</v>
      </c>
      <c r="U444" s="306">
        <f t="shared" ref="U444:U449" si="122">T444/H444*100</f>
        <v>7.166666666666667</v>
      </c>
    </row>
    <row r="445" spans="1:30" ht="16.5" customHeight="1" x14ac:dyDescent="0.35">
      <c r="A445" s="351">
        <v>46034</v>
      </c>
      <c r="B445" s="76" t="s">
        <v>804</v>
      </c>
      <c r="C445" s="71" t="s">
        <v>104</v>
      </c>
      <c r="D445" s="3"/>
      <c r="E445" s="2" t="s">
        <v>86</v>
      </c>
      <c r="F445" s="3" t="s">
        <v>87</v>
      </c>
      <c r="G445" s="3" t="s">
        <v>641</v>
      </c>
      <c r="H445" s="76">
        <v>4560</v>
      </c>
      <c r="I445" s="3" t="s">
        <v>88</v>
      </c>
      <c r="J445" s="3" t="s">
        <v>89</v>
      </c>
      <c r="K445" s="3" t="s">
        <v>540</v>
      </c>
      <c r="L445" s="326" t="s">
        <v>454</v>
      </c>
      <c r="M445" s="3" t="s">
        <v>502</v>
      </c>
      <c r="N445" s="356" cm="1">
        <f t="array" ref="N445">_xlfn.IFS(I445="AEX",H445/400,I445="RP",H445/200)</f>
        <v>11.4</v>
      </c>
      <c r="O445" s="3">
        <v>16.100000000000001</v>
      </c>
      <c r="P445" s="75">
        <f>H445/O445</f>
        <v>283.22981366459624</v>
      </c>
      <c r="Q445" s="3" t="str" cm="1">
        <f t="array" ref="Q445">_xlfn.IFS(P445&lt;200, "10", P445&lt;400, "12", P445&lt;600, "14", P445&gt;600, "16")</f>
        <v>12</v>
      </c>
      <c r="R445" s="75">
        <f>IF(I445="AEX",H445*0.3/400,H445*0.3/200)</f>
        <v>3.42</v>
      </c>
      <c r="S445" s="75">
        <f t="shared" ref="S445" si="123">R445/O445</f>
        <v>0.21242236024844718</v>
      </c>
      <c r="T445" s="76">
        <v>1101</v>
      </c>
      <c r="U445" s="306">
        <f>T445/H445*100</f>
        <v>24.144736842105264</v>
      </c>
    </row>
    <row r="446" spans="1:30" ht="16.5" customHeight="1" x14ac:dyDescent="0.35">
      <c r="A446" s="351">
        <v>46034</v>
      </c>
      <c r="B446" s="76" t="s">
        <v>803</v>
      </c>
      <c r="C446" s="71" t="s">
        <v>104</v>
      </c>
      <c r="D446" s="3"/>
      <c r="E446" s="2" t="s">
        <v>86</v>
      </c>
      <c r="F446" s="3" t="s">
        <v>87</v>
      </c>
      <c r="G446" s="3" t="s">
        <v>641</v>
      </c>
      <c r="H446" s="76">
        <v>3770</v>
      </c>
      <c r="I446" s="3" t="s">
        <v>88</v>
      </c>
      <c r="J446" s="3" t="s">
        <v>89</v>
      </c>
      <c r="K446" s="3" t="s">
        <v>540</v>
      </c>
      <c r="L446" s="326" t="s">
        <v>454</v>
      </c>
      <c r="M446" s="3" t="s">
        <v>502</v>
      </c>
      <c r="N446" s="356" cm="1">
        <f t="array" ref="N446">_xlfn.IFS(I446="AEX",H446/400,I446="RP",H446/200)</f>
        <v>9.4250000000000007</v>
      </c>
      <c r="O446" s="3">
        <v>23.5</v>
      </c>
      <c r="P446" s="75">
        <f t="shared" si="119"/>
        <v>160.42553191489361</v>
      </c>
      <c r="Q446" s="3" t="str" cm="1">
        <f t="array" ref="Q446">_xlfn.IFS(P446&lt;200, "10", P446&lt;400, "12", P446&lt;600, "14", P446&gt;600, "16")</f>
        <v>10</v>
      </c>
      <c r="R446" s="75">
        <f t="shared" si="120"/>
        <v>2.8275000000000001</v>
      </c>
      <c r="S446" s="75">
        <f t="shared" ref="S446" si="124">R446/O446</f>
        <v>0.12031914893617021</v>
      </c>
      <c r="T446" s="76">
        <v>1231</v>
      </c>
      <c r="U446" s="306">
        <f t="shared" si="122"/>
        <v>32.652519893899203</v>
      </c>
    </row>
    <row r="447" spans="1:30" ht="16.5" customHeight="1" x14ac:dyDescent="0.35">
      <c r="A447" s="351">
        <v>46034</v>
      </c>
      <c r="B447" s="76" t="s">
        <v>802</v>
      </c>
      <c r="C447" s="71" t="s">
        <v>321</v>
      </c>
      <c r="D447" s="3"/>
      <c r="E447" s="2" t="s">
        <v>86</v>
      </c>
      <c r="F447" s="3" t="s">
        <v>87</v>
      </c>
      <c r="G447" s="3" t="s">
        <v>641</v>
      </c>
      <c r="H447" s="76">
        <v>5970</v>
      </c>
      <c r="I447" s="3" t="s">
        <v>88</v>
      </c>
      <c r="J447" s="3" t="s">
        <v>90</v>
      </c>
      <c r="K447" s="3" t="s">
        <v>540</v>
      </c>
      <c r="L447" s="326" t="s">
        <v>454</v>
      </c>
      <c r="M447" s="3" t="s">
        <v>502</v>
      </c>
      <c r="N447" s="356" cm="1">
        <f t="array" ref="N447">_xlfn.IFS(I447="AEX",H447/400,I447="RP",H447/200)</f>
        <v>14.925000000000001</v>
      </c>
      <c r="O447" s="3">
        <v>23.5</v>
      </c>
      <c r="P447" s="75">
        <f>H447/O447</f>
        <v>254.04255319148936</v>
      </c>
      <c r="Q447" s="3" t="str" cm="1">
        <f t="array" ref="Q447">_xlfn.IFS(P447&lt;200, "10", P447&lt;400, "12", P447&lt;600, "14", P447&gt;600, "16")</f>
        <v>12</v>
      </c>
      <c r="R447" s="75">
        <f>IF(I447="AEX",H447*0.3/400,H447*0.3/200)</f>
        <v>4.4775</v>
      </c>
      <c r="S447" s="75">
        <f>R447/O447</f>
        <v>0.19053191489361701</v>
      </c>
      <c r="U447" s="306">
        <f>T447/H447*100</f>
        <v>0</v>
      </c>
    </row>
    <row r="448" spans="1:30" ht="16.5" customHeight="1" x14ac:dyDescent="0.35">
      <c r="A448" s="351">
        <v>46034</v>
      </c>
      <c r="B448" s="76" t="s">
        <v>801</v>
      </c>
      <c r="C448" s="71" t="s">
        <v>104</v>
      </c>
      <c r="D448" s="3"/>
      <c r="E448" s="2" t="s">
        <v>86</v>
      </c>
      <c r="F448" s="3" t="s">
        <v>87</v>
      </c>
      <c r="G448" s="3" t="s">
        <v>641</v>
      </c>
      <c r="H448" s="76">
        <v>4200</v>
      </c>
      <c r="I448" s="3" t="s">
        <v>88</v>
      </c>
      <c r="J448" s="3" t="s">
        <v>89</v>
      </c>
      <c r="K448" s="3" t="s">
        <v>540</v>
      </c>
      <c r="L448" s="326" t="s">
        <v>454</v>
      </c>
      <c r="M448" s="3" t="s">
        <v>502</v>
      </c>
      <c r="N448" s="356" cm="1">
        <f t="array" ref="N448">_xlfn.IFS(I448="AEX",H448/400,I448="RP",H448/200)</f>
        <v>10.5</v>
      </c>
      <c r="O448" s="3">
        <v>23.5</v>
      </c>
      <c r="P448" s="75">
        <f t="shared" si="119"/>
        <v>178.72340425531914</v>
      </c>
      <c r="Q448" s="3" t="str" cm="1">
        <f t="array" ref="Q448">_xlfn.IFS(P448&lt;200, "10", P448&lt;400, "12", P448&lt;600, "14", P448&gt;600, "16")</f>
        <v>10</v>
      </c>
      <c r="R448" s="75">
        <f t="shared" si="120"/>
        <v>3.15</v>
      </c>
      <c r="S448" s="75">
        <f t="shared" ref="S448:S449" si="125">R448/O448</f>
        <v>0.13404255319148936</v>
      </c>
      <c r="T448" s="76">
        <v>1386</v>
      </c>
      <c r="U448" s="306">
        <f t="shared" si="122"/>
        <v>33</v>
      </c>
    </row>
    <row r="449" spans="1:27" ht="16.5" customHeight="1" x14ac:dyDescent="0.35">
      <c r="A449" s="351">
        <v>46034</v>
      </c>
      <c r="B449" s="76" t="s">
        <v>800</v>
      </c>
      <c r="C449" s="71" t="s">
        <v>104</v>
      </c>
      <c r="D449" s="3"/>
      <c r="E449" s="2" t="s">
        <v>86</v>
      </c>
      <c r="F449" s="3" t="s">
        <v>87</v>
      </c>
      <c r="G449" s="3" t="s">
        <v>641</v>
      </c>
      <c r="H449" s="76">
        <v>4000</v>
      </c>
      <c r="I449" s="3" t="s">
        <v>88</v>
      </c>
      <c r="J449" s="3" t="s">
        <v>90</v>
      </c>
      <c r="K449" s="3" t="s">
        <v>540</v>
      </c>
      <c r="L449" s="326" t="s">
        <v>454</v>
      </c>
      <c r="M449" s="3" t="s">
        <v>502</v>
      </c>
      <c r="N449" s="356" cm="1">
        <f t="array" ref="N449">_xlfn.IFS(I449="AEX",H449/400,I449="RP",H449/200)</f>
        <v>10</v>
      </c>
      <c r="O449" s="3">
        <v>16.100000000000001</v>
      </c>
      <c r="P449" s="75">
        <f t="shared" si="119"/>
        <v>248.44720496894408</v>
      </c>
      <c r="Q449" s="3" t="str" cm="1">
        <f t="array" ref="Q449">_xlfn.IFS(P449&lt;200, "10", P449&lt;400, "12", P449&lt;600, "14", P449&gt;600, "16")</f>
        <v>12</v>
      </c>
      <c r="R449" s="75">
        <f t="shared" si="120"/>
        <v>3</v>
      </c>
      <c r="S449" s="75">
        <f t="shared" si="125"/>
        <v>0.18633540372670807</v>
      </c>
      <c r="T449" s="76">
        <v>1263</v>
      </c>
      <c r="U449" s="306">
        <f t="shared" si="122"/>
        <v>31.574999999999996</v>
      </c>
    </row>
    <row r="450" spans="1:27" ht="16.5" customHeight="1" x14ac:dyDescent="0.35">
      <c r="A450" s="351">
        <v>46034</v>
      </c>
      <c r="B450" s="76" t="s">
        <v>799</v>
      </c>
      <c r="C450" s="71" t="s">
        <v>104</v>
      </c>
      <c r="D450" s="3"/>
      <c r="E450" s="2" t="s">
        <v>86</v>
      </c>
      <c r="F450" s="3" t="s">
        <v>87</v>
      </c>
      <c r="G450" s="3" t="s">
        <v>641</v>
      </c>
      <c r="H450" s="76">
        <v>4800</v>
      </c>
      <c r="I450" s="3" t="s">
        <v>88</v>
      </c>
      <c r="J450" s="3" t="s">
        <v>90</v>
      </c>
      <c r="K450" s="3" t="s">
        <v>540</v>
      </c>
      <c r="L450" s="351" t="s">
        <v>454</v>
      </c>
      <c r="M450" s="3" t="s">
        <v>502</v>
      </c>
      <c r="N450" s="356" cm="1">
        <f t="array" ref="N450">_xlfn.IFS(I450="AEX",H450/400,I450="RP",H450/200)</f>
        <v>12</v>
      </c>
      <c r="O450" s="3">
        <v>16.100000000000001</v>
      </c>
      <c r="P450" s="75">
        <f t="shared" si="119"/>
        <v>298.13664596273287</v>
      </c>
      <c r="Q450" s="3" t="str" cm="1">
        <f t="array" ref="Q450">_xlfn.IFS(P450&lt;200, "10", P450&lt;400, "12", P450&lt;600, "14", P450&gt;600, "16")</f>
        <v>12</v>
      </c>
      <c r="R450" s="75">
        <f t="shared" si="120"/>
        <v>3.6</v>
      </c>
      <c r="S450" s="75">
        <f>R450/O450</f>
        <v>0.22360248447204967</v>
      </c>
      <c r="T450" s="387">
        <v>1505</v>
      </c>
      <c r="U450" s="389">
        <f>T450/9872*100</f>
        <v>15.245137763371149</v>
      </c>
    </row>
    <row r="451" spans="1:27" ht="16.5" customHeight="1" x14ac:dyDescent="0.35">
      <c r="A451" s="351">
        <v>46034</v>
      </c>
      <c r="B451" s="76" t="s">
        <v>818</v>
      </c>
      <c r="C451" s="71" t="s">
        <v>104</v>
      </c>
      <c r="D451" s="3"/>
      <c r="E451" s="2" t="s">
        <v>86</v>
      </c>
      <c r="F451" s="3" t="s">
        <v>87</v>
      </c>
      <c r="G451" s="3" t="s">
        <v>641</v>
      </c>
      <c r="H451" s="76">
        <v>5072</v>
      </c>
      <c r="I451" s="3" t="s">
        <v>88</v>
      </c>
      <c r="J451" s="3" t="s">
        <v>377</v>
      </c>
      <c r="K451" s="3" t="s">
        <v>540</v>
      </c>
      <c r="L451" s="326" t="s">
        <v>454</v>
      </c>
      <c r="M451" s="3" t="s">
        <v>502</v>
      </c>
      <c r="N451" s="356" cm="1">
        <f t="array" ref="N451">_xlfn.IFS(I451="AEX",H451/400,I451="RP",H451/200)</f>
        <v>12.68</v>
      </c>
      <c r="O451" s="3">
        <v>23.5</v>
      </c>
      <c r="P451" s="75">
        <f t="shared" si="119"/>
        <v>215.82978723404256</v>
      </c>
      <c r="Q451" s="3" t="str" cm="1">
        <f t="array" ref="Q451">_xlfn.IFS(P451&lt;200, "10", P451&lt;400, "12", P451&lt;600, "14", P451&gt;600, "16")</f>
        <v>12</v>
      </c>
      <c r="R451" s="75">
        <f t="shared" si="120"/>
        <v>3.8039999999999998</v>
      </c>
      <c r="S451" s="75">
        <f t="shared" ref="S451" si="126">R451/O451</f>
        <v>0.16187234042553192</v>
      </c>
      <c r="T451" s="388"/>
      <c r="U451" s="390"/>
    </row>
    <row r="452" spans="1:27" ht="16.5" customHeight="1" x14ac:dyDescent="0.35">
      <c r="A452" s="351">
        <v>46034</v>
      </c>
      <c r="B452" s="76" t="s">
        <v>798</v>
      </c>
      <c r="C452" s="71" t="s">
        <v>104</v>
      </c>
      <c r="D452" s="3"/>
      <c r="E452" s="2" t="s">
        <v>86</v>
      </c>
      <c r="F452" s="3" t="s">
        <v>87</v>
      </c>
      <c r="G452" s="3" t="s">
        <v>641</v>
      </c>
      <c r="H452" s="76">
        <v>5320</v>
      </c>
      <c r="I452" s="3" t="s">
        <v>88</v>
      </c>
      <c r="J452" s="3" t="s">
        <v>89</v>
      </c>
      <c r="K452" s="3" t="s">
        <v>540</v>
      </c>
      <c r="L452" s="326" t="s">
        <v>454</v>
      </c>
      <c r="M452" s="3" t="s">
        <v>502</v>
      </c>
      <c r="N452" s="356" cm="1">
        <f t="array" ref="N452">_xlfn.IFS(I452="AEX",H452/400,I452="RP",H452/200)</f>
        <v>13.3</v>
      </c>
      <c r="O452" s="3">
        <v>23.5</v>
      </c>
      <c r="P452" s="75">
        <f>H452/O452</f>
        <v>226.38297872340425</v>
      </c>
      <c r="Q452" s="3" t="str" cm="1">
        <f t="array" ref="Q452">_xlfn.IFS(P452&lt;200, "10", P452&lt;400, "12", P452&lt;600, "14", P452&gt;600, "16")</f>
        <v>12</v>
      </c>
      <c r="R452" s="75">
        <f>IF(I452="AEX",H452*0.3/400,H452*0.3/200)</f>
        <v>3.99</v>
      </c>
      <c r="S452" s="75">
        <f>R452/O452</f>
        <v>0.16978723404255319</v>
      </c>
      <c r="T452" s="76">
        <v>1288</v>
      </c>
      <c r="U452" s="306">
        <f>T452/H452*100</f>
        <v>24.210526315789473</v>
      </c>
    </row>
    <row r="453" spans="1:27" ht="16.5" customHeight="1" x14ac:dyDescent="0.35">
      <c r="A453" s="351">
        <v>46035</v>
      </c>
      <c r="B453" s="76" t="s">
        <v>796</v>
      </c>
      <c r="C453" s="71" t="s">
        <v>104</v>
      </c>
      <c r="D453" s="3" t="s">
        <v>774</v>
      </c>
      <c r="E453" s="3" t="s">
        <v>86</v>
      </c>
      <c r="F453" s="3">
        <v>0.01</v>
      </c>
      <c r="G453" s="3" t="s">
        <v>640</v>
      </c>
      <c r="H453" s="76">
        <v>3889</v>
      </c>
      <c r="I453" s="3" t="s">
        <v>70</v>
      </c>
      <c r="J453" s="3" t="s">
        <v>195</v>
      </c>
      <c r="K453" s="370" t="s">
        <v>832</v>
      </c>
      <c r="L453" s="326" t="s">
        <v>459</v>
      </c>
      <c r="M453" s="3">
        <v>40</v>
      </c>
      <c r="N453" s="356" cm="1">
        <f t="array" ref="N453">_xlfn.IFS(I453="AEX",H453/400,I453="RP",H453/200)</f>
        <v>19.445</v>
      </c>
      <c r="O453" s="3">
        <v>24</v>
      </c>
      <c r="P453" s="75">
        <f t="shared" si="115"/>
        <v>162.04166666666666</v>
      </c>
      <c r="Q453" s="3" t="str" cm="1">
        <f t="array" ref="Q453">_xlfn.IFS(P453&lt;200, "10", P453&lt;400, "12", P453&lt;600, "14", P453&gt;600, "16")</f>
        <v>10</v>
      </c>
      <c r="R453" s="75">
        <f t="shared" ref="R453:R475" si="127">IF(I453="AEX",H453*0.3/400,H453*0.3/200)</f>
        <v>5.8334999999999999</v>
      </c>
      <c r="S453" s="75">
        <f t="shared" si="116"/>
        <v>0.24306249999999999</v>
      </c>
      <c r="T453" s="76">
        <v>2023</v>
      </c>
      <c r="U453" s="306">
        <f t="shared" si="117"/>
        <v>52.018513756749805</v>
      </c>
      <c r="V453" s="76">
        <v>48.2</v>
      </c>
    </row>
    <row r="454" spans="1:27" ht="16.5" customHeight="1" x14ac:dyDescent="0.35">
      <c r="A454" s="351">
        <v>46035</v>
      </c>
      <c r="B454" s="76" t="s">
        <v>816</v>
      </c>
      <c r="C454" s="71" t="s">
        <v>104</v>
      </c>
      <c r="D454" s="3" t="s">
        <v>774</v>
      </c>
      <c r="E454" s="3" t="s">
        <v>86</v>
      </c>
      <c r="F454" s="3">
        <v>0.01</v>
      </c>
      <c r="G454" s="3" t="s">
        <v>640</v>
      </c>
      <c r="H454" s="76">
        <v>3644</v>
      </c>
      <c r="I454" s="3" t="s">
        <v>70</v>
      </c>
      <c r="J454" s="3" t="s">
        <v>195</v>
      </c>
      <c r="K454" s="370" t="s">
        <v>832</v>
      </c>
      <c r="L454" s="326" t="s">
        <v>459</v>
      </c>
      <c r="M454" s="3">
        <v>40</v>
      </c>
      <c r="N454" s="356" cm="1">
        <f t="array" ref="N454">_xlfn.IFS(I454="AEX",H454/400,I454="RP",H454/200)</f>
        <v>18.22</v>
      </c>
      <c r="O454" s="3">
        <v>24</v>
      </c>
      <c r="P454" s="75">
        <f t="shared" si="115"/>
        <v>151.83333333333334</v>
      </c>
      <c r="Q454" s="3" t="str" cm="1">
        <f t="array" ref="Q454">_xlfn.IFS(P454&lt;200, "10", P454&lt;400, "12", P454&lt;600, "14", P454&gt;600, "16")</f>
        <v>10</v>
      </c>
      <c r="R454" s="75">
        <f t="shared" si="127"/>
        <v>5.4660000000000002</v>
      </c>
      <c r="S454" s="75">
        <f t="shared" si="116"/>
        <v>0.22775000000000001</v>
      </c>
      <c r="T454" s="76">
        <v>3048</v>
      </c>
      <c r="U454" s="306">
        <f t="shared" si="117"/>
        <v>83.644346871569709</v>
      </c>
      <c r="V454" s="76">
        <v>25</v>
      </c>
    </row>
    <row r="455" spans="1:27" ht="16.5" customHeight="1" x14ac:dyDescent="0.35">
      <c r="A455" s="351">
        <v>46035</v>
      </c>
      <c r="B455" s="76" t="s">
        <v>793</v>
      </c>
      <c r="C455" s="71" t="s">
        <v>104</v>
      </c>
      <c r="D455" s="3" t="s">
        <v>774</v>
      </c>
      <c r="E455" s="3" t="s">
        <v>257</v>
      </c>
      <c r="F455" s="3" t="s">
        <v>87</v>
      </c>
      <c r="G455" s="3" t="s">
        <v>640</v>
      </c>
      <c r="H455" s="76">
        <v>13327</v>
      </c>
      <c r="I455" s="3" t="s">
        <v>70</v>
      </c>
      <c r="J455" s="3" t="s">
        <v>195</v>
      </c>
      <c r="K455" s="370" t="s">
        <v>832</v>
      </c>
      <c r="L455" s="326" t="s">
        <v>459</v>
      </c>
      <c r="M455" s="3">
        <v>40</v>
      </c>
      <c r="N455" s="356" cm="1">
        <f t="array" ref="N455">_xlfn.IFS(I455="AEX",H455/400,I455="RP",H455/200)</f>
        <v>66.635000000000005</v>
      </c>
      <c r="O455" s="3">
        <v>178</v>
      </c>
      <c r="P455" s="75">
        <f t="shared" si="115"/>
        <v>74.870786516853926</v>
      </c>
      <c r="Q455" s="3" t="str" cm="1">
        <f t="array" ref="Q455">_xlfn.IFS(P455&lt;200, "10", P455&lt;400, "12", P455&lt;600, "14", P455&gt;600, "16")</f>
        <v>10</v>
      </c>
      <c r="R455" s="75">
        <f t="shared" si="127"/>
        <v>19.990500000000001</v>
      </c>
      <c r="S455" s="75">
        <f t="shared" si="116"/>
        <v>0.1123061797752809</v>
      </c>
      <c r="T455" s="76">
        <v>11497</v>
      </c>
      <c r="U455" s="306">
        <f t="shared" si="117"/>
        <v>86.268477526825237</v>
      </c>
      <c r="V455" s="76">
        <v>279.48</v>
      </c>
    </row>
    <row r="456" spans="1:27" ht="16.5" customHeight="1" x14ac:dyDescent="0.35">
      <c r="A456" s="351">
        <v>46036</v>
      </c>
      <c r="B456" s="76" t="s">
        <v>785</v>
      </c>
      <c r="C456" s="71" t="s">
        <v>104</v>
      </c>
      <c r="D456" s="3" t="s">
        <v>822</v>
      </c>
      <c r="E456" s="3" t="s">
        <v>257</v>
      </c>
      <c r="F456" s="3" t="s">
        <v>87</v>
      </c>
      <c r="G456" s="3" t="s">
        <v>641</v>
      </c>
      <c r="H456" s="76">
        <v>1205</v>
      </c>
      <c r="I456" s="3" t="s">
        <v>88</v>
      </c>
      <c r="J456" s="3" t="s">
        <v>90</v>
      </c>
      <c r="K456" s="3" t="s">
        <v>479</v>
      </c>
      <c r="L456" s="326" t="s">
        <v>454</v>
      </c>
      <c r="M456" s="3" t="s">
        <v>502</v>
      </c>
      <c r="N456" s="356" cm="1">
        <f t="array" ref="N456">_xlfn.IFS(I456="AEX",H456/400,I456="RP",H456/200)</f>
        <v>3.0125000000000002</v>
      </c>
      <c r="O456" s="3">
        <v>16.100000000000001</v>
      </c>
      <c r="P456" s="75">
        <f>H456/O456</f>
        <v>74.844720496894396</v>
      </c>
      <c r="Q456" s="3" t="str" cm="1">
        <f t="array" ref="Q456">_xlfn.IFS(P456&lt;200, "10", P456&lt;400, "12", P456&lt;600, "14", P456&gt;600, "16")</f>
        <v>10</v>
      </c>
      <c r="R456" s="75">
        <f>IF(I456="AEX",H456*0.3/400,H456*0.3/200)</f>
        <v>0.90375000000000005</v>
      </c>
      <c r="S456" s="75">
        <f>R456/O456</f>
        <v>5.6133540372670807E-2</v>
      </c>
      <c r="T456" s="76">
        <v>762</v>
      </c>
      <c r="U456" s="306">
        <f>T456/H456*100</f>
        <v>63.236514522821572</v>
      </c>
      <c r="V456" s="76">
        <v>25</v>
      </c>
      <c r="AA456" s="76">
        <v>762</v>
      </c>
    </row>
    <row r="457" spans="1:27" ht="16.5" customHeight="1" x14ac:dyDescent="0.35">
      <c r="A457" s="351">
        <v>46036</v>
      </c>
      <c r="B457" s="76" t="s">
        <v>784</v>
      </c>
      <c r="C457" s="71" t="s">
        <v>104</v>
      </c>
      <c r="D457" s="3" t="s">
        <v>747</v>
      </c>
      <c r="E457" s="3" t="s">
        <v>257</v>
      </c>
      <c r="F457" s="3" t="s">
        <v>87</v>
      </c>
      <c r="G457" s="3" t="s">
        <v>641</v>
      </c>
      <c r="H457" s="76">
        <v>1604</v>
      </c>
      <c r="I457" s="3" t="s">
        <v>88</v>
      </c>
      <c r="J457" s="3" t="s">
        <v>89</v>
      </c>
      <c r="K457" s="3" t="s">
        <v>479</v>
      </c>
      <c r="L457" s="326" t="s">
        <v>454</v>
      </c>
      <c r="M457" s="3" t="s">
        <v>502</v>
      </c>
      <c r="N457" s="356" cm="1">
        <f t="array" ref="N457">_xlfn.IFS(I457="AEX",H457/400,I457="RP",H457/200)</f>
        <v>4.01</v>
      </c>
      <c r="O457" s="3">
        <v>23.5</v>
      </c>
      <c r="P457" s="75">
        <f>H457/O457</f>
        <v>68.255319148936167</v>
      </c>
      <c r="Q457" s="3" t="str" cm="1">
        <f t="array" ref="Q457">_xlfn.IFS(P457&lt;200, "10", P457&lt;400, "12", P457&lt;600, "14", P457&gt;600, "16")</f>
        <v>10</v>
      </c>
      <c r="R457" s="75">
        <f>IF(I457="AEX",H457*0.3/400,H457*0.3/200)</f>
        <v>1.2030000000000001</v>
      </c>
      <c r="S457" s="75">
        <f>R457/O457</f>
        <v>5.1191489361702133E-2</v>
      </c>
      <c r="T457" s="76">
        <v>1055</v>
      </c>
      <c r="U457" s="306">
        <f>T457/H457*100</f>
        <v>65.773067331670816</v>
      </c>
    </row>
    <row r="458" spans="1:27" ht="16.5" customHeight="1" x14ac:dyDescent="0.35">
      <c r="A458" s="351">
        <v>46036</v>
      </c>
      <c r="B458" s="76" t="s">
        <v>783</v>
      </c>
      <c r="C458" s="71" t="s">
        <v>104</v>
      </c>
      <c r="D458" s="3" t="s">
        <v>822</v>
      </c>
      <c r="E458" s="3" t="s">
        <v>257</v>
      </c>
      <c r="F458" s="3" t="s">
        <v>87</v>
      </c>
      <c r="G458" s="3" t="s">
        <v>641</v>
      </c>
      <c r="H458" s="76">
        <v>1205</v>
      </c>
      <c r="I458" s="3" t="s">
        <v>88</v>
      </c>
      <c r="J458" s="3" t="s">
        <v>377</v>
      </c>
      <c r="K458" s="3" t="s">
        <v>479</v>
      </c>
      <c r="L458" s="326" t="s">
        <v>454</v>
      </c>
      <c r="M458" s="3" t="s">
        <v>502</v>
      </c>
      <c r="N458" s="356" cm="1">
        <f t="array" ref="N458">_xlfn.IFS(I458="AEX",H458/400,I458="RP",H458/200)</f>
        <v>3.0125000000000002</v>
      </c>
      <c r="O458" s="3">
        <v>24</v>
      </c>
      <c r="P458" s="75">
        <f>H458/O458</f>
        <v>50.208333333333336</v>
      </c>
      <c r="Q458" s="3" t="str" cm="1">
        <f t="array" ref="Q458">_xlfn.IFS(P458&lt;200, "10", P458&lt;400, "12", P458&lt;600, "14", P458&gt;600, "16")</f>
        <v>10</v>
      </c>
      <c r="R458" s="75">
        <f>IF(I458="AEX",H458*0.3/400,H458*0.3/200)</f>
        <v>0.90375000000000005</v>
      </c>
      <c r="S458" s="75">
        <f>R458/O458</f>
        <v>3.7656250000000002E-2</v>
      </c>
      <c r="T458" s="76">
        <v>845</v>
      </c>
      <c r="U458" s="306">
        <f>T458/H458*100</f>
        <v>70.124481327800822</v>
      </c>
    </row>
    <row r="459" spans="1:27" ht="16.5" customHeight="1" x14ac:dyDescent="0.35">
      <c r="A459" s="351">
        <v>46036</v>
      </c>
      <c r="B459" s="76" t="s">
        <v>782</v>
      </c>
      <c r="C459" s="71" t="s">
        <v>104</v>
      </c>
      <c r="D459" s="3" t="s">
        <v>824</v>
      </c>
      <c r="E459" s="3" t="s">
        <v>257</v>
      </c>
      <c r="F459" s="3" t="s">
        <v>87</v>
      </c>
      <c r="G459" s="3" t="s">
        <v>641</v>
      </c>
      <c r="H459" s="76">
        <v>2402</v>
      </c>
      <c r="I459" s="3" t="s">
        <v>88</v>
      </c>
      <c r="J459" s="3" t="s">
        <v>89</v>
      </c>
      <c r="K459" s="3" t="s">
        <v>479</v>
      </c>
      <c r="L459" s="326" t="s">
        <v>454</v>
      </c>
      <c r="M459" s="3" t="s">
        <v>502</v>
      </c>
      <c r="N459" s="356" cm="1">
        <f t="array" ref="N459">_xlfn.IFS(I459="AEX",H459/400,I459="RP",H459/200)</f>
        <v>6.0049999999999999</v>
      </c>
      <c r="O459" s="3">
        <v>23.5</v>
      </c>
      <c r="P459" s="75">
        <f t="shared" si="115"/>
        <v>102.21276595744681</v>
      </c>
      <c r="Q459" s="3" t="str" cm="1">
        <f t="array" ref="Q459">_xlfn.IFS(P459&lt;200, "10", P459&lt;400, "12", P459&lt;600, "14", P459&gt;600, "16")</f>
        <v>10</v>
      </c>
      <c r="R459" s="75">
        <f t="shared" si="127"/>
        <v>1.8015000000000001</v>
      </c>
      <c r="S459" s="75">
        <f t="shared" si="116"/>
        <v>7.6659574468085107E-2</v>
      </c>
      <c r="T459" s="76">
        <v>1406</v>
      </c>
      <c r="U459" s="306">
        <f t="shared" si="117"/>
        <v>58.5345545378851</v>
      </c>
    </row>
    <row r="460" spans="1:27" ht="16.5" customHeight="1" x14ac:dyDescent="0.35">
      <c r="A460" s="351">
        <v>46036</v>
      </c>
      <c r="B460" s="76" t="s">
        <v>781</v>
      </c>
      <c r="C460" s="71" t="s">
        <v>104</v>
      </c>
      <c r="D460" s="3" t="s">
        <v>823</v>
      </c>
      <c r="E460" s="3" t="s">
        <v>257</v>
      </c>
      <c r="F460" s="3" t="s">
        <v>87</v>
      </c>
      <c r="G460" s="3" t="s">
        <v>641</v>
      </c>
      <c r="H460" s="76">
        <v>1604</v>
      </c>
      <c r="I460" s="3" t="s">
        <v>88</v>
      </c>
      <c r="J460" s="3" t="s">
        <v>90</v>
      </c>
      <c r="K460" s="3" t="s">
        <v>479</v>
      </c>
      <c r="L460" s="326" t="s">
        <v>454</v>
      </c>
      <c r="M460" s="3" t="s">
        <v>502</v>
      </c>
      <c r="N460" s="356" cm="1">
        <f t="array" ref="N460">_xlfn.IFS(I460="AEX",H460/400,I460="RP",H460/200)</f>
        <v>4.01</v>
      </c>
      <c r="O460" s="3">
        <v>16.100000000000001</v>
      </c>
      <c r="P460" s="75">
        <f>H460/O460</f>
        <v>99.627329192546568</v>
      </c>
      <c r="Q460" s="3" t="str" cm="1">
        <f t="array" ref="Q460">_xlfn.IFS(P460&lt;200, "10", P460&lt;400, "12", P460&lt;600, "14", P460&gt;600, "16")</f>
        <v>10</v>
      </c>
      <c r="R460" s="75">
        <f>IF(I460="AEX",H460*0.3/400,H460*0.3/200)</f>
        <v>1.2030000000000001</v>
      </c>
      <c r="S460" s="75">
        <f>R460/O460</f>
        <v>7.4720496894409932E-2</v>
      </c>
      <c r="T460" s="76">
        <v>1099</v>
      </c>
      <c r="U460" s="306">
        <f>T460/H460*100</f>
        <v>68.516209476309228</v>
      </c>
    </row>
    <row r="461" spans="1:27" ht="16.5" customHeight="1" x14ac:dyDescent="0.35">
      <c r="A461" s="351">
        <v>46036</v>
      </c>
      <c r="B461" s="76" t="s">
        <v>880</v>
      </c>
      <c r="C461" s="71" t="s">
        <v>104</v>
      </c>
      <c r="D461" s="3"/>
      <c r="E461" s="3" t="s">
        <v>86</v>
      </c>
      <c r="F461" s="3">
        <v>0.01</v>
      </c>
      <c r="G461" s="3" t="s">
        <v>640</v>
      </c>
      <c r="H461" s="76">
        <v>2023</v>
      </c>
      <c r="I461" s="3" t="s">
        <v>88</v>
      </c>
      <c r="J461" s="3" t="s">
        <v>90</v>
      </c>
      <c r="K461" s="3" t="s">
        <v>540</v>
      </c>
      <c r="L461" s="326" t="s">
        <v>454</v>
      </c>
      <c r="M461" s="3" t="s">
        <v>502</v>
      </c>
      <c r="N461" s="356" cm="1">
        <f t="array" ref="N461">_xlfn.IFS(I461="AEX",H461/400,I461="RP",H461/200)</f>
        <v>5.0575000000000001</v>
      </c>
      <c r="O461" s="3">
        <v>16.100000000000001</v>
      </c>
      <c r="P461" s="75">
        <f t="shared" si="115"/>
        <v>125.65217391304347</v>
      </c>
      <c r="Q461" s="3" t="str" cm="1">
        <f t="array" ref="Q461">_xlfn.IFS(P461&lt;200, "10", P461&lt;400, "12", P461&lt;600, "14", P461&gt;600, "16")</f>
        <v>10</v>
      </c>
      <c r="R461" s="75">
        <f t="shared" si="127"/>
        <v>1.51725</v>
      </c>
      <c r="S461" s="75">
        <f t="shared" si="116"/>
        <v>9.4239130434782603E-2</v>
      </c>
      <c r="T461" s="76">
        <v>516</v>
      </c>
      <c r="U461" s="306">
        <f t="shared" si="117"/>
        <v>25.50667325753831</v>
      </c>
      <c r="V461" s="76">
        <v>15</v>
      </c>
    </row>
    <row r="462" spans="1:27" ht="16.5" customHeight="1" x14ac:dyDescent="0.35">
      <c r="A462" s="351">
        <v>46036</v>
      </c>
      <c r="B462" s="76" t="s">
        <v>833</v>
      </c>
      <c r="C462" s="71" t="s">
        <v>104</v>
      </c>
      <c r="D462" s="3"/>
      <c r="E462" s="3" t="s">
        <v>86</v>
      </c>
      <c r="F462" s="3">
        <v>0.01</v>
      </c>
      <c r="G462" s="3" t="s">
        <v>640</v>
      </c>
      <c r="H462" s="76">
        <v>3048</v>
      </c>
      <c r="I462" s="3" t="s">
        <v>88</v>
      </c>
      <c r="J462" s="3" t="s">
        <v>377</v>
      </c>
      <c r="K462" s="3" t="s">
        <v>559</v>
      </c>
      <c r="L462" s="326" t="s">
        <v>454</v>
      </c>
      <c r="M462" s="3" t="s">
        <v>502</v>
      </c>
      <c r="N462" s="356" cm="1">
        <f t="array" ref="N462">_xlfn.IFS(I462="AEX",H462/400,I462="RP",H462/200)</f>
        <v>7.62</v>
      </c>
      <c r="O462" s="3">
        <v>16.100000000000001</v>
      </c>
      <c r="P462" s="75">
        <f t="shared" si="115"/>
        <v>189.31677018633539</v>
      </c>
      <c r="Q462" s="3" t="str" cm="1">
        <f t="array" ref="Q462">_xlfn.IFS(P462&lt;200, "10", P462&lt;400, "12", P462&lt;600, "14", P462&gt;600, "16")</f>
        <v>10</v>
      </c>
      <c r="R462" s="75">
        <f t="shared" si="127"/>
        <v>2.286</v>
      </c>
      <c r="S462" s="75">
        <f t="shared" si="116"/>
        <v>0.14198757763975153</v>
      </c>
      <c r="T462" s="76">
        <v>1841</v>
      </c>
      <c r="U462" s="306">
        <f t="shared" si="117"/>
        <v>60.400262467191602</v>
      </c>
      <c r="V462" s="76">
        <v>22</v>
      </c>
    </row>
    <row r="463" spans="1:27" ht="16.5" customHeight="1" x14ac:dyDescent="0.35">
      <c r="A463" s="351">
        <v>46037</v>
      </c>
      <c r="B463" s="76" t="s">
        <v>780</v>
      </c>
      <c r="C463" s="71" t="s">
        <v>104</v>
      </c>
      <c r="D463" s="3" t="s">
        <v>825</v>
      </c>
      <c r="E463" s="3" t="s">
        <v>257</v>
      </c>
      <c r="F463" s="3" t="s">
        <v>87</v>
      </c>
      <c r="G463" s="3" t="s">
        <v>641</v>
      </c>
      <c r="H463" s="76">
        <v>1205</v>
      </c>
      <c r="I463" s="3" t="s">
        <v>88</v>
      </c>
      <c r="J463" s="3" t="s">
        <v>90</v>
      </c>
      <c r="K463" s="3" t="s">
        <v>853</v>
      </c>
      <c r="L463" s="326" t="s">
        <v>454</v>
      </c>
      <c r="M463" s="3" t="s">
        <v>502</v>
      </c>
      <c r="N463" s="356" cm="1">
        <f t="array" ref="N463">_xlfn.IFS(I463="AEX",H463/400,I463="RP",H463/200)</f>
        <v>3.0125000000000002</v>
      </c>
      <c r="O463" s="3">
        <v>16.100000000000001</v>
      </c>
      <c r="P463" s="75">
        <f>H463/O463</f>
        <v>74.844720496894396</v>
      </c>
      <c r="Q463" s="3" t="str" cm="1">
        <f t="array" ref="Q463">_xlfn.IFS(P463&lt;200, "10", P463&lt;400, "12", P463&lt;600, "14", P463&gt;600, "16")</f>
        <v>10</v>
      </c>
      <c r="R463" s="75">
        <f>IF(I463="AEX",H463*0.3/400,H463*0.3/200)</f>
        <v>0.90375000000000005</v>
      </c>
      <c r="S463" s="75">
        <f>R463/O463</f>
        <v>5.6133540372670807E-2</v>
      </c>
      <c r="T463" s="76">
        <v>802</v>
      </c>
      <c r="U463" s="306">
        <f>T463/H463*100</f>
        <v>66.556016597510364</v>
      </c>
    </row>
    <row r="464" spans="1:27" ht="16.5" customHeight="1" x14ac:dyDescent="0.35">
      <c r="A464" s="351">
        <v>46037</v>
      </c>
      <c r="B464" s="76" t="s">
        <v>779</v>
      </c>
      <c r="C464" s="71" t="s">
        <v>104</v>
      </c>
      <c r="D464" s="3" t="s">
        <v>826</v>
      </c>
      <c r="E464" s="3" t="s">
        <v>257</v>
      </c>
      <c r="F464" s="3" t="s">
        <v>87</v>
      </c>
      <c r="G464" s="3" t="s">
        <v>641</v>
      </c>
      <c r="H464" s="76">
        <v>1205</v>
      </c>
      <c r="I464" s="3" t="s">
        <v>88</v>
      </c>
      <c r="J464" s="3" t="s">
        <v>89</v>
      </c>
      <c r="K464" s="3" t="s">
        <v>853</v>
      </c>
      <c r="L464" s="326" t="s">
        <v>454</v>
      </c>
      <c r="M464" s="3" t="s">
        <v>502</v>
      </c>
      <c r="N464" s="356" cm="1">
        <f t="array" ref="N464">_xlfn.IFS(I464="AEX",H464/400,I464="RP",H464/200)</f>
        <v>3.0125000000000002</v>
      </c>
      <c r="O464" s="3">
        <v>23.5</v>
      </c>
      <c r="P464" s="75">
        <f>H464/O464</f>
        <v>51.276595744680854</v>
      </c>
      <c r="Q464" s="3" t="str" cm="1">
        <f t="array" ref="Q464">_xlfn.IFS(P464&lt;200, "10", P464&lt;400, "12", P464&lt;600, "14", P464&gt;600, "16")</f>
        <v>10</v>
      </c>
      <c r="R464" s="75">
        <f>IF(I464="AEX",H464*0.3/400,H464*0.3/200)</f>
        <v>0.90375000000000005</v>
      </c>
      <c r="S464" s="75">
        <f>R464/O464</f>
        <v>3.845744680851064E-2</v>
      </c>
      <c r="T464" s="76">
        <v>674</v>
      </c>
      <c r="U464" s="306">
        <f>T464/H464*100</f>
        <v>55.933609958506224</v>
      </c>
    </row>
    <row r="465" spans="1:30" ht="16.5" customHeight="1" x14ac:dyDescent="0.35">
      <c r="A465" s="351">
        <v>46037</v>
      </c>
      <c r="B465" s="76" t="s">
        <v>881</v>
      </c>
      <c r="C465" s="71" t="s">
        <v>104</v>
      </c>
      <c r="D465" s="3"/>
      <c r="E465" s="3" t="s">
        <v>257</v>
      </c>
      <c r="F465" s="3" t="s">
        <v>87</v>
      </c>
      <c r="G465" s="3" t="s">
        <v>640</v>
      </c>
      <c r="H465" s="76">
        <v>11497</v>
      </c>
      <c r="I465" s="3" t="s">
        <v>88</v>
      </c>
      <c r="J465" s="3" t="s">
        <v>377</v>
      </c>
      <c r="K465" s="3" t="s">
        <v>559</v>
      </c>
      <c r="L465" s="326" t="s">
        <v>454</v>
      </c>
      <c r="M465" s="3" t="s">
        <v>502</v>
      </c>
      <c r="N465" s="356" cm="1">
        <f t="array" ref="N465">_xlfn.IFS(I465="AEX",H465/400,I465="RP",H465/200)</f>
        <v>28.7425</v>
      </c>
      <c r="O465" s="3">
        <v>63.8</v>
      </c>
      <c r="P465" s="75">
        <f t="shared" si="115"/>
        <v>180.20376175548591</v>
      </c>
      <c r="Q465" s="3" t="str" cm="1">
        <f t="array" ref="Q465">_xlfn.IFS(P465&lt;200, "10", P465&lt;400, "12", P465&lt;600, "14", P465&gt;600, "16")</f>
        <v>10</v>
      </c>
      <c r="R465" s="75">
        <f t="shared" si="127"/>
        <v>8.6227499999999999</v>
      </c>
      <c r="S465" s="75">
        <f t="shared" si="116"/>
        <v>0.13515282131661444</v>
      </c>
      <c r="T465" s="76">
        <v>8009.65</v>
      </c>
      <c r="U465" s="306">
        <f t="shared" si="117"/>
        <v>69.667304514221101</v>
      </c>
      <c r="V465" s="76">
        <v>161.16</v>
      </c>
      <c r="W465" s="3" t="s">
        <v>91</v>
      </c>
      <c r="X465" s="2">
        <v>46037</v>
      </c>
      <c r="Y465" s="3" t="s">
        <v>97</v>
      </c>
      <c r="Z465" s="3" t="s">
        <v>87</v>
      </c>
      <c r="AA465" s="76">
        <v>6980</v>
      </c>
      <c r="AB465" s="76">
        <v>246.21</v>
      </c>
    </row>
    <row r="466" spans="1:30" ht="16.5" customHeight="1" x14ac:dyDescent="0.35">
      <c r="A466" s="351">
        <v>46037</v>
      </c>
      <c r="B466" s="76" t="s">
        <v>834</v>
      </c>
      <c r="C466" s="71" t="s">
        <v>104</v>
      </c>
      <c r="D466" s="3"/>
      <c r="E466" s="3" t="s">
        <v>194</v>
      </c>
      <c r="F466" s="3">
        <v>0.5</v>
      </c>
      <c r="G466" s="3" t="s">
        <v>640</v>
      </c>
      <c r="H466" s="76">
        <v>10100</v>
      </c>
      <c r="I466" s="3" t="s">
        <v>88</v>
      </c>
      <c r="J466" s="3" t="s">
        <v>377</v>
      </c>
      <c r="K466" s="3" t="s">
        <v>479</v>
      </c>
      <c r="L466" s="326" t="s">
        <v>454</v>
      </c>
      <c r="M466" s="3" t="s">
        <v>502</v>
      </c>
      <c r="N466" s="356" cm="1">
        <f t="array" ref="N466">_xlfn.IFS(I466="AEX",H466/400,I466="RP",H466/200)</f>
        <v>25.25</v>
      </c>
      <c r="O466" s="3">
        <v>63.8</v>
      </c>
      <c r="P466" s="75">
        <f t="shared" si="115"/>
        <v>158.30721003134798</v>
      </c>
      <c r="Q466" s="3" t="str" cm="1">
        <f t="array" ref="Q466">_xlfn.IFS(P466&lt;200, "10", P466&lt;400, "12", P466&lt;600, "14", P466&gt;600, "16")</f>
        <v>10</v>
      </c>
      <c r="R466" s="75">
        <f t="shared" si="127"/>
        <v>7.5750000000000002</v>
      </c>
      <c r="S466" s="75">
        <f t="shared" si="116"/>
        <v>0.11873040752351098</v>
      </c>
      <c r="T466" s="76">
        <v>5007.3100000000004</v>
      </c>
      <c r="U466" s="306">
        <f t="shared" si="117"/>
        <v>49.577326732673271</v>
      </c>
      <c r="V466" s="76">
        <v>82.52</v>
      </c>
      <c r="W466" s="3" t="s">
        <v>91</v>
      </c>
      <c r="X466" s="2">
        <v>46037</v>
      </c>
      <c r="Y466" s="3" t="s">
        <v>97</v>
      </c>
      <c r="Z466" s="3" t="s">
        <v>87</v>
      </c>
      <c r="AA466" s="76">
        <v>4943.1400000000003</v>
      </c>
      <c r="AB466" s="76">
        <v>135.54</v>
      </c>
    </row>
    <row r="467" spans="1:30" ht="16.5" customHeight="1" x14ac:dyDescent="0.35">
      <c r="A467" s="351">
        <v>46037</v>
      </c>
      <c r="B467" s="76" t="s">
        <v>887</v>
      </c>
      <c r="C467" s="71" t="s">
        <v>321</v>
      </c>
      <c r="D467" s="3" t="s">
        <v>705</v>
      </c>
      <c r="E467" s="3" t="s">
        <v>87</v>
      </c>
      <c r="F467" s="3" t="s">
        <v>87</v>
      </c>
      <c r="G467" s="3" t="s">
        <v>640</v>
      </c>
      <c r="H467" s="76">
        <v>11723</v>
      </c>
      <c r="I467" s="3" t="s">
        <v>88</v>
      </c>
      <c r="J467" s="3" t="s">
        <v>377</v>
      </c>
      <c r="K467" s="3" t="s">
        <v>496</v>
      </c>
      <c r="L467" s="326" t="s">
        <v>455</v>
      </c>
      <c r="M467" s="3">
        <v>60</v>
      </c>
      <c r="N467" s="356" cm="1">
        <f t="array" ref="N467">_xlfn.IFS(I467="AEX",H467/400,I467="RP",H467/200)</f>
        <v>29.307500000000001</v>
      </c>
      <c r="O467" s="3">
        <v>63.8</v>
      </c>
      <c r="P467" s="75">
        <f t="shared" si="115"/>
        <v>183.7460815047022</v>
      </c>
      <c r="Q467" s="3">
        <v>12</v>
      </c>
      <c r="R467" s="75">
        <f t="shared" si="127"/>
        <v>8.792250000000001</v>
      </c>
      <c r="S467" s="75">
        <f t="shared" si="116"/>
        <v>0.13780956112852666</v>
      </c>
      <c r="U467" s="306">
        <f t="shared" si="117"/>
        <v>0</v>
      </c>
    </row>
    <row r="468" spans="1:30" ht="16.5" customHeight="1" x14ac:dyDescent="0.35">
      <c r="A468" s="351">
        <v>46037</v>
      </c>
      <c r="B468" s="76" t="s">
        <v>855</v>
      </c>
      <c r="C468" s="71" t="s">
        <v>104</v>
      </c>
      <c r="D468" s="3"/>
      <c r="E468" s="3" t="s">
        <v>87</v>
      </c>
      <c r="F468" s="3">
        <v>0.05</v>
      </c>
      <c r="G468" s="3" t="s">
        <v>641</v>
      </c>
      <c r="H468" s="76">
        <v>3040</v>
      </c>
      <c r="I468" s="3" t="s">
        <v>88</v>
      </c>
      <c r="J468" s="3" t="s">
        <v>90</v>
      </c>
      <c r="K468" s="3" t="s">
        <v>479</v>
      </c>
      <c r="L468" s="326" t="s">
        <v>454</v>
      </c>
      <c r="M468" s="3" t="s">
        <v>502</v>
      </c>
      <c r="N468" s="356" cm="1">
        <f t="array" ref="N468">_xlfn.IFS(I468="AEX",H468/400,I468="RP",H468/200)</f>
        <v>7.6</v>
      </c>
      <c r="O468" s="3">
        <v>16.100000000000001</v>
      </c>
      <c r="P468" s="75">
        <f t="shared" si="115"/>
        <v>188.81987577639751</v>
      </c>
      <c r="Q468" s="3">
        <v>10</v>
      </c>
      <c r="R468" s="75">
        <f t="shared" si="127"/>
        <v>2.2799999999999998</v>
      </c>
      <c r="S468" s="75">
        <f t="shared" si="116"/>
        <v>0.1416149068322981</v>
      </c>
      <c r="U468" s="306">
        <f t="shared" si="117"/>
        <v>0</v>
      </c>
    </row>
    <row r="469" spans="1:30" ht="16.5" customHeight="1" x14ac:dyDescent="0.35">
      <c r="A469" s="351">
        <v>46038</v>
      </c>
      <c r="B469" s="76" t="s">
        <v>827</v>
      </c>
      <c r="C469" s="71" t="s">
        <v>104</v>
      </c>
      <c r="D469" s="3"/>
      <c r="E469" s="3" t="s">
        <v>86</v>
      </c>
      <c r="F469" s="3" t="s">
        <v>87</v>
      </c>
      <c r="G469" s="3" t="s">
        <v>641</v>
      </c>
      <c r="H469" s="76">
        <v>7173</v>
      </c>
      <c r="I469" s="3" t="s">
        <v>88</v>
      </c>
      <c r="J469" s="3" t="s">
        <v>89</v>
      </c>
      <c r="K469" s="3" t="s">
        <v>540</v>
      </c>
      <c r="L469" s="326" t="s">
        <v>454</v>
      </c>
      <c r="M469" s="3" t="s">
        <v>502</v>
      </c>
      <c r="N469" s="356" cm="1">
        <f t="array" ref="N469">_xlfn.IFS(I469="AEX",H469/400,I469="RP",H469/200)</f>
        <v>17.932500000000001</v>
      </c>
      <c r="O469" s="3">
        <v>23.5</v>
      </c>
      <c r="P469" s="75">
        <f t="shared" si="115"/>
        <v>305.2340425531915</v>
      </c>
      <c r="Q469" s="3" t="str" cm="1">
        <f t="array" ref="Q469">_xlfn.IFS(P469&lt;200, "10", P469&lt;400, "12", P469&lt;600, "14", P469&gt;600, "16")</f>
        <v>12</v>
      </c>
      <c r="R469" s="75">
        <f t="shared" si="127"/>
        <v>5.3797500000000005</v>
      </c>
      <c r="S469" s="75">
        <f t="shared" si="116"/>
        <v>0.22892553191489365</v>
      </c>
      <c r="U469" s="306">
        <f t="shared" si="117"/>
        <v>0</v>
      </c>
    </row>
    <row r="470" spans="1:30" ht="16.5" customHeight="1" x14ac:dyDescent="0.35">
      <c r="A470" s="351">
        <v>46038</v>
      </c>
      <c r="B470" s="76" t="s">
        <v>859</v>
      </c>
      <c r="C470" s="71" t="s">
        <v>104</v>
      </c>
      <c r="D470" s="3"/>
      <c r="E470" s="3" t="s">
        <v>86</v>
      </c>
      <c r="F470" s="3" t="s">
        <v>87</v>
      </c>
      <c r="G470" s="3" t="s">
        <v>641</v>
      </c>
      <c r="H470" s="76">
        <v>6820</v>
      </c>
      <c r="I470" s="3" t="s">
        <v>88</v>
      </c>
      <c r="J470" s="3" t="s">
        <v>377</v>
      </c>
      <c r="K470" s="3" t="s">
        <v>540</v>
      </c>
      <c r="L470" s="326" t="s">
        <v>454</v>
      </c>
      <c r="M470" s="3" t="s">
        <v>502</v>
      </c>
      <c r="N470" s="356" cm="1">
        <f t="array" ref="N470">_xlfn.IFS(I470="AEX",H470/400,I470="RP",H470/200)</f>
        <v>17.05</v>
      </c>
      <c r="O470" s="3">
        <v>23.5</v>
      </c>
      <c r="P470" s="75">
        <f t="shared" si="115"/>
        <v>290.21276595744683</v>
      </c>
      <c r="Q470" s="3" t="str" cm="1">
        <f t="array" ref="Q470">_xlfn.IFS(P470&lt;200, "10", P470&lt;400, "12", P470&lt;600, "14", P470&gt;600, "16")</f>
        <v>12</v>
      </c>
      <c r="R470" s="75">
        <f t="shared" si="127"/>
        <v>5.1150000000000002</v>
      </c>
      <c r="S470" s="75">
        <f t="shared" si="116"/>
        <v>0.21765957446808512</v>
      </c>
      <c r="T470" s="76">
        <v>1250</v>
      </c>
      <c r="U470" s="306">
        <f t="shared" si="117"/>
        <v>18.328445747800586</v>
      </c>
      <c r="V470" s="76">
        <v>36</v>
      </c>
      <c r="W470" s="3" t="s">
        <v>91</v>
      </c>
      <c r="X470" s="2">
        <v>46038</v>
      </c>
      <c r="Y470" s="3" t="s">
        <v>172</v>
      </c>
      <c r="Z470" s="3" t="s">
        <v>87</v>
      </c>
      <c r="AA470" s="76">
        <v>1167</v>
      </c>
      <c r="AB470" s="76">
        <v>56</v>
      </c>
    </row>
    <row r="471" spans="1:30" ht="16.5" customHeight="1" x14ac:dyDescent="0.35">
      <c r="A471" s="351">
        <v>46042</v>
      </c>
      <c r="B471" s="76" t="s">
        <v>861</v>
      </c>
      <c r="C471" s="71" t="s">
        <v>104</v>
      </c>
      <c r="D471" s="3" t="s">
        <v>705</v>
      </c>
      <c r="E471" s="3" t="s">
        <v>257</v>
      </c>
      <c r="F471" s="3" t="s">
        <v>87</v>
      </c>
      <c r="G471" s="3" t="s">
        <v>640</v>
      </c>
      <c r="H471" s="76">
        <v>11732</v>
      </c>
      <c r="I471" s="3" t="s">
        <v>70</v>
      </c>
      <c r="J471" s="3" t="s">
        <v>195</v>
      </c>
      <c r="K471" s="383" t="s">
        <v>489</v>
      </c>
      <c r="L471" s="326" t="s">
        <v>459</v>
      </c>
      <c r="M471" s="3">
        <v>40</v>
      </c>
      <c r="N471" s="356" cm="1">
        <f t="array" ref="N471">_xlfn.IFS(I471="AEX",H471/400,I471="RP",H471/200)</f>
        <v>58.66</v>
      </c>
      <c r="O471" s="3">
        <v>178</v>
      </c>
      <c r="P471" s="75">
        <f t="shared" si="115"/>
        <v>65.910112359550567</v>
      </c>
      <c r="Q471" s="3" t="str" cm="1">
        <f t="array" ref="Q471">_xlfn.IFS(P471&lt;200, "10", P471&lt;400, "12", P471&lt;600, "14", P471&gt;600, "16")</f>
        <v>10</v>
      </c>
      <c r="R471" s="75">
        <f t="shared" si="127"/>
        <v>17.597999999999999</v>
      </c>
      <c r="S471" s="75">
        <f t="shared" si="116"/>
        <v>9.8865168539325837E-2</v>
      </c>
      <c r="T471" s="76">
        <v>1881</v>
      </c>
      <c r="U471" s="306">
        <f>T471/H471*100</f>
        <v>16.033071939993182</v>
      </c>
    </row>
    <row r="472" spans="1:30" ht="16.5" customHeight="1" x14ac:dyDescent="0.35">
      <c r="A472" s="351">
        <v>46043</v>
      </c>
      <c r="B472" s="76" t="s">
        <v>882</v>
      </c>
      <c r="C472" s="71" t="s">
        <v>321</v>
      </c>
      <c r="D472" s="3" t="s">
        <v>705</v>
      </c>
      <c r="E472" s="3" t="s">
        <v>257</v>
      </c>
      <c r="F472" s="3" t="s">
        <v>87</v>
      </c>
      <c r="G472" s="3" t="s">
        <v>640</v>
      </c>
      <c r="H472" s="76">
        <v>1881</v>
      </c>
      <c r="I472" s="3" t="s">
        <v>88</v>
      </c>
      <c r="J472" s="3" t="s">
        <v>89</v>
      </c>
      <c r="K472" s="383" t="s">
        <v>545</v>
      </c>
      <c r="L472" s="326" t="s">
        <v>455</v>
      </c>
      <c r="M472" s="3">
        <v>60</v>
      </c>
      <c r="N472" s="356" cm="1">
        <f t="array" ref="N472">_xlfn.IFS(I472="AEX",H472/400,I472="RP",H472/200)</f>
        <v>4.7024999999999997</v>
      </c>
      <c r="O472" s="3">
        <v>16.100000000000001</v>
      </c>
      <c r="P472" s="75">
        <f t="shared" si="115"/>
        <v>116.83229813664595</v>
      </c>
      <c r="Q472" s="3" t="str" cm="1">
        <f t="array" ref="Q472">_xlfn.IFS(P472&lt;200, "10", P472&lt;400, "12", P472&lt;600, "14", P472&gt;600, "16")</f>
        <v>10</v>
      </c>
      <c r="R472" s="75">
        <f t="shared" si="127"/>
        <v>1.4107499999999999</v>
      </c>
      <c r="S472" s="75">
        <f t="shared" si="116"/>
        <v>8.7624223602484466E-2</v>
      </c>
      <c r="T472" s="76">
        <v>381</v>
      </c>
      <c r="U472" s="306">
        <f t="shared" si="117"/>
        <v>20.25518341307815</v>
      </c>
    </row>
    <row r="473" spans="1:30" ht="16.5" customHeight="1" x14ac:dyDescent="0.35">
      <c r="A473" s="351">
        <v>46043</v>
      </c>
      <c r="B473" s="76" t="s">
        <v>840</v>
      </c>
      <c r="C473" s="71" t="s">
        <v>104</v>
      </c>
      <c r="D473" s="3" t="s">
        <v>876</v>
      </c>
      <c r="E473" s="3" t="s">
        <v>87</v>
      </c>
      <c r="F473" s="3" t="s">
        <v>87</v>
      </c>
      <c r="G473" s="3" t="s">
        <v>640</v>
      </c>
      <c r="H473" s="76">
        <v>29849</v>
      </c>
      <c r="I473" s="3" t="s">
        <v>88</v>
      </c>
      <c r="J473" s="3" t="s">
        <v>90</v>
      </c>
      <c r="K473" s="3" t="s">
        <v>540</v>
      </c>
      <c r="L473" s="326" t="s">
        <v>454</v>
      </c>
      <c r="M473" s="3" t="s">
        <v>502</v>
      </c>
      <c r="N473" s="356" cm="1">
        <f t="array" ref="N473">_xlfn.IFS(I473="AEX",H473/400,I473="RP",H473/200)</f>
        <v>74.622500000000002</v>
      </c>
      <c r="O473" s="3">
        <v>288</v>
      </c>
      <c r="P473" s="75">
        <f t="shared" si="115"/>
        <v>103.64236111111111</v>
      </c>
      <c r="Q473" s="3" t="str" cm="1">
        <f t="array" ref="Q473">_xlfn.IFS(P473&lt;200, "10", P473&lt;400, "12", P473&lt;600, "14", P473&gt;600, "16")</f>
        <v>10</v>
      </c>
      <c r="R473" s="75">
        <f t="shared" si="127"/>
        <v>22.386749999999996</v>
      </c>
      <c r="S473" s="75">
        <f t="shared" si="116"/>
        <v>7.7731770833333325E-2</v>
      </c>
      <c r="T473" s="76">
        <v>7296</v>
      </c>
      <c r="U473" s="306">
        <f t="shared" si="117"/>
        <v>24.443029917250158</v>
      </c>
      <c r="V473" s="76">
        <v>202</v>
      </c>
      <c r="W473" s="3" t="s">
        <v>91</v>
      </c>
      <c r="X473" s="2">
        <v>46044</v>
      </c>
      <c r="Y473" s="3" t="s">
        <v>97</v>
      </c>
      <c r="Z473" s="3" t="s">
        <v>87</v>
      </c>
      <c r="AA473" s="76">
        <v>7270</v>
      </c>
      <c r="AB473" s="76">
        <v>285.10000000000002</v>
      </c>
    </row>
    <row r="474" spans="1:30" x14ac:dyDescent="0.35">
      <c r="A474" s="351">
        <v>46043</v>
      </c>
      <c r="B474" s="76" t="s">
        <v>877</v>
      </c>
      <c r="C474" s="71" t="s">
        <v>622</v>
      </c>
      <c r="D474" s="3"/>
      <c r="E474" s="3" t="s">
        <v>87</v>
      </c>
      <c r="F474" s="3" t="s">
        <v>87</v>
      </c>
      <c r="G474" s="3" t="s">
        <v>87</v>
      </c>
      <c r="H474" s="76">
        <v>451000</v>
      </c>
      <c r="I474" s="365"/>
      <c r="J474" s="365"/>
      <c r="K474" s="365"/>
      <c r="L474" s="367"/>
      <c r="M474" s="365"/>
      <c r="N474" s="368" t="e" cm="1">
        <f t="array" ref="N474">_xlfn.IFS(I474="AEX",H474/400,I474="RP",H474/200)</f>
        <v>#N/A</v>
      </c>
      <c r="O474" s="365"/>
      <c r="P474" s="369" t="e">
        <f>H474/O474</f>
        <v>#DIV/0!</v>
      </c>
      <c r="Q474" s="365" t="e" cm="1">
        <f t="array" ref="Q474">_xlfn.IFS(P474&lt;200, "10", P474&lt;400, "12", P474&lt;600, "14", P474&gt;600, "16")</f>
        <v>#DIV/0!</v>
      </c>
      <c r="R474" s="369">
        <f>IF(I474="AEX",H474*0.3/400,H474*0.3/200)</f>
        <v>676.5</v>
      </c>
      <c r="S474" s="369" t="e">
        <f>R474/O474</f>
        <v>#DIV/0!</v>
      </c>
      <c r="U474" s="306">
        <f>T474/H474*100</f>
        <v>0</v>
      </c>
      <c r="X474" s="2">
        <v>46043</v>
      </c>
      <c r="Y474" s="3" t="s">
        <v>94</v>
      </c>
      <c r="Z474" s="3" t="s">
        <v>87</v>
      </c>
      <c r="AA474" s="76">
        <v>459388.57</v>
      </c>
      <c r="AB474" s="76">
        <v>860.88</v>
      </c>
      <c r="AD474" s="47" t="s">
        <v>878</v>
      </c>
    </row>
    <row r="475" spans="1:30" x14ac:dyDescent="0.35">
      <c r="A475" s="351">
        <v>46044</v>
      </c>
      <c r="B475" s="76" t="s">
        <v>879</v>
      </c>
      <c r="C475" s="71" t="s">
        <v>104</v>
      </c>
      <c r="D475" s="3" t="s">
        <v>705</v>
      </c>
      <c r="E475" s="3" t="s">
        <v>257</v>
      </c>
      <c r="F475" s="3" t="s">
        <v>87</v>
      </c>
      <c r="G475" s="3" t="s">
        <v>640</v>
      </c>
      <c r="H475" s="76">
        <v>381</v>
      </c>
      <c r="I475" s="3" t="s">
        <v>88</v>
      </c>
      <c r="J475" s="3" t="s">
        <v>90</v>
      </c>
      <c r="K475" s="383" t="s">
        <v>545</v>
      </c>
      <c r="L475" s="326" t="s">
        <v>455</v>
      </c>
      <c r="M475" s="3">
        <v>60</v>
      </c>
      <c r="N475" s="356" cm="1">
        <f t="array" ref="N475">_xlfn.IFS(I475="AEX",H475/400,I475="RP",H475/200)</f>
        <v>0.95250000000000001</v>
      </c>
      <c r="O475" s="3">
        <v>16.100000000000001</v>
      </c>
      <c r="P475" s="75">
        <f t="shared" si="115"/>
        <v>23.664596273291924</v>
      </c>
      <c r="Q475" s="3" t="str" cm="1">
        <f t="array" ref="Q475">_xlfn.IFS(P475&lt;200, "10", P475&lt;400, "12", P475&lt;600, "14", P475&gt;600, "16")</f>
        <v>10</v>
      </c>
      <c r="R475" s="75">
        <f t="shared" si="127"/>
        <v>0.28575</v>
      </c>
      <c r="S475" s="75">
        <f t="shared" si="116"/>
        <v>1.7748447204968942E-2</v>
      </c>
      <c r="T475" s="76">
        <v>837</v>
      </c>
      <c r="U475" s="306">
        <f t="shared" ref="U475:U504" si="128">T475/H475*100</f>
        <v>219.68503937007875</v>
      </c>
      <c r="V475" s="76">
        <v>35</v>
      </c>
    </row>
    <row r="476" spans="1:30" x14ac:dyDescent="0.35">
      <c r="A476" s="351">
        <v>46044</v>
      </c>
      <c r="B476" s="76" t="s">
        <v>836</v>
      </c>
      <c r="C476" s="71" t="s">
        <v>104</v>
      </c>
      <c r="D476" s="3" t="s">
        <v>884</v>
      </c>
      <c r="E476" s="3" t="s">
        <v>257</v>
      </c>
      <c r="F476" s="3">
        <v>0.01</v>
      </c>
      <c r="G476" s="3" t="s">
        <v>640</v>
      </c>
      <c r="H476" s="76">
        <v>317000</v>
      </c>
      <c r="I476" s="3" t="s">
        <v>88</v>
      </c>
      <c r="J476" s="3" t="s">
        <v>377</v>
      </c>
      <c r="K476" s="383" t="s">
        <v>479</v>
      </c>
      <c r="L476" s="326" t="s">
        <v>454</v>
      </c>
      <c r="M476" s="3" t="s">
        <v>502</v>
      </c>
      <c r="N476" s="356" cm="1">
        <f t="array" ref="N476">_xlfn.IFS(I476="AEX",H476/400,I476="RP",H476/200)</f>
        <v>792.5</v>
      </c>
      <c r="O476" s="3">
        <v>760</v>
      </c>
      <c r="P476" s="75">
        <f>H476/O476</f>
        <v>417.10526315789474</v>
      </c>
      <c r="Q476" s="3" t="str" cm="1">
        <f t="array" ref="Q476">_xlfn.IFS(P476&lt;200, "10", P476&lt;400, "12", P476&lt;600, "14", P476&gt;600, "16")</f>
        <v>14</v>
      </c>
      <c r="R476" s="75">
        <f>IF(I476="AEX",H476*0.3/400,H476*0.3/200)</f>
        <v>237.75</v>
      </c>
      <c r="S476" s="75">
        <f>R476/O476</f>
        <v>0.31282894736842104</v>
      </c>
      <c r="T476" s="76">
        <v>227993.92</v>
      </c>
      <c r="U476" s="306">
        <f>T476/H476*100</f>
        <v>71.922372239747631</v>
      </c>
      <c r="V476" s="76">
        <v>3116.8</v>
      </c>
      <c r="W476" s="3" t="s">
        <v>91</v>
      </c>
      <c r="X476" s="2">
        <v>46045</v>
      </c>
      <c r="Y476" s="3" t="s">
        <v>95</v>
      </c>
      <c r="Z476" s="3" t="s">
        <v>87</v>
      </c>
      <c r="AA476" s="76">
        <v>212912.01</v>
      </c>
      <c r="AB476" s="76">
        <v>324.91000000000003</v>
      </c>
    </row>
    <row r="477" spans="1:30" x14ac:dyDescent="0.35">
      <c r="A477" s="351">
        <v>46044</v>
      </c>
      <c r="B477" s="76" t="s">
        <v>883</v>
      </c>
      <c r="C477" s="71" t="s">
        <v>104</v>
      </c>
      <c r="D477" s="3"/>
      <c r="E477" s="3" t="s">
        <v>86</v>
      </c>
      <c r="F477" s="3" t="s">
        <v>87</v>
      </c>
      <c r="G477" s="3" t="s">
        <v>640</v>
      </c>
      <c r="H477" s="76">
        <v>9271</v>
      </c>
      <c r="I477" s="3" t="s">
        <v>88</v>
      </c>
      <c r="J477" s="3" t="s">
        <v>90</v>
      </c>
      <c r="K477" s="382" t="s">
        <v>885</v>
      </c>
      <c r="L477" s="326" t="s">
        <v>455</v>
      </c>
      <c r="M477" s="3">
        <v>60</v>
      </c>
      <c r="N477" s="356" cm="1">
        <f t="array" ref="N477">_xlfn.IFS(I477="AEX",H477/400,I477="RP",H477/200)</f>
        <v>23.177499999999998</v>
      </c>
      <c r="P477" s="75" t="e">
        <f>H477/O477</f>
        <v>#DIV/0!</v>
      </c>
      <c r="Q477" s="3" t="e" cm="1">
        <f t="array" ref="Q477">_xlfn.IFS(P477&lt;200, "10", P477&lt;400, "12", P477&lt;600, "14", P477&gt;600, "16")</f>
        <v>#DIV/0!</v>
      </c>
      <c r="R477" s="75">
        <f>IF(I477="AEX",H477*0.3/400,H477*0.3/200)</f>
        <v>6.9532499999999997</v>
      </c>
      <c r="S477" s="75" t="e">
        <f>R477/O477</f>
        <v>#DIV/0!</v>
      </c>
      <c r="U477" s="306">
        <f>T477/H477*100</f>
        <v>0</v>
      </c>
    </row>
    <row r="478" spans="1:30" x14ac:dyDescent="0.35">
      <c r="A478" s="351">
        <v>46045</v>
      </c>
      <c r="B478" s="76" t="s">
        <v>842</v>
      </c>
      <c r="C478" s="71" t="s">
        <v>104</v>
      </c>
      <c r="D478" s="3" t="s">
        <v>876</v>
      </c>
      <c r="E478" s="3" t="s">
        <v>86</v>
      </c>
      <c r="F478" s="3" t="s">
        <v>87</v>
      </c>
      <c r="G478" s="3" t="s">
        <v>87</v>
      </c>
      <c r="H478" s="76">
        <v>35251</v>
      </c>
      <c r="I478" s="3" t="s">
        <v>88</v>
      </c>
      <c r="K478" s="3" t="s">
        <v>479</v>
      </c>
      <c r="L478" s="326" t="s">
        <v>454</v>
      </c>
      <c r="M478" s="3" t="s">
        <v>502</v>
      </c>
      <c r="N478" s="356" cm="1">
        <f t="array" ref="N478">_xlfn.IFS(I478="AEX",H478/400,I478="RP",H478/200)</f>
        <v>88.127499999999998</v>
      </c>
      <c r="O478" s="3">
        <v>288</v>
      </c>
      <c r="P478" s="75">
        <f>H478/O478</f>
        <v>122.39930555555556</v>
      </c>
      <c r="Q478" s="3" t="str" cm="1">
        <f t="array" ref="Q478">_xlfn.IFS(P478&lt;200, "10", P478&lt;400, "12", P478&lt;600, "14", P478&gt;600, "16")</f>
        <v>10</v>
      </c>
      <c r="R478" s="75">
        <f>IF(I478="AEX",H478*0.3/400,H478*0.3/200)</f>
        <v>26.438249999999996</v>
      </c>
      <c r="S478" s="75">
        <f>R478/O478</f>
        <v>9.1799479166666656E-2</v>
      </c>
      <c r="T478" s="76">
        <v>7910.48</v>
      </c>
      <c r="U478" s="306">
        <f t="shared" si="128"/>
        <v>22.440441405917561</v>
      </c>
      <c r="V478" s="76">
        <v>223.46</v>
      </c>
      <c r="W478" s="3" t="s">
        <v>91</v>
      </c>
      <c r="X478" s="2">
        <v>46045</v>
      </c>
      <c r="Y478" s="3" t="s">
        <v>97</v>
      </c>
      <c r="Z478" s="3" t="s">
        <v>87</v>
      </c>
      <c r="AA478" s="76">
        <v>7994.22</v>
      </c>
      <c r="AB478" s="76">
        <v>307.47000000000003</v>
      </c>
    </row>
    <row r="479" spans="1:30" x14ac:dyDescent="0.35">
      <c r="A479" s="351">
        <v>46048</v>
      </c>
      <c r="B479" s="76" t="s">
        <v>889</v>
      </c>
      <c r="C479" s="71" t="s">
        <v>104</v>
      </c>
      <c r="D479" s="3" t="s">
        <v>888</v>
      </c>
      <c r="E479" s="3" t="s">
        <v>87</v>
      </c>
      <c r="F479" s="3" t="s">
        <v>87</v>
      </c>
      <c r="G479" s="3" t="s">
        <v>87</v>
      </c>
      <c r="H479" s="76">
        <v>3500</v>
      </c>
      <c r="I479" s="3" t="s">
        <v>88</v>
      </c>
      <c r="J479" s="3" t="s">
        <v>90</v>
      </c>
      <c r="K479" s="3" t="s">
        <v>479</v>
      </c>
      <c r="L479" s="326" t="s">
        <v>454</v>
      </c>
      <c r="M479" s="3" t="s">
        <v>502</v>
      </c>
      <c r="N479" s="356" cm="1">
        <f t="array" ref="N479">_xlfn.IFS(I479="AEX",H479/400,I479="RP",H479/200)</f>
        <v>8.75</v>
      </c>
      <c r="O479" s="3">
        <v>16.100000000000001</v>
      </c>
      <c r="P479" s="75">
        <f t="shared" si="115"/>
        <v>217.39130434782606</v>
      </c>
      <c r="Q479" s="3" t="str" cm="1">
        <f t="array" ref="Q479">_xlfn.IFS(P479&lt;200, "10", P479&lt;400, "12", P479&lt;600, "14", P479&gt;600, "16")</f>
        <v>12</v>
      </c>
      <c r="R479" s="75">
        <f t="shared" ref="R479:R511" si="129">IF(I479="AEX",H479*0.3/400,H479*0.3/200)</f>
        <v>2.625</v>
      </c>
      <c r="S479" s="75">
        <f t="shared" si="116"/>
        <v>0.16304347826086954</v>
      </c>
      <c r="U479" s="306">
        <f t="shared" si="128"/>
        <v>0</v>
      </c>
      <c r="Y479" s="3" t="s">
        <v>172</v>
      </c>
    </row>
    <row r="480" spans="1:30" x14ac:dyDescent="0.35">
      <c r="A480" s="351">
        <v>46049</v>
      </c>
      <c r="B480" s="76" t="s">
        <v>846</v>
      </c>
      <c r="C480" s="71" t="s">
        <v>104</v>
      </c>
      <c r="D480" s="3"/>
      <c r="E480" s="3" t="s">
        <v>86</v>
      </c>
      <c r="F480" s="3" t="s">
        <v>87</v>
      </c>
      <c r="G480" s="3" t="s">
        <v>87</v>
      </c>
      <c r="H480" s="76">
        <v>48067</v>
      </c>
      <c r="I480" s="3" t="s">
        <v>88</v>
      </c>
      <c r="J480" s="3" t="s">
        <v>377</v>
      </c>
      <c r="K480" s="3" t="s">
        <v>479</v>
      </c>
      <c r="L480" s="326" t="s">
        <v>454</v>
      </c>
      <c r="M480" s="3" t="s">
        <v>502</v>
      </c>
      <c r="N480" s="356" cm="1">
        <f t="array" ref="N480">_xlfn.IFS(I480="AEX",H480/400,I480="RP",H480/200)</f>
        <v>120.1675</v>
      </c>
      <c r="O480" s="3">
        <v>288</v>
      </c>
      <c r="P480" s="75">
        <f t="shared" si="115"/>
        <v>166.89930555555554</v>
      </c>
      <c r="Q480" s="3" t="str" cm="1">
        <f t="array" ref="Q480">_xlfn.IFS(P480&lt;200, "10", P480&lt;400, "12", P480&lt;600, "14", P480&gt;600, "16")</f>
        <v>10</v>
      </c>
      <c r="R480" s="75">
        <f t="shared" si="129"/>
        <v>36.050249999999998</v>
      </c>
      <c r="S480" s="75">
        <f t="shared" si="116"/>
        <v>0.12517447916666666</v>
      </c>
      <c r="T480" s="76">
        <v>10431.790000000001</v>
      </c>
      <c r="U480" s="306">
        <f t="shared" si="128"/>
        <v>21.70260261718019</v>
      </c>
      <c r="V480" s="76">
        <v>175.03</v>
      </c>
    </row>
    <row r="481" spans="1:21" x14ac:dyDescent="0.35">
      <c r="A481" s="351">
        <v>46049</v>
      </c>
      <c r="B481" s="76" t="s">
        <v>903</v>
      </c>
      <c r="C481" s="71" t="s">
        <v>909</v>
      </c>
      <c r="D481" s="3"/>
      <c r="E481" s="3" t="s">
        <v>86</v>
      </c>
      <c r="F481" s="3" t="s">
        <v>87</v>
      </c>
      <c r="G481" s="3" t="s">
        <v>87</v>
      </c>
      <c r="H481" s="76">
        <v>29628</v>
      </c>
      <c r="I481" s="3" t="s">
        <v>88</v>
      </c>
      <c r="J481" s="3" t="s">
        <v>377</v>
      </c>
      <c r="K481" s="3" t="s">
        <v>634</v>
      </c>
      <c r="L481" s="326" t="s">
        <v>454</v>
      </c>
      <c r="M481" s="3" t="s">
        <v>502</v>
      </c>
      <c r="N481" s="356" cm="1">
        <f t="array" ref="N481">_xlfn.IFS(I481="AEX",H481/400,I481="RP",H481/200)</f>
        <v>74.069999999999993</v>
      </c>
      <c r="O481" s="3">
        <v>288</v>
      </c>
      <c r="P481" s="75">
        <f t="shared" si="115"/>
        <v>102.875</v>
      </c>
      <c r="Q481" s="3">
        <v>12</v>
      </c>
      <c r="R481" s="75">
        <f t="shared" si="129"/>
        <v>22.221</v>
      </c>
      <c r="S481" s="75">
        <f t="shared" si="116"/>
        <v>7.7156249999999996E-2</v>
      </c>
      <c r="U481" s="306">
        <f t="shared" si="128"/>
        <v>0</v>
      </c>
    </row>
    <row r="482" spans="1:21" x14ac:dyDescent="0.35">
      <c r="B482" s="76" t="s">
        <v>904</v>
      </c>
      <c r="C482" s="71" t="s">
        <v>860</v>
      </c>
      <c r="E482" s="3" t="s">
        <v>194</v>
      </c>
      <c r="F482" s="3" t="s">
        <v>87</v>
      </c>
      <c r="G482" s="3" t="s">
        <v>87</v>
      </c>
      <c r="H482" s="76">
        <v>62976</v>
      </c>
      <c r="I482" s="3" t="s">
        <v>88</v>
      </c>
      <c r="J482" s="3" t="s">
        <v>377</v>
      </c>
      <c r="K482" s="3" t="s">
        <v>479</v>
      </c>
      <c r="L482" s="326" t="s">
        <v>454</v>
      </c>
      <c r="M482" s="3" t="s">
        <v>502</v>
      </c>
      <c r="N482" s="356" cm="1">
        <f t="array" ref="N482">_xlfn.IFS(I482="AEX",H482/400,I482="RP",H482/200)</f>
        <v>157.44</v>
      </c>
      <c r="O482" s="3">
        <v>177</v>
      </c>
      <c r="P482" s="75">
        <f t="shared" ref="P482" si="130">H482/O482</f>
        <v>355.79661016949154</v>
      </c>
      <c r="Q482" s="3">
        <v>12</v>
      </c>
      <c r="R482" s="75">
        <f t="shared" ref="R482" si="131">IF(I482="AEX",H482*0.3/400,H482*0.3/200)</f>
        <v>47.231999999999999</v>
      </c>
      <c r="S482" s="75">
        <f t="shared" ref="S482" si="132">R482/O482</f>
        <v>0.26684745762711864</v>
      </c>
      <c r="U482" s="306">
        <f t="shared" ref="U482" si="133">T482/H482*100</f>
        <v>0</v>
      </c>
    </row>
    <row r="483" spans="1:21" x14ac:dyDescent="0.35">
      <c r="B483" s="76" t="s">
        <v>907</v>
      </c>
      <c r="C483" s="71" t="s">
        <v>860</v>
      </c>
      <c r="D483" s="3"/>
      <c r="E483" s="3" t="s">
        <v>87</v>
      </c>
      <c r="F483" s="3" t="s">
        <v>87</v>
      </c>
      <c r="G483" s="3" t="s">
        <v>87</v>
      </c>
      <c r="H483" s="76">
        <v>7470</v>
      </c>
      <c r="I483" s="3" t="s">
        <v>88</v>
      </c>
      <c r="K483" s="3" t="s">
        <v>479</v>
      </c>
      <c r="L483" s="326" t="s">
        <v>454</v>
      </c>
      <c r="M483" s="3" t="s">
        <v>502</v>
      </c>
      <c r="N483" s="356" cm="1">
        <f t="array" ref="N483">_xlfn.IFS(I483="AEX",H483/400,I483="RP",H483/200)</f>
        <v>18.675000000000001</v>
      </c>
      <c r="O483" s="3">
        <v>23.5</v>
      </c>
      <c r="P483" s="75">
        <f t="shared" si="115"/>
        <v>317.87234042553189</v>
      </c>
      <c r="Q483" s="3" t="str" cm="1">
        <f t="array" ref="Q483">_xlfn.IFS(P483&lt;200, "10", P483&lt;400, "12", P483&lt;600, "14", P483&gt;600, "16")</f>
        <v>12</v>
      </c>
      <c r="R483" s="75">
        <f t="shared" si="129"/>
        <v>5.6025</v>
      </c>
      <c r="S483" s="75">
        <f t="shared" si="116"/>
        <v>0.23840425531914894</v>
      </c>
      <c r="U483" s="306">
        <f t="shared" si="128"/>
        <v>0</v>
      </c>
    </row>
    <row r="485" spans="1:21" x14ac:dyDescent="0.35">
      <c r="D485" s="3"/>
      <c r="G485" s="3" t="s">
        <v>87</v>
      </c>
      <c r="M485" s="3"/>
      <c r="N485" s="356" t="e" cm="1">
        <f t="array" ref="N485">_xlfn.IFS(I485="AEX",H485/400,I485="RP",H485/200)</f>
        <v>#N/A</v>
      </c>
      <c r="P485" s="75" t="e">
        <f t="shared" si="115"/>
        <v>#DIV/0!</v>
      </c>
      <c r="Q485" s="3" t="e" cm="1">
        <f t="array" ref="Q485">_xlfn.IFS(P485&lt;200, "10", P485&lt;400, "12", P485&lt;600, "14", P485&gt;600, "16")</f>
        <v>#DIV/0!</v>
      </c>
      <c r="R485" s="75">
        <f t="shared" si="129"/>
        <v>0</v>
      </c>
      <c r="S485" s="75" t="e">
        <f t="shared" si="116"/>
        <v>#DIV/0!</v>
      </c>
      <c r="U485" s="306" t="e">
        <f t="shared" si="128"/>
        <v>#DIV/0!</v>
      </c>
    </row>
    <row r="486" spans="1:21" x14ac:dyDescent="0.35">
      <c r="D486" s="3"/>
      <c r="G486" s="3" t="s">
        <v>87</v>
      </c>
      <c r="M486" s="3"/>
      <c r="N486" s="356" t="e" cm="1">
        <f t="array" ref="N486">_xlfn.IFS(I486="AEX",H486/400,I486="RP",H486/200)</f>
        <v>#N/A</v>
      </c>
      <c r="P486" s="75" t="e">
        <f t="shared" si="115"/>
        <v>#DIV/0!</v>
      </c>
      <c r="Q486" s="3" t="e" cm="1">
        <f t="array" ref="Q486">_xlfn.IFS(P486&lt;200, "10", P486&lt;400, "12", P486&lt;600, "14", P486&gt;600, "16")</f>
        <v>#DIV/0!</v>
      </c>
      <c r="R486" s="75">
        <f t="shared" si="129"/>
        <v>0</v>
      </c>
      <c r="S486" s="75" t="e">
        <f t="shared" si="116"/>
        <v>#DIV/0!</v>
      </c>
      <c r="U486" s="306" t="e">
        <f t="shared" si="128"/>
        <v>#DIV/0!</v>
      </c>
    </row>
    <row r="487" spans="1:21" x14ac:dyDescent="0.35">
      <c r="B487" s="76" t="s">
        <v>841</v>
      </c>
      <c r="D487" s="3" t="s">
        <v>876</v>
      </c>
      <c r="E487" s="3" t="s">
        <v>87</v>
      </c>
      <c r="F487" s="3" t="s">
        <v>87</v>
      </c>
      <c r="G487" s="3" t="s">
        <v>87</v>
      </c>
      <c r="I487" s="3" t="s">
        <v>88</v>
      </c>
      <c r="K487" s="3" t="s">
        <v>479</v>
      </c>
      <c r="L487" s="326" t="s">
        <v>454</v>
      </c>
      <c r="M487" s="3" t="s">
        <v>502</v>
      </c>
      <c r="N487" s="356" cm="1">
        <f t="array" ref="N487">_xlfn.IFS(I487="AEX",H487/400,I487="RP",H487/200)</f>
        <v>0</v>
      </c>
      <c r="P487" s="75" t="e">
        <f>H487/O487</f>
        <v>#DIV/0!</v>
      </c>
      <c r="Q487" s="3" t="e" cm="1">
        <f t="array" ref="Q487">_xlfn.IFS(P487&lt;200, "10", P487&lt;400, "12", P487&lt;600, "14", P487&gt;600, "16")</f>
        <v>#DIV/0!</v>
      </c>
      <c r="R487" s="75">
        <f>IF(I487="AEX",H487*0.3/400,H487*0.3/200)</f>
        <v>0</v>
      </c>
      <c r="S487" s="75" t="e">
        <f>R487/O487</f>
        <v>#DIV/0!</v>
      </c>
      <c r="U487" s="306" t="e">
        <f>T487/H487*100</f>
        <v>#DIV/0!</v>
      </c>
    </row>
    <row r="488" spans="1:21" x14ac:dyDescent="0.35">
      <c r="D488" s="3"/>
      <c r="G488" s="3" t="s">
        <v>87</v>
      </c>
      <c r="M488" s="3"/>
      <c r="N488" s="356" t="e" cm="1">
        <f t="array" ref="N488">_xlfn.IFS(I488="AEX",H488/400,I488="RP",H488/200)</f>
        <v>#N/A</v>
      </c>
      <c r="P488" s="75" t="e">
        <f t="shared" si="115"/>
        <v>#DIV/0!</v>
      </c>
      <c r="Q488" s="3" t="e" cm="1">
        <f t="array" ref="Q488">_xlfn.IFS(P488&lt;200, "10", P488&lt;400, "12", P488&lt;600, "14", P488&gt;600, "16")</f>
        <v>#DIV/0!</v>
      </c>
      <c r="R488" s="75">
        <f t="shared" si="129"/>
        <v>0</v>
      </c>
      <c r="S488" s="75" t="e">
        <f t="shared" si="116"/>
        <v>#DIV/0!</v>
      </c>
      <c r="U488" s="306" t="e">
        <f t="shared" si="128"/>
        <v>#DIV/0!</v>
      </c>
    </row>
    <row r="489" spans="1:21" x14ac:dyDescent="0.35">
      <c r="D489" s="3"/>
      <c r="G489" s="3" t="s">
        <v>87</v>
      </c>
      <c r="M489" s="3"/>
      <c r="N489" s="356" t="e" cm="1">
        <f t="array" ref="N489">_xlfn.IFS(I489="AEX",H489/400,I489="RP",H489/200)</f>
        <v>#N/A</v>
      </c>
      <c r="P489" s="75" t="e">
        <f t="shared" si="115"/>
        <v>#DIV/0!</v>
      </c>
      <c r="Q489" s="3" t="e" cm="1">
        <f t="array" ref="Q489">_xlfn.IFS(P489&lt;200, "10", P489&lt;400, "12", P489&lt;600, "14", P489&gt;600, "16")</f>
        <v>#DIV/0!</v>
      </c>
      <c r="R489" s="75">
        <f t="shared" si="129"/>
        <v>0</v>
      </c>
      <c r="S489" s="75" t="e">
        <f t="shared" si="116"/>
        <v>#DIV/0!</v>
      </c>
      <c r="U489" s="306" t="e">
        <f t="shared" si="128"/>
        <v>#DIV/0!</v>
      </c>
    </row>
    <row r="490" spans="1:21" x14ac:dyDescent="0.35">
      <c r="D490" s="3"/>
      <c r="G490" s="3" t="s">
        <v>87</v>
      </c>
      <c r="M490" s="3"/>
      <c r="N490" s="356" t="e" cm="1">
        <f t="array" ref="N490">_xlfn.IFS(I490="AEX",H490/400,I490="RP",H490/200)</f>
        <v>#N/A</v>
      </c>
      <c r="P490" s="75" t="e">
        <f t="shared" si="115"/>
        <v>#DIV/0!</v>
      </c>
      <c r="Q490" s="3" t="e" cm="1">
        <f t="array" ref="Q490">_xlfn.IFS(P490&lt;200, "10", P490&lt;400, "12", P490&lt;600, "14", P490&gt;600, "16")</f>
        <v>#DIV/0!</v>
      </c>
      <c r="R490" s="75">
        <f t="shared" si="129"/>
        <v>0</v>
      </c>
      <c r="S490" s="75" t="e">
        <f t="shared" si="116"/>
        <v>#DIV/0!</v>
      </c>
      <c r="U490" s="306" t="e">
        <f t="shared" si="128"/>
        <v>#DIV/0!</v>
      </c>
    </row>
    <row r="491" spans="1:21" x14ac:dyDescent="0.35">
      <c r="D491" s="3"/>
      <c r="G491" s="3" t="s">
        <v>87</v>
      </c>
      <c r="M491" s="3"/>
      <c r="N491" s="356" t="e" cm="1">
        <f t="array" ref="N491">_xlfn.IFS(I491="AEX",H491/400,I491="RP",H491/200)</f>
        <v>#N/A</v>
      </c>
      <c r="P491" s="75" t="e">
        <f t="shared" si="115"/>
        <v>#DIV/0!</v>
      </c>
      <c r="Q491" s="3" t="e" cm="1">
        <f t="array" ref="Q491">_xlfn.IFS(P491&lt;200, "10", P491&lt;400, "12", P491&lt;600, "14", P491&gt;600, "16")</f>
        <v>#DIV/0!</v>
      </c>
      <c r="R491" s="75">
        <f t="shared" si="129"/>
        <v>0</v>
      </c>
      <c r="S491" s="75" t="e">
        <f t="shared" si="116"/>
        <v>#DIV/0!</v>
      </c>
      <c r="U491" s="306" t="e">
        <f t="shared" si="128"/>
        <v>#DIV/0!</v>
      </c>
    </row>
    <row r="492" spans="1:21" x14ac:dyDescent="0.35">
      <c r="D492" s="3"/>
      <c r="G492" s="3" t="s">
        <v>87</v>
      </c>
      <c r="M492" s="3"/>
      <c r="N492" s="356" t="e" cm="1">
        <f t="array" ref="N492">_xlfn.IFS(I492="AEX",H492/400,I492="RP",H492/200)</f>
        <v>#N/A</v>
      </c>
      <c r="P492" s="75" t="e">
        <f t="shared" si="115"/>
        <v>#DIV/0!</v>
      </c>
      <c r="Q492" s="3" t="e" cm="1">
        <f t="array" ref="Q492">_xlfn.IFS(P492&lt;200, "10", P492&lt;400, "12", P492&lt;600, "14", P492&gt;600, "16")</f>
        <v>#DIV/0!</v>
      </c>
      <c r="R492" s="75">
        <f t="shared" si="129"/>
        <v>0</v>
      </c>
      <c r="S492" s="75" t="e">
        <f t="shared" si="116"/>
        <v>#DIV/0!</v>
      </c>
      <c r="U492" s="306" t="e">
        <f t="shared" si="128"/>
        <v>#DIV/0!</v>
      </c>
    </row>
    <row r="493" spans="1:21" x14ac:dyDescent="0.35">
      <c r="D493" s="3"/>
      <c r="G493" s="3" t="s">
        <v>87</v>
      </c>
      <c r="M493" s="3"/>
      <c r="N493" s="356" t="e" cm="1">
        <f t="array" ref="N493">_xlfn.IFS(I493="AEX",H493/400,I493="RP",H493/200)</f>
        <v>#N/A</v>
      </c>
      <c r="P493" s="75" t="e">
        <f t="shared" ref="P493:P556" si="134">H493/O493</f>
        <v>#DIV/0!</v>
      </c>
      <c r="Q493" s="3" t="e" cm="1">
        <f t="array" ref="Q493">_xlfn.IFS(P493&lt;200, "10", P493&lt;400, "12", P493&lt;600, "14", P493&gt;600, "16")</f>
        <v>#DIV/0!</v>
      </c>
      <c r="R493" s="75">
        <f t="shared" si="129"/>
        <v>0</v>
      </c>
      <c r="S493" s="75" t="e">
        <f t="shared" ref="S493:S556" si="135">R493/O493</f>
        <v>#DIV/0!</v>
      </c>
      <c r="U493" s="306" t="e">
        <f t="shared" si="128"/>
        <v>#DIV/0!</v>
      </c>
    </row>
    <row r="494" spans="1:21" x14ac:dyDescent="0.35">
      <c r="D494" s="3"/>
      <c r="G494" s="3" t="s">
        <v>87</v>
      </c>
      <c r="M494" s="3"/>
      <c r="N494" s="356" t="e" cm="1">
        <f t="array" ref="N494">_xlfn.IFS(I494="AEX",H494/400,I494="RP",H494/200)</f>
        <v>#N/A</v>
      </c>
      <c r="P494" s="75" t="e">
        <f t="shared" si="134"/>
        <v>#DIV/0!</v>
      </c>
      <c r="Q494" s="3" t="e" cm="1">
        <f t="array" ref="Q494">_xlfn.IFS(P494&lt;200, "10", P494&lt;400, "12", P494&lt;600, "14", P494&gt;600, "16")</f>
        <v>#DIV/0!</v>
      </c>
      <c r="R494" s="75">
        <f t="shared" si="129"/>
        <v>0</v>
      </c>
      <c r="S494" s="75" t="e">
        <f t="shared" si="135"/>
        <v>#DIV/0!</v>
      </c>
      <c r="U494" s="306" t="e">
        <f t="shared" si="128"/>
        <v>#DIV/0!</v>
      </c>
    </row>
    <row r="495" spans="1:21" x14ac:dyDescent="0.35">
      <c r="D495" s="3"/>
      <c r="G495" s="3" t="s">
        <v>87</v>
      </c>
      <c r="M495" s="3"/>
      <c r="N495" s="356" t="e" cm="1">
        <f t="array" ref="N495">_xlfn.IFS(I495="AEX",H495/400,I495="RP",H495/200)</f>
        <v>#N/A</v>
      </c>
      <c r="P495" s="75" t="e">
        <f t="shared" si="134"/>
        <v>#DIV/0!</v>
      </c>
      <c r="Q495" s="3" t="e" cm="1">
        <f t="array" ref="Q495">_xlfn.IFS(P495&lt;200, "10", P495&lt;400, "12", P495&lt;600, "14", P495&gt;600, "16")</f>
        <v>#DIV/0!</v>
      </c>
      <c r="R495" s="75">
        <f t="shared" si="129"/>
        <v>0</v>
      </c>
      <c r="S495" s="75" t="e">
        <f t="shared" si="135"/>
        <v>#DIV/0!</v>
      </c>
      <c r="U495" s="306" t="e">
        <f t="shared" si="128"/>
        <v>#DIV/0!</v>
      </c>
    </row>
    <row r="496" spans="1:21" x14ac:dyDescent="0.35">
      <c r="D496" s="3"/>
      <c r="G496" s="3" t="s">
        <v>87</v>
      </c>
      <c r="M496" s="3"/>
      <c r="N496" s="356" t="e" cm="1">
        <f t="array" ref="N496">_xlfn.IFS(I496="AEX",H496/400,I496="RP",H496/200)</f>
        <v>#N/A</v>
      </c>
      <c r="P496" s="75" t="e">
        <f t="shared" si="134"/>
        <v>#DIV/0!</v>
      </c>
      <c r="Q496" s="3" t="e" cm="1">
        <f t="array" ref="Q496">_xlfn.IFS(P496&lt;200, "10", P496&lt;400, "12", P496&lt;600, "14", P496&gt;600, "16")</f>
        <v>#DIV/0!</v>
      </c>
      <c r="R496" s="75">
        <f t="shared" si="129"/>
        <v>0</v>
      </c>
      <c r="S496" s="75" t="e">
        <f t="shared" si="135"/>
        <v>#DIV/0!</v>
      </c>
      <c r="U496" s="306" t="e">
        <f t="shared" si="128"/>
        <v>#DIV/0!</v>
      </c>
    </row>
    <row r="497" spans="4:21" x14ac:dyDescent="0.35">
      <c r="D497" s="3"/>
      <c r="G497" s="3" t="s">
        <v>87</v>
      </c>
      <c r="M497" s="3"/>
      <c r="N497" s="356" t="e" cm="1">
        <f t="array" ref="N497">_xlfn.IFS(I497="AEX",H497/400,I497="RP",H497/200)</f>
        <v>#N/A</v>
      </c>
      <c r="P497" s="75" t="e">
        <f t="shared" si="134"/>
        <v>#DIV/0!</v>
      </c>
      <c r="Q497" s="3" t="e" cm="1">
        <f t="array" ref="Q497">_xlfn.IFS(P497&lt;200, "10", P497&lt;400, "12", P497&lt;600, "14", P497&gt;600, "16")</f>
        <v>#DIV/0!</v>
      </c>
      <c r="R497" s="75">
        <f t="shared" si="129"/>
        <v>0</v>
      </c>
      <c r="S497" s="75" t="e">
        <f t="shared" si="135"/>
        <v>#DIV/0!</v>
      </c>
      <c r="U497" s="306" t="e">
        <f t="shared" si="128"/>
        <v>#DIV/0!</v>
      </c>
    </row>
    <row r="498" spans="4:21" x14ac:dyDescent="0.35">
      <c r="D498" s="3"/>
      <c r="G498" s="3" t="s">
        <v>87</v>
      </c>
      <c r="M498" s="3"/>
      <c r="N498" s="356" t="e" cm="1">
        <f t="array" ref="N498">_xlfn.IFS(I498="AEX",H498/400,I498="RP",H498/200)</f>
        <v>#N/A</v>
      </c>
      <c r="P498" s="75" t="e">
        <f t="shared" si="134"/>
        <v>#DIV/0!</v>
      </c>
      <c r="Q498" s="3" t="e" cm="1">
        <f t="array" ref="Q498">_xlfn.IFS(P498&lt;200, "10", P498&lt;400, "12", P498&lt;600, "14", P498&gt;600, "16")</f>
        <v>#DIV/0!</v>
      </c>
      <c r="R498" s="75">
        <f t="shared" si="129"/>
        <v>0</v>
      </c>
      <c r="S498" s="75" t="e">
        <f t="shared" si="135"/>
        <v>#DIV/0!</v>
      </c>
      <c r="U498" s="306" t="e">
        <f t="shared" si="128"/>
        <v>#DIV/0!</v>
      </c>
    </row>
    <row r="499" spans="4:21" x14ac:dyDescent="0.35">
      <c r="D499" s="3"/>
      <c r="G499" s="3" t="s">
        <v>87</v>
      </c>
      <c r="M499" s="3"/>
      <c r="N499" s="356" t="e" cm="1">
        <f t="array" ref="N499">_xlfn.IFS(I499="AEX",H499/400,I499="RP",H499/200)</f>
        <v>#N/A</v>
      </c>
      <c r="P499" s="75" t="e">
        <f t="shared" si="134"/>
        <v>#DIV/0!</v>
      </c>
      <c r="Q499" s="3" t="e" cm="1">
        <f t="array" ref="Q499">_xlfn.IFS(P499&lt;200, "10", P499&lt;400, "12", P499&lt;600, "14", P499&gt;600, "16")</f>
        <v>#DIV/0!</v>
      </c>
      <c r="R499" s="75">
        <f t="shared" si="129"/>
        <v>0</v>
      </c>
      <c r="S499" s="75" t="e">
        <f t="shared" si="135"/>
        <v>#DIV/0!</v>
      </c>
      <c r="U499" s="306" t="e">
        <f t="shared" si="128"/>
        <v>#DIV/0!</v>
      </c>
    </row>
    <row r="500" spans="4:21" x14ac:dyDescent="0.35">
      <c r="D500" s="3"/>
      <c r="F500" s="3">
        <v>0.01</v>
      </c>
      <c r="G500" s="3" t="s">
        <v>87</v>
      </c>
      <c r="M500" s="3"/>
      <c r="N500" s="356" t="e" cm="1">
        <f t="array" ref="N500">_xlfn.IFS(I500="AEX",H500/400,I500="RP",H500/200)</f>
        <v>#N/A</v>
      </c>
      <c r="P500" s="75" t="e">
        <f t="shared" si="134"/>
        <v>#DIV/0!</v>
      </c>
      <c r="Q500" s="3" t="e" cm="1">
        <f t="array" ref="Q500">_xlfn.IFS(P500&lt;200, "10", P500&lt;400, "12", P500&lt;600, "14", P500&gt;600, "16")</f>
        <v>#DIV/0!</v>
      </c>
      <c r="R500" s="75">
        <f t="shared" si="129"/>
        <v>0</v>
      </c>
      <c r="S500" s="75" t="e">
        <f t="shared" si="135"/>
        <v>#DIV/0!</v>
      </c>
      <c r="U500" s="306" t="e">
        <f t="shared" si="128"/>
        <v>#DIV/0!</v>
      </c>
    </row>
    <row r="501" spans="4:21" x14ac:dyDescent="0.35">
      <c r="D501" s="3"/>
      <c r="F501" s="3">
        <v>0.05</v>
      </c>
      <c r="G501" s="3" t="s">
        <v>87</v>
      </c>
      <c r="M501" s="3"/>
      <c r="N501" s="356" t="e" cm="1">
        <f t="array" ref="N501">_xlfn.IFS(I501="AEX",H501/400,I501="RP",H501/200)</f>
        <v>#N/A</v>
      </c>
      <c r="P501" s="75" t="e">
        <f t="shared" si="134"/>
        <v>#DIV/0!</v>
      </c>
      <c r="Q501" s="3" t="e" cm="1">
        <f t="array" ref="Q501">_xlfn.IFS(P501&lt;200, "10", P501&lt;400, "12", P501&lt;600, "14", P501&gt;600, "16")</f>
        <v>#DIV/0!</v>
      </c>
      <c r="R501" s="75">
        <f t="shared" si="129"/>
        <v>0</v>
      </c>
      <c r="S501" s="75" t="e">
        <f t="shared" si="135"/>
        <v>#DIV/0!</v>
      </c>
      <c r="U501" s="306" t="e">
        <f t="shared" si="128"/>
        <v>#DIV/0!</v>
      </c>
    </row>
    <row r="502" spans="4:21" x14ac:dyDescent="0.35">
      <c r="D502" s="3"/>
      <c r="F502" s="3">
        <v>0.1</v>
      </c>
      <c r="G502" s="3" t="s">
        <v>87</v>
      </c>
      <c r="M502" s="3"/>
      <c r="N502" s="356" t="e" cm="1">
        <f t="array" ref="N502">_xlfn.IFS(I502="AEX",H502/400,I502="RP",H502/200)</f>
        <v>#N/A</v>
      </c>
      <c r="P502" s="75" t="e">
        <f t="shared" si="134"/>
        <v>#DIV/0!</v>
      </c>
      <c r="Q502" s="3" t="e" cm="1">
        <f t="array" ref="Q502">_xlfn.IFS(P502&lt;200, "10", P502&lt;400, "12", P502&lt;600, "14", P502&gt;600, "16")</f>
        <v>#DIV/0!</v>
      </c>
      <c r="R502" s="75">
        <f t="shared" si="129"/>
        <v>0</v>
      </c>
      <c r="S502" s="75" t="e">
        <f t="shared" si="135"/>
        <v>#DIV/0!</v>
      </c>
      <c r="U502" s="306" t="e">
        <f t="shared" si="128"/>
        <v>#DIV/0!</v>
      </c>
    </row>
    <row r="503" spans="4:21" x14ac:dyDescent="0.35">
      <c r="D503" s="3"/>
      <c r="F503" s="3">
        <v>0.2</v>
      </c>
      <c r="G503" s="3" t="s">
        <v>87</v>
      </c>
      <c r="M503" s="3"/>
      <c r="N503" s="356" t="e" cm="1">
        <f t="array" ref="N503">_xlfn.IFS(I503="AEX",H503/400,I503="RP",H503/200)</f>
        <v>#N/A</v>
      </c>
      <c r="P503" s="75" t="e">
        <f t="shared" si="134"/>
        <v>#DIV/0!</v>
      </c>
      <c r="Q503" s="3" t="e" cm="1">
        <f t="array" ref="Q503">_xlfn.IFS(P503&lt;200, "10", P503&lt;400, "12", P503&lt;600, "14", P503&gt;600, "16")</f>
        <v>#DIV/0!</v>
      </c>
      <c r="R503" s="75">
        <f t="shared" si="129"/>
        <v>0</v>
      </c>
      <c r="S503" s="75" t="e">
        <f t="shared" si="135"/>
        <v>#DIV/0!</v>
      </c>
      <c r="U503" s="306" t="e">
        <f t="shared" si="128"/>
        <v>#DIV/0!</v>
      </c>
    </row>
    <row r="504" spans="4:21" x14ac:dyDescent="0.35">
      <c r="D504" s="3"/>
      <c r="F504" s="3">
        <v>0.25</v>
      </c>
      <c r="G504" s="3" t="s">
        <v>87</v>
      </c>
      <c r="M504" s="3"/>
      <c r="N504" s="356" t="e" cm="1">
        <f t="array" ref="N504">_xlfn.IFS(I504="AEX",H504/400,I504="RP",H504/200)</f>
        <v>#N/A</v>
      </c>
      <c r="P504" s="75" t="e">
        <f t="shared" si="134"/>
        <v>#DIV/0!</v>
      </c>
      <c r="Q504" s="3" t="e" cm="1">
        <f t="array" ref="Q504">_xlfn.IFS(P504&lt;200, "10", P504&lt;400, "12", P504&lt;600, "14", P504&gt;600, "16")</f>
        <v>#DIV/0!</v>
      </c>
      <c r="R504" s="75">
        <f t="shared" si="129"/>
        <v>0</v>
      </c>
      <c r="S504" s="75" t="e">
        <f t="shared" si="135"/>
        <v>#DIV/0!</v>
      </c>
      <c r="U504" s="306" t="e">
        <f t="shared" si="128"/>
        <v>#DIV/0!</v>
      </c>
    </row>
    <row r="505" spans="4:21" x14ac:dyDescent="0.35">
      <c r="D505" s="3"/>
      <c r="F505" s="3">
        <v>0.5</v>
      </c>
      <c r="G505" s="3" t="s">
        <v>87</v>
      </c>
      <c r="M505" s="3"/>
      <c r="N505" s="356" t="e" cm="1">
        <f t="array" ref="N505">_xlfn.IFS(I505="AEX",H505/400,I505="RP",H505/200)</f>
        <v>#N/A</v>
      </c>
      <c r="P505" s="75" t="e">
        <f t="shared" si="134"/>
        <v>#DIV/0!</v>
      </c>
      <c r="Q505" s="3" t="e" cm="1">
        <f t="array" ref="Q505">_xlfn.IFS(P505&lt;200, "10", P505&lt;400, "12", P505&lt;600, "14", P505&gt;600, "16")</f>
        <v>#DIV/0!</v>
      </c>
      <c r="R505" s="75">
        <f t="shared" si="129"/>
        <v>0</v>
      </c>
      <c r="S505" s="75" t="e">
        <f t="shared" si="135"/>
        <v>#DIV/0!</v>
      </c>
      <c r="U505" s="306" t="e">
        <f t="shared" ref="U505:U536" si="136">T505/H505*100</f>
        <v>#DIV/0!</v>
      </c>
    </row>
    <row r="506" spans="4:21" x14ac:dyDescent="0.35">
      <c r="D506" s="3"/>
      <c r="G506" s="3" t="s">
        <v>87</v>
      </c>
      <c r="M506" s="3"/>
      <c r="N506" s="356" t="e" cm="1">
        <f t="array" ref="N506">_xlfn.IFS(I506="AEX",H506/400,I506="RP",H506/200)</f>
        <v>#N/A</v>
      </c>
      <c r="P506" s="75" t="e">
        <f t="shared" si="134"/>
        <v>#DIV/0!</v>
      </c>
      <c r="Q506" s="3" t="e" cm="1">
        <f t="array" ref="Q506">_xlfn.IFS(P506&lt;200, "10", P506&lt;400, "12", P506&lt;600, "14", P506&gt;600, "16")</f>
        <v>#DIV/0!</v>
      </c>
      <c r="R506" s="75">
        <f t="shared" si="129"/>
        <v>0</v>
      </c>
      <c r="S506" s="75" t="e">
        <f t="shared" si="135"/>
        <v>#DIV/0!</v>
      </c>
      <c r="U506" s="306" t="e">
        <f t="shared" si="136"/>
        <v>#DIV/0!</v>
      </c>
    </row>
    <row r="507" spans="4:21" x14ac:dyDescent="0.35">
      <c r="D507" s="3"/>
      <c r="G507" s="3" t="s">
        <v>87</v>
      </c>
      <c r="M507" s="3"/>
      <c r="N507" s="356" t="e" cm="1">
        <f t="array" ref="N507">_xlfn.IFS(I507="AEX",H507/400,I507="RP",H507/200)</f>
        <v>#N/A</v>
      </c>
      <c r="P507" s="75" t="e">
        <f t="shared" si="134"/>
        <v>#DIV/0!</v>
      </c>
      <c r="Q507" s="3" t="e" cm="1">
        <f t="array" ref="Q507">_xlfn.IFS(P507&lt;200, "10", P507&lt;400, "12", P507&lt;600, "14", P507&gt;600, "16")</f>
        <v>#DIV/0!</v>
      </c>
      <c r="R507" s="75">
        <f t="shared" si="129"/>
        <v>0</v>
      </c>
      <c r="S507" s="75" t="e">
        <f t="shared" si="135"/>
        <v>#DIV/0!</v>
      </c>
      <c r="U507" s="306" t="e">
        <f t="shared" si="136"/>
        <v>#DIV/0!</v>
      </c>
    </row>
    <row r="508" spans="4:21" x14ac:dyDescent="0.35">
      <c r="D508" s="3"/>
      <c r="G508" s="3" t="s">
        <v>87</v>
      </c>
      <c r="M508" s="3"/>
      <c r="N508" s="356" t="e" cm="1">
        <f t="array" ref="N508">_xlfn.IFS(I508="AEX",H508/400,I508="RP",H508/200)</f>
        <v>#N/A</v>
      </c>
      <c r="P508" s="75" t="e">
        <f t="shared" si="134"/>
        <v>#DIV/0!</v>
      </c>
      <c r="Q508" s="3" t="e" cm="1">
        <f t="array" ref="Q508">_xlfn.IFS(P508&lt;200, "10", P508&lt;400, "12", P508&lt;600, "14", P508&gt;600, "16")</f>
        <v>#DIV/0!</v>
      </c>
      <c r="R508" s="75">
        <f t="shared" si="129"/>
        <v>0</v>
      </c>
      <c r="S508" s="75" t="e">
        <f t="shared" si="135"/>
        <v>#DIV/0!</v>
      </c>
      <c r="U508" s="306" t="e">
        <f t="shared" si="136"/>
        <v>#DIV/0!</v>
      </c>
    </row>
    <row r="509" spans="4:21" x14ac:dyDescent="0.35">
      <c r="D509" s="3"/>
      <c r="G509" s="3" t="s">
        <v>87</v>
      </c>
      <c r="M509" s="3"/>
      <c r="N509" s="356" t="e" cm="1">
        <f t="array" ref="N509">_xlfn.IFS(I509="AEX",H509/400,I509="RP",H509/200)</f>
        <v>#N/A</v>
      </c>
      <c r="P509" s="75" t="e">
        <f t="shared" si="134"/>
        <v>#DIV/0!</v>
      </c>
      <c r="Q509" s="3" t="e" cm="1">
        <f t="array" ref="Q509">_xlfn.IFS(P509&lt;200, "10", P509&lt;400, "12", P509&lt;600, "14", P509&gt;600, "16")</f>
        <v>#DIV/0!</v>
      </c>
      <c r="R509" s="75">
        <f t="shared" si="129"/>
        <v>0</v>
      </c>
      <c r="S509" s="75" t="e">
        <f t="shared" si="135"/>
        <v>#DIV/0!</v>
      </c>
      <c r="U509" s="306" t="e">
        <f t="shared" si="136"/>
        <v>#DIV/0!</v>
      </c>
    </row>
    <row r="510" spans="4:21" x14ac:dyDescent="0.35">
      <c r="D510" s="3"/>
      <c r="G510" s="3" t="s">
        <v>87</v>
      </c>
      <c r="M510" s="3"/>
      <c r="N510" s="356" t="e" cm="1">
        <f t="array" ref="N510">_xlfn.IFS(I510="AEX",H510/400,I510="RP",H510/200)</f>
        <v>#N/A</v>
      </c>
      <c r="P510" s="75" t="e">
        <f t="shared" si="134"/>
        <v>#DIV/0!</v>
      </c>
      <c r="Q510" s="3" t="e" cm="1">
        <f t="array" ref="Q510">_xlfn.IFS(P510&lt;200, "10", P510&lt;400, "12", P510&lt;600, "14", P510&gt;600, "16")</f>
        <v>#DIV/0!</v>
      </c>
      <c r="R510" s="75">
        <f t="shared" si="129"/>
        <v>0</v>
      </c>
      <c r="S510" s="75" t="e">
        <f t="shared" si="135"/>
        <v>#DIV/0!</v>
      </c>
      <c r="U510" s="306" t="e">
        <f t="shared" si="136"/>
        <v>#DIV/0!</v>
      </c>
    </row>
    <row r="511" spans="4:21" x14ac:dyDescent="0.35">
      <c r="D511" s="3"/>
      <c r="G511" s="3" t="s">
        <v>87</v>
      </c>
      <c r="M511" s="3"/>
      <c r="N511" s="356" t="e" cm="1">
        <f t="array" ref="N511">_xlfn.IFS(I511="AEX",H511/400,I511="RP",H511/200)</f>
        <v>#N/A</v>
      </c>
      <c r="P511" s="75" t="e">
        <f t="shared" si="134"/>
        <v>#DIV/0!</v>
      </c>
      <c r="Q511" s="3" t="e" cm="1">
        <f t="array" ref="Q511">_xlfn.IFS(P511&lt;200, "10", P511&lt;400, "12", P511&lt;600, "14", P511&gt;600, "16")</f>
        <v>#DIV/0!</v>
      </c>
      <c r="R511" s="75">
        <f t="shared" si="129"/>
        <v>0</v>
      </c>
      <c r="S511" s="75" t="e">
        <f t="shared" si="135"/>
        <v>#DIV/0!</v>
      </c>
      <c r="U511" s="306" t="e">
        <f t="shared" si="136"/>
        <v>#DIV/0!</v>
      </c>
    </row>
    <row r="512" spans="4:21" x14ac:dyDescent="0.35">
      <c r="D512" s="3"/>
      <c r="G512" s="3" t="s">
        <v>87</v>
      </c>
      <c r="M512" s="3"/>
      <c r="N512" s="356" t="e" cm="1">
        <f t="array" ref="N512">_xlfn.IFS(I512="AEX",H512/400,I512="RP",H512/200)</f>
        <v>#N/A</v>
      </c>
      <c r="P512" s="75" t="e">
        <f t="shared" si="134"/>
        <v>#DIV/0!</v>
      </c>
      <c r="Q512" s="3" t="e" cm="1">
        <f t="array" ref="Q512">_xlfn.IFS(P512&lt;200, "10", P512&lt;400, "12", P512&lt;600, "14", P512&gt;600, "16")</f>
        <v>#DIV/0!</v>
      </c>
      <c r="R512" s="75">
        <f t="shared" ref="R512:R543" si="137">IF(I512="AEX",H512*0.3/400,H512*0.3/200)</f>
        <v>0</v>
      </c>
      <c r="S512" s="75" t="e">
        <f t="shared" si="135"/>
        <v>#DIV/0!</v>
      </c>
      <c r="U512" s="306" t="e">
        <f t="shared" si="136"/>
        <v>#DIV/0!</v>
      </c>
    </row>
    <row r="513" spans="4:21" x14ac:dyDescent="0.35">
      <c r="D513" s="3"/>
      <c r="G513" s="3" t="s">
        <v>87</v>
      </c>
      <c r="M513" s="3"/>
      <c r="N513" s="356" t="e" cm="1">
        <f t="array" ref="N513">_xlfn.IFS(I513="AEX",H513/400,I513="RP",H513/200)</f>
        <v>#N/A</v>
      </c>
      <c r="P513" s="75" t="e">
        <f t="shared" si="134"/>
        <v>#DIV/0!</v>
      </c>
      <c r="Q513" s="3" t="e" cm="1">
        <f t="array" ref="Q513">_xlfn.IFS(P513&lt;200, "10", P513&lt;400, "12", P513&lt;600, "14", P513&gt;600, "16")</f>
        <v>#DIV/0!</v>
      </c>
      <c r="R513" s="75">
        <f t="shared" si="137"/>
        <v>0</v>
      </c>
      <c r="S513" s="75" t="e">
        <f t="shared" si="135"/>
        <v>#DIV/0!</v>
      </c>
      <c r="U513" s="306" t="e">
        <f t="shared" si="136"/>
        <v>#DIV/0!</v>
      </c>
    </row>
    <row r="514" spans="4:21" x14ac:dyDescent="0.35">
      <c r="D514" s="3"/>
      <c r="G514" s="3" t="s">
        <v>87</v>
      </c>
      <c r="M514" s="3"/>
      <c r="N514" s="356" t="e" cm="1">
        <f t="array" ref="N514">_xlfn.IFS(I514="AEX",H514/400,I514="RP",H514/200)</f>
        <v>#N/A</v>
      </c>
      <c r="P514" s="75" t="e">
        <f t="shared" si="134"/>
        <v>#DIV/0!</v>
      </c>
      <c r="Q514" s="3" t="e" cm="1">
        <f t="array" ref="Q514">_xlfn.IFS(P514&lt;200, "10", P514&lt;400, "12", P514&lt;600, "14", P514&gt;600, "16")</f>
        <v>#DIV/0!</v>
      </c>
      <c r="R514" s="75">
        <f t="shared" si="137"/>
        <v>0</v>
      </c>
      <c r="S514" s="75" t="e">
        <f t="shared" si="135"/>
        <v>#DIV/0!</v>
      </c>
      <c r="U514" s="306" t="e">
        <f t="shared" si="136"/>
        <v>#DIV/0!</v>
      </c>
    </row>
    <row r="515" spans="4:21" x14ac:dyDescent="0.35">
      <c r="D515" s="3"/>
      <c r="G515" s="3" t="s">
        <v>87</v>
      </c>
      <c r="M515" s="3"/>
      <c r="N515" s="356" t="e" cm="1">
        <f t="array" ref="N515">_xlfn.IFS(I515="AEX",H515/400,I515="RP",H515/200)</f>
        <v>#N/A</v>
      </c>
      <c r="P515" s="75" t="e">
        <f t="shared" si="134"/>
        <v>#DIV/0!</v>
      </c>
      <c r="Q515" s="3" t="e" cm="1">
        <f t="array" ref="Q515">_xlfn.IFS(P515&lt;200, "10", P515&lt;400, "12", P515&lt;600, "14", P515&gt;600, "16")</f>
        <v>#DIV/0!</v>
      </c>
      <c r="R515" s="75">
        <f t="shared" si="137"/>
        <v>0</v>
      </c>
      <c r="S515" s="75" t="e">
        <f t="shared" si="135"/>
        <v>#DIV/0!</v>
      </c>
      <c r="U515" s="306" t="e">
        <f t="shared" si="136"/>
        <v>#DIV/0!</v>
      </c>
    </row>
    <row r="516" spans="4:21" x14ac:dyDescent="0.35">
      <c r="D516" s="3"/>
      <c r="G516" s="3" t="s">
        <v>87</v>
      </c>
      <c r="M516" s="3"/>
      <c r="N516" s="356" t="e" cm="1">
        <f t="array" ref="N516">_xlfn.IFS(I516="AEX",H516/400,I516="RP",H516/200)</f>
        <v>#N/A</v>
      </c>
      <c r="P516" s="75" t="e">
        <f t="shared" si="134"/>
        <v>#DIV/0!</v>
      </c>
      <c r="Q516" s="3" t="e" cm="1">
        <f t="array" ref="Q516">_xlfn.IFS(P516&lt;200, "10", P516&lt;400, "12", P516&lt;600, "14", P516&gt;600, "16")</f>
        <v>#DIV/0!</v>
      </c>
      <c r="R516" s="75">
        <f t="shared" si="137"/>
        <v>0</v>
      </c>
      <c r="S516" s="75" t="e">
        <f t="shared" si="135"/>
        <v>#DIV/0!</v>
      </c>
      <c r="U516" s="306" t="e">
        <f t="shared" si="136"/>
        <v>#DIV/0!</v>
      </c>
    </row>
    <row r="517" spans="4:21" x14ac:dyDescent="0.35">
      <c r="D517" s="3"/>
      <c r="G517" s="3" t="s">
        <v>87</v>
      </c>
      <c r="M517" s="3"/>
      <c r="N517" s="356" t="e" cm="1">
        <f t="array" ref="N517">_xlfn.IFS(I517="AEX",H517/400,I517="RP",H517/200)</f>
        <v>#N/A</v>
      </c>
      <c r="P517" s="75" t="e">
        <f t="shared" si="134"/>
        <v>#DIV/0!</v>
      </c>
      <c r="Q517" s="3" t="e" cm="1">
        <f t="array" ref="Q517">_xlfn.IFS(P517&lt;200, "10", P517&lt;400, "12", P517&lt;600, "14", P517&gt;600, "16")</f>
        <v>#DIV/0!</v>
      </c>
      <c r="R517" s="75">
        <f t="shared" si="137"/>
        <v>0</v>
      </c>
      <c r="S517" s="75" t="e">
        <f t="shared" si="135"/>
        <v>#DIV/0!</v>
      </c>
      <c r="U517" s="306" t="e">
        <f t="shared" si="136"/>
        <v>#DIV/0!</v>
      </c>
    </row>
    <row r="518" spans="4:21" x14ac:dyDescent="0.35">
      <c r="D518" s="3"/>
      <c r="G518" s="3" t="s">
        <v>87</v>
      </c>
      <c r="M518" s="3"/>
      <c r="N518" s="356" t="e" cm="1">
        <f t="array" ref="N518">_xlfn.IFS(I518="AEX",H518/400,I518="RP",H518/200)</f>
        <v>#N/A</v>
      </c>
      <c r="P518" s="75" t="e">
        <f t="shared" si="134"/>
        <v>#DIV/0!</v>
      </c>
      <c r="Q518" s="3" t="e" cm="1">
        <f t="array" ref="Q518">_xlfn.IFS(P518&lt;200, "10", P518&lt;400, "12", P518&lt;600, "14", P518&gt;600, "16")</f>
        <v>#DIV/0!</v>
      </c>
      <c r="R518" s="75">
        <f t="shared" si="137"/>
        <v>0</v>
      </c>
      <c r="S518" s="75" t="e">
        <f t="shared" si="135"/>
        <v>#DIV/0!</v>
      </c>
      <c r="U518" s="306" t="e">
        <f t="shared" si="136"/>
        <v>#DIV/0!</v>
      </c>
    </row>
    <row r="519" spans="4:21" x14ac:dyDescent="0.35">
      <c r="D519" s="3"/>
      <c r="G519" s="3" t="s">
        <v>87</v>
      </c>
      <c r="M519" s="3"/>
      <c r="N519" s="356" t="e" cm="1">
        <f t="array" ref="N519">_xlfn.IFS(I519="AEX",H519/400,I519="RP",H519/200)</f>
        <v>#N/A</v>
      </c>
      <c r="P519" s="75" t="e">
        <f t="shared" si="134"/>
        <v>#DIV/0!</v>
      </c>
      <c r="Q519" s="3" t="e" cm="1">
        <f t="array" ref="Q519">_xlfn.IFS(P519&lt;200, "10", P519&lt;400, "12", P519&lt;600, "14", P519&gt;600, "16")</f>
        <v>#DIV/0!</v>
      </c>
      <c r="R519" s="75">
        <f t="shared" si="137"/>
        <v>0</v>
      </c>
      <c r="S519" s="75" t="e">
        <f t="shared" si="135"/>
        <v>#DIV/0!</v>
      </c>
      <c r="U519" s="306" t="e">
        <f t="shared" si="136"/>
        <v>#DIV/0!</v>
      </c>
    </row>
    <row r="520" spans="4:21" x14ac:dyDescent="0.35">
      <c r="D520" s="3"/>
      <c r="G520" s="3" t="s">
        <v>87</v>
      </c>
      <c r="M520" s="3"/>
      <c r="N520" s="356" t="e" cm="1">
        <f t="array" ref="N520">_xlfn.IFS(I520="AEX",H520/400,I520="RP",H520/200)</f>
        <v>#N/A</v>
      </c>
      <c r="P520" s="75" t="e">
        <f t="shared" si="134"/>
        <v>#DIV/0!</v>
      </c>
      <c r="Q520" s="3" t="e" cm="1">
        <f t="array" ref="Q520">_xlfn.IFS(P520&lt;200, "10", P520&lt;400, "12", P520&lt;600, "14", P520&gt;600, "16")</f>
        <v>#DIV/0!</v>
      </c>
      <c r="R520" s="75">
        <f t="shared" si="137"/>
        <v>0</v>
      </c>
      <c r="S520" s="75" t="e">
        <f t="shared" si="135"/>
        <v>#DIV/0!</v>
      </c>
      <c r="U520" s="306" t="e">
        <f t="shared" si="136"/>
        <v>#DIV/0!</v>
      </c>
    </row>
    <row r="521" spans="4:21" x14ac:dyDescent="0.35">
      <c r="D521" s="3"/>
      <c r="G521" s="3" t="s">
        <v>87</v>
      </c>
      <c r="M521" s="3"/>
      <c r="N521" s="356" t="e" cm="1">
        <f t="array" ref="N521">_xlfn.IFS(I521="AEX",H521/400,I521="RP",H521/200)</f>
        <v>#N/A</v>
      </c>
      <c r="P521" s="75" t="e">
        <f t="shared" si="134"/>
        <v>#DIV/0!</v>
      </c>
      <c r="Q521" s="3" t="e" cm="1">
        <f t="array" ref="Q521">_xlfn.IFS(P521&lt;200, "10", P521&lt;400, "12", P521&lt;600, "14", P521&gt;600, "16")</f>
        <v>#DIV/0!</v>
      </c>
      <c r="R521" s="75">
        <f t="shared" si="137"/>
        <v>0</v>
      </c>
      <c r="S521" s="75" t="e">
        <f t="shared" si="135"/>
        <v>#DIV/0!</v>
      </c>
      <c r="U521" s="306" t="e">
        <f t="shared" si="136"/>
        <v>#DIV/0!</v>
      </c>
    </row>
    <row r="522" spans="4:21" x14ac:dyDescent="0.35">
      <c r="D522" s="3"/>
      <c r="G522" s="3" t="s">
        <v>87</v>
      </c>
      <c r="M522" s="3"/>
      <c r="N522" s="356" t="e" cm="1">
        <f t="array" ref="N522">_xlfn.IFS(I522="AEX",H522/400,I522="RP",H522/200)</f>
        <v>#N/A</v>
      </c>
      <c r="P522" s="75" t="e">
        <f t="shared" si="134"/>
        <v>#DIV/0!</v>
      </c>
      <c r="Q522" s="3" t="e" cm="1">
        <f t="array" ref="Q522">_xlfn.IFS(P522&lt;200, "10", P522&lt;400, "12", P522&lt;600, "14", P522&gt;600, "16")</f>
        <v>#DIV/0!</v>
      </c>
      <c r="R522" s="75">
        <f t="shared" si="137"/>
        <v>0</v>
      </c>
      <c r="S522" s="75" t="e">
        <f t="shared" si="135"/>
        <v>#DIV/0!</v>
      </c>
      <c r="U522" s="306" t="e">
        <f t="shared" si="136"/>
        <v>#DIV/0!</v>
      </c>
    </row>
    <row r="523" spans="4:21" x14ac:dyDescent="0.35">
      <c r="D523" s="3"/>
      <c r="G523" s="3" t="s">
        <v>87</v>
      </c>
      <c r="M523" s="3"/>
      <c r="N523" s="356" t="e" cm="1">
        <f t="array" ref="N523">_xlfn.IFS(I523="AEX",H523/400,I523="RP",H523/200)</f>
        <v>#N/A</v>
      </c>
      <c r="P523" s="75" t="e">
        <f t="shared" si="134"/>
        <v>#DIV/0!</v>
      </c>
      <c r="Q523" s="3" t="e" cm="1">
        <f t="array" ref="Q523">_xlfn.IFS(P523&lt;200, "10", P523&lt;400, "12", P523&lt;600, "14", P523&gt;600, "16")</f>
        <v>#DIV/0!</v>
      </c>
      <c r="R523" s="75">
        <f t="shared" si="137"/>
        <v>0</v>
      </c>
      <c r="S523" s="75" t="e">
        <f t="shared" si="135"/>
        <v>#DIV/0!</v>
      </c>
      <c r="U523" s="306" t="e">
        <f t="shared" si="136"/>
        <v>#DIV/0!</v>
      </c>
    </row>
    <row r="524" spans="4:21" x14ac:dyDescent="0.35">
      <c r="D524" s="3"/>
      <c r="G524" s="3" t="s">
        <v>87</v>
      </c>
      <c r="M524" s="3"/>
      <c r="N524" s="356" t="e" cm="1">
        <f t="array" ref="N524">_xlfn.IFS(I524="AEX",H524/400,I524="RP",H524/200)</f>
        <v>#N/A</v>
      </c>
      <c r="P524" s="75" t="e">
        <f t="shared" si="134"/>
        <v>#DIV/0!</v>
      </c>
      <c r="Q524" s="3" t="e" cm="1">
        <f t="array" ref="Q524">_xlfn.IFS(P524&lt;200, "10", P524&lt;400, "12", P524&lt;600, "14", P524&gt;600, "16")</f>
        <v>#DIV/0!</v>
      </c>
      <c r="R524" s="75">
        <f t="shared" si="137"/>
        <v>0</v>
      </c>
      <c r="S524" s="75" t="e">
        <f t="shared" si="135"/>
        <v>#DIV/0!</v>
      </c>
      <c r="U524" s="306" t="e">
        <f t="shared" si="136"/>
        <v>#DIV/0!</v>
      </c>
    </row>
    <row r="525" spans="4:21" x14ac:dyDescent="0.35">
      <c r="D525" s="3"/>
      <c r="G525" s="3" t="s">
        <v>87</v>
      </c>
      <c r="M525" s="3"/>
      <c r="N525" s="356" t="e" cm="1">
        <f t="array" ref="N525">_xlfn.IFS(I525="AEX",H525/400,I525="RP",H525/200)</f>
        <v>#N/A</v>
      </c>
      <c r="P525" s="75" t="e">
        <f t="shared" si="134"/>
        <v>#DIV/0!</v>
      </c>
      <c r="Q525" s="3" t="e" cm="1">
        <f t="array" ref="Q525">_xlfn.IFS(P525&lt;200, "10", P525&lt;400, "12", P525&lt;600, "14", P525&gt;600, "16")</f>
        <v>#DIV/0!</v>
      </c>
      <c r="R525" s="75">
        <f t="shared" si="137"/>
        <v>0</v>
      </c>
      <c r="S525" s="75" t="e">
        <f t="shared" si="135"/>
        <v>#DIV/0!</v>
      </c>
      <c r="U525" s="306" t="e">
        <f t="shared" si="136"/>
        <v>#DIV/0!</v>
      </c>
    </row>
    <row r="526" spans="4:21" x14ac:dyDescent="0.35">
      <c r="D526" s="3"/>
      <c r="G526" s="3" t="s">
        <v>87</v>
      </c>
      <c r="M526" s="3"/>
      <c r="N526" s="356" t="e" cm="1">
        <f t="array" ref="N526">_xlfn.IFS(I526="AEX",H526/400,I526="RP",H526/200)</f>
        <v>#N/A</v>
      </c>
      <c r="P526" s="75" t="e">
        <f t="shared" si="134"/>
        <v>#DIV/0!</v>
      </c>
      <c r="Q526" s="3" t="e" cm="1">
        <f t="array" ref="Q526">_xlfn.IFS(P526&lt;200, "10", P526&lt;400, "12", P526&lt;600, "14", P526&gt;600, "16")</f>
        <v>#DIV/0!</v>
      </c>
      <c r="R526" s="75">
        <f t="shared" si="137"/>
        <v>0</v>
      </c>
      <c r="S526" s="75" t="e">
        <f t="shared" si="135"/>
        <v>#DIV/0!</v>
      </c>
      <c r="U526" s="306" t="e">
        <f t="shared" si="136"/>
        <v>#DIV/0!</v>
      </c>
    </row>
    <row r="527" spans="4:21" x14ac:dyDescent="0.35">
      <c r="D527" s="3"/>
      <c r="G527" s="3" t="s">
        <v>87</v>
      </c>
      <c r="M527" s="3"/>
      <c r="N527" s="356" t="e" cm="1">
        <f t="array" ref="N527">_xlfn.IFS(I527="AEX",H527/400,I527="RP",H527/200)</f>
        <v>#N/A</v>
      </c>
      <c r="P527" s="75" t="e">
        <f t="shared" si="134"/>
        <v>#DIV/0!</v>
      </c>
      <c r="Q527" s="3" t="e" cm="1">
        <f t="array" ref="Q527">_xlfn.IFS(P527&lt;200, "10", P527&lt;400, "12", P527&lt;600, "14", P527&gt;600, "16")</f>
        <v>#DIV/0!</v>
      </c>
      <c r="R527" s="75">
        <f t="shared" si="137"/>
        <v>0</v>
      </c>
      <c r="S527" s="75" t="e">
        <f t="shared" si="135"/>
        <v>#DIV/0!</v>
      </c>
      <c r="U527" s="306" t="e">
        <f t="shared" si="136"/>
        <v>#DIV/0!</v>
      </c>
    </row>
    <row r="528" spans="4:21" x14ac:dyDescent="0.35">
      <c r="D528" s="3"/>
      <c r="G528" s="3" t="s">
        <v>87</v>
      </c>
      <c r="M528" s="3"/>
      <c r="N528" s="356" t="e" cm="1">
        <f t="array" ref="N528">_xlfn.IFS(I528="AEX",H528/400,I528="RP",H528/200)</f>
        <v>#N/A</v>
      </c>
      <c r="P528" s="75" t="e">
        <f t="shared" si="134"/>
        <v>#DIV/0!</v>
      </c>
      <c r="Q528" s="3" t="e" cm="1">
        <f t="array" ref="Q528">_xlfn.IFS(P528&lt;200, "10", P528&lt;400, "12", P528&lt;600, "14", P528&gt;600, "16")</f>
        <v>#DIV/0!</v>
      </c>
      <c r="R528" s="75">
        <f t="shared" si="137"/>
        <v>0</v>
      </c>
      <c r="S528" s="75" t="e">
        <f t="shared" si="135"/>
        <v>#DIV/0!</v>
      </c>
      <c r="U528" s="306" t="e">
        <f t="shared" si="136"/>
        <v>#DIV/0!</v>
      </c>
    </row>
    <row r="529" spans="4:21" x14ac:dyDescent="0.35">
      <c r="D529" s="3"/>
      <c r="G529" s="3" t="s">
        <v>87</v>
      </c>
      <c r="M529" s="3"/>
      <c r="N529" s="356" t="e" cm="1">
        <f t="array" ref="N529">_xlfn.IFS(I529="AEX",H529/400,I529="RP",H529/200)</f>
        <v>#N/A</v>
      </c>
      <c r="P529" s="75" t="e">
        <f t="shared" si="134"/>
        <v>#DIV/0!</v>
      </c>
      <c r="Q529" s="3" t="e" cm="1">
        <f t="array" ref="Q529">_xlfn.IFS(P529&lt;200, "10", P529&lt;400, "12", P529&lt;600, "14", P529&gt;600, "16")</f>
        <v>#DIV/0!</v>
      </c>
      <c r="R529" s="75">
        <f t="shared" si="137"/>
        <v>0</v>
      </c>
      <c r="S529" s="75" t="e">
        <f t="shared" si="135"/>
        <v>#DIV/0!</v>
      </c>
      <c r="U529" s="306" t="e">
        <f t="shared" si="136"/>
        <v>#DIV/0!</v>
      </c>
    </row>
    <row r="530" spans="4:21" x14ac:dyDescent="0.35">
      <c r="D530" s="3"/>
      <c r="G530" s="3" t="s">
        <v>87</v>
      </c>
      <c r="M530" s="3"/>
      <c r="N530" s="356" t="e" cm="1">
        <f t="array" ref="N530">_xlfn.IFS(I530="AEX",H530/400,I530="RP",H530/200)</f>
        <v>#N/A</v>
      </c>
      <c r="P530" s="75" t="e">
        <f t="shared" si="134"/>
        <v>#DIV/0!</v>
      </c>
      <c r="Q530" s="3" t="e" cm="1">
        <f t="array" ref="Q530">_xlfn.IFS(P530&lt;200, "10", P530&lt;400, "12", P530&lt;600, "14", P530&gt;600, "16")</f>
        <v>#DIV/0!</v>
      </c>
      <c r="R530" s="75">
        <f t="shared" si="137"/>
        <v>0</v>
      </c>
      <c r="S530" s="75" t="e">
        <f t="shared" si="135"/>
        <v>#DIV/0!</v>
      </c>
      <c r="U530" s="306" t="e">
        <f t="shared" si="136"/>
        <v>#DIV/0!</v>
      </c>
    </row>
    <row r="531" spans="4:21" x14ac:dyDescent="0.35">
      <c r="D531" s="3"/>
      <c r="G531" s="3" t="s">
        <v>87</v>
      </c>
      <c r="M531" s="3"/>
      <c r="N531" s="356" t="e" cm="1">
        <f t="array" ref="N531">_xlfn.IFS(I531="AEX",H531/400,I531="RP",H531/200)</f>
        <v>#N/A</v>
      </c>
      <c r="P531" s="75" t="e">
        <f t="shared" si="134"/>
        <v>#DIV/0!</v>
      </c>
      <c r="Q531" s="3" t="e" cm="1">
        <f t="array" ref="Q531">_xlfn.IFS(P531&lt;200, "10", P531&lt;400, "12", P531&lt;600, "14", P531&gt;600, "16")</f>
        <v>#DIV/0!</v>
      </c>
      <c r="R531" s="75">
        <f t="shared" si="137"/>
        <v>0</v>
      </c>
      <c r="S531" s="75" t="e">
        <f t="shared" si="135"/>
        <v>#DIV/0!</v>
      </c>
      <c r="U531" s="306" t="e">
        <f t="shared" si="136"/>
        <v>#DIV/0!</v>
      </c>
    </row>
    <row r="532" spans="4:21" x14ac:dyDescent="0.35">
      <c r="D532" s="3"/>
      <c r="G532" s="3" t="s">
        <v>87</v>
      </c>
      <c r="M532" s="3"/>
      <c r="N532" s="356" t="e" cm="1">
        <f t="array" ref="N532">_xlfn.IFS(I532="AEX",H532/400,I532="RP",H532/200)</f>
        <v>#N/A</v>
      </c>
      <c r="P532" s="75" t="e">
        <f t="shared" si="134"/>
        <v>#DIV/0!</v>
      </c>
      <c r="Q532" s="3" t="e" cm="1">
        <f t="array" ref="Q532">_xlfn.IFS(P532&lt;200, "10", P532&lt;400, "12", P532&lt;600, "14", P532&gt;600, "16")</f>
        <v>#DIV/0!</v>
      </c>
      <c r="R532" s="75">
        <f t="shared" si="137"/>
        <v>0</v>
      </c>
      <c r="S532" s="75" t="e">
        <f t="shared" si="135"/>
        <v>#DIV/0!</v>
      </c>
      <c r="U532" s="306" t="e">
        <f t="shared" si="136"/>
        <v>#DIV/0!</v>
      </c>
    </row>
    <row r="533" spans="4:21" x14ac:dyDescent="0.35">
      <c r="D533" s="3"/>
      <c r="G533" s="3" t="s">
        <v>87</v>
      </c>
      <c r="M533" s="3"/>
      <c r="N533" s="356" t="e" cm="1">
        <f t="array" ref="N533">_xlfn.IFS(I533="AEX",H533/400,I533="RP",H533/200)</f>
        <v>#N/A</v>
      </c>
      <c r="P533" s="75" t="e">
        <f t="shared" si="134"/>
        <v>#DIV/0!</v>
      </c>
      <c r="Q533" s="3" t="e" cm="1">
        <f t="array" ref="Q533">_xlfn.IFS(P533&lt;200, "10", P533&lt;400, "12", P533&lt;600, "14", P533&gt;600, "16")</f>
        <v>#DIV/0!</v>
      </c>
      <c r="R533" s="75">
        <f t="shared" si="137"/>
        <v>0</v>
      </c>
      <c r="S533" s="75" t="e">
        <f t="shared" si="135"/>
        <v>#DIV/0!</v>
      </c>
      <c r="U533" s="306" t="e">
        <f t="shared" si="136"/>
        <v>#DIV/0!</v>
      </c>
    </row>
    <row r="534" spans="4:21" x14ac:dyDescent="0.35">
      <c r="D534" s="3"/>
      <c r="G534" s="3" t="s">
        <v>87</v>
      </c>
      <c r="M534" s="3"/>
      <c r="N534" s="356" t="e" cm="1">
        <f t="array" ref="N534">_xlfn.IFS(I534="AEX",H534/400,I534="RP",H534/200)</f>
        <v>#N/A</v>
      </c>
      <c r="P534" s="75" t="e">
        <f t="shared" si="134"/>
        <v>#DIV/0!</v>
      </c>
      <c r="Q534" s="3" t="e" cm="1">
        <f t="array" ref="Q534">_xlfn.IFS(P534&lt;200, "10", P534&lt;400, "12", P534&lt;600, "14", P534&gt;600, "16")</f>
        <v>#DIV/0!</v>
      </c>
      <c r="R534" s="75">
        <f t="shared" si="137"/>
        <v>0</v>
      </c>
      <c r="S534" s="75" t="e">
        <f t="shared" si="135"/>
        <v>#DIV/0!</v>
      </c>
      <c r="U534" s="306" t="e">
        <f t="shared" si="136"/>
        <v>#DIV/0!</v>
      </c>
    </row>
    <row r="535" spans="4:21" x14ac:dyDescent="0.35">
      <c r="D535" s="3"/>
      <c r="G535" s="3" t="s">
        <v>87</v>
      </c>
      <c r="M535" s="3"/>
      <c r="N535" s="356" t="e" cm="1">
        <f t="array" ref="N535">_xlfn.IFS(I535="AEX",H535/400,I535="RP",H535/200)</f>
        <v>#N/A</v>
      </c>
      <c r="P535" s="75" t="e">
        <f t="shared" si="134"/>
        <v>#DIV/0!</v>
      </c>
      <c r="Q535" s="3" t="e" cm="1">
        <f t="array" ref="Q535">_xlfn.IFS(P535&lt;200, "10", P535&lt;400, "12", P535&lt;600, "14", P535&gt;600, "16")</f>
        <v>#DIV/0!</v>
      </c>
      <c r="R535" s="75">
        <f t="shared" si="137"/>
        <v>0</v>
      </c>
      <c r="S535" s="75" t="e">
        <f t="shared" si="135"/>
        <v>#DIV/0!</v>
      </c>
      <c r="U535" s="306" t="e">
        <f t="shared" si="136"/>
        <v>#DIV/0!</v>
      </c>
    </row>
    <row r="536" spans="4:21" x14ac:dyDescent="0.35">
      <c r="D536" s="3"/>
      <c r="G536" s="3" t="s">
        <v>87</v>
      </c>
      <c r="M536" s="3"/>
      <c r="N536" s="356" t="e" cm="1">
        <f t="array" ref="N536">_xlfn.IFS(I536="AEX",H536/400,I536="RP",H536/200)</f>
        <v>#N/A</v>
      </c>
      <c r="P536" s="75" t="e">
        <f t="shared" si="134"/>
        <v>#DIV/0!</v>
      </c>
      <c r="Q536" s="3" t="e" cm="1">
        <f t="array" ref="Q536">_xlfn.IFS(P536&lt;200, "10", P536&lt;400, "12", P536&lt;600, "14", P536&gt;600, "16")</f>
        <v>#DIV/0!</v>
      </c>
      <c r="R536" s="75">
        <f t="shared" si="137"/>
        <v>0</v>
      </c>
      <c r="S536" s="75" t="e">
        <f t="shared" si="135"/>
        <v>#DIV/0!</v>
      </c>
      <c r="U536" s="306" t="e">
        <f t="shared" si="136"/>
        <v>#DIV/0!</v>
      </c>
    </row>
    <row r="537" spans="4:21" x14ac:dyDescent="0.35">
      <c r="D537" s="3"/>
      <c r="G537" s="3" t="s">
        <v>87</v>
      </c>
      <c r="M537" s="3"/>
      <c r="N537" s="356" t="e" cm="1">
        <f t="array" ref="N537">_xlfn.IFS(I537="AEX",H537/400,I537="RP",H537/200)</f>
        <v>#N/A</v>
      </c>
      <c r="P537" s="75" t="e">
        <f t="shared" si="134"/>
        <v>#DIV/0!</v>
      </c>
      <c r="Q537" s="3" t="e" cm="1">
        <f t="array" ref="Q537">_xlfn.IFS(P537&lt;200, "10", P537&lt;400, "12", P537&lt;600, "14", P537&gt;600, "16")</f>
        <v>#DIV/0!</v>
      </c>
      <c r="R537" s="75">
        <f t="shared" si="137"/>
        <v>0</v>
      </c>
      <c r="S537" s="75" t="e">
        <f t="shared" si="135"/>
        <v>#DIV/0!</v>
      </c>
      <c r="U537" s="306" t="e">
        <f t="shared" ref="U537:U568" si="138">T537/H537*100</f>
        <v>#DIV/0!</v>
      </c>
    </row>
    <row r="538" spans="4:21" x14ac:dyDescent="0.35">
      <c r="D538" s="3"/>
      <c r="G538" s="3" t="s">
        <v>87</v>
      </c>
      <c r="M538" s="3"/>
      <c r="N538" s="356" t="e" cm="1">
        <f t="array" ref="N538">_xlfn.IFS(I538="AEX",H538/400,I538="RP",H538/200)</f>
        <v>#N/A</v>
      </c>
      <c r="P538" s="75" t="e">
        <f t="shared" si="134"/>
        <v>#DIV/0!</v>
      </c>
      <c r="Q538" s="3" t="e" cm="1">
        <f t="array" ref="Q538">_xlfn.IFS(P538&lt;200, "10", P538&lt;400, "12", P538&lt;600, "14", P538&gt;600, "16")</f>
        <v>#DIV/0!</v>
      </c>
      <c r="R538" s="75">
        <f t="shared" si="137"/>
        <v>0</v>
      </c>
      <c r="S538" s="75" t="e">
        <f t="shared" si="135"/>
        <v>#DIV/0!</v>
      </c>
      <c r="U538" s="306" t="e">
        <f t="shared" si="138"/>
        <v>#DIV/0!</v>
      </c>
    </row>
    <row r="539" spans="4:21" x14ac:dyDescent="0.35">
      <c r="D539" s="3"/>
      <c r="G539" s="3" t="s">
        <v>87</v>
      </c>
      <c r="M539" s="3"/>
      <c r="N539" s="356" t="e" cm="1">
        <f t="array" ref="N539">_xlfn.IFS(I539="AEX",H539/400,I539="RP",H539/200)</f>
        <v>#N/A</v>
      </c>
      <c r="P539" s="75" t="e">
        <f t="shared" si="134"/>
        <v>#DIV/0!</v>
      </c>
      <c r="Q539" s="3" t="e" cm="1">
        <f t="array" ref="Q539">_xlfn.IFS(P539&lt;200, "10", P539&lt;400, "12", P539&lt;600, "14", P539&gt;600, "16")</f>
        <v>#DIV/0!</v>
      </c>
      <c r="R539" s="75">
        <f t="shared" si="137"/>
        <v>0</v>
      </c>
      <c r="S539" s="75" t="e">
        <f t="shared" si="135"/>
        <v>#DIV/0!</v>
      </c>
      <c r="U539" s="306" t="e">
        <f t="shared" si="138"/>
        <v>#DIV/0!</v>
      </c>
    </row>
    <row r="540" spans="4:21" x14ac:dyDescent="0.35">
      <c r="D540" s="3"/>
      <c r="G540" s="3" t="s">
        <v>87</v>
      </c>
      <c r="M540" s="3"/>
      <c r="N540" s="356" t="e" cm="1">
        <f t="array" ref="N540">_xlfn.IFS(I540="AEX",H540/400,I540="RP",H540/200)</f>
        <v>#N/A</v>
      </c>
      <c r="P540" s="75" t="e">
        <f t="shared" si="134"/>
        <v>#DIV/0!</v>
      </c>
      <c r="Q540" s="3" t="e" cm="1">
        <f t="array" ref="Q540">_xlfn.IFS(P540&lt;200, "10", P540&lt;400, "12", P540&lt;600, "14", P540&gt;600, "16")</f>
        <v>#DIV/0!</v>
      </c>
      <c r="R540" s="75">
        <f t="shared" si="137"/>
        <v>0</v>
      </c>
      <c r="S540" s="75" t="e">
        <f t="shared" si="135"/>
        <v>#DIV/0!</v>
      </c>
      <c r="U540" s="306" t="e">
        <f t="shared" si="138"/>
        <v>#DIV/0!</v>
      </c>
    </row>
    <row r="541" spans="4:21" x14ac:dyDescent="0.35">
      <c r="D541" s="3"/>
      <c r="G541" s="3" t="s">
        <v>87</v>
      </c>
      <c r="M541" s="3"/>
      <c r="N541" s="356" t="e" cm="1">
        <f t="array" ref="N541">_xlfn.IFS(I541="AEX",H541/400,I541="RP",H541/200)</f>
        <v>#N/A</v>
      </c>
      <c r="P541" s="75" t="e">
        <f t="shared" si="134"/>
        <v>#DIV/0!</v>
      </c>
      <c r="Q541" s="3" t="e" cm="1">
        <f t="array" ref="Q541">_xlfn.IFS(P541&lt;200, "10", P541&lt;400, "12", P541&lt;600, "14", P541&gt;600, "16")</f>
        <v>#DIV/0!</v>
      </c>
      <c r="R541" s="75">
        <f t="shared" si="137"/>
        <v>0</v>
      </c>
      <c r="S541" s="75" t="e">
        <f t="shared" si="135"/>
        <v>#DIV/0!</v>
      </c>
      <c r="U541" s="306" t="e">
        <f t="shared" si="138"/>
        <v>#DIV/0!</v>
      </c>
    </row>
    <row r="542" spans="4:21" x14ac:dyDescent="0.35">
      <c r="D542" s="3"/>
      <c r="G542" s="3" t="s">
        <v>87</v>
      </c>
      <c r="M542" s="3"/>
      <c r="N542" s="356" t="e" cm="1">
        <f t="array" ref="N542">_xlfn.IFS(I542="AEX",H542/400,I542="RP",H542/200)</f>
        <v>#N/A</v>
      </c>
      <c r="P542" s="75" t="e">
        <f t="shared" si="134"/>
        <v>#DIV/0!</v>
      </c>
      <c r="Q542" s="3" t="e" cm="1">
        <f t="array" ref="Q542">_xlfn.IFS(P542&lt;200, "10", P542&lt;400, "12", P542&lt;600, "14", P542&gt;600, "16")</f>
        <v>#DIV/0!</v>
      </c>
      <c r="R542" s="75">
        <f t="shared" si="137"/>
        <v>0</v>
      </c>
      <c r="S542" s="75" t="e">
        <f t="shared" si="135"/>
        <v>#DIV/0!</v>
      </c>
      <c r="U542" s="306" t="e">
        <f t="shared" si="138"/>
        <v>#DIV/0!</v>
      </c>
    </row>
    <row r="543" spans="4:21" x14ac:dyDescent="0.35">
      <c r="D543" s="3"/>
      <c r="G543" s="3" t="s">
        <v>87</v>
      </c>
      <c r="M543" s="3"/>
      <c r="N543" s="356" t="e" cm="1">
        <f t="array" ref="N543">_xlfn.IFS(I543="AEX",H543/400,I543="RP",H543/200)</f>
        <v>#N/A</v>
      </c>
      <c r="P543" s="75" t="e">
        <f t="shared" si="134"/>
        <v>#DIV/0!</v>
      </c>
      <c r="Q543" s="3" t="e" cm="1">
        <f t="array" ref="Q543">_xlfn.IFS(P543&lt;200, "10", P543&lt;400, "12", P543&lt;600, "14", P543&gt;600, "16")</f>
        <v>#DIV/0!</v>
      </c>
      <c r="R543" s="75">
        <f t="shared" si="137"/>
        <v>0</v>
      </c>
      <c r="S543" s="75" t="e">
        <f t="shared" si="135"/>
        <v>#DIV/0!</v>
      </c>
      <c r="U543" s="306" t="e">
        <f t="shared" si="138"/>
        <v>#DIV/0!</v>
      </c>
    </row>
    <row r="544" spans="4:21" x14ac:dyDescent="0.35">
      <c r="D544" s="3"/>
      <c r="G544" s="3" t="s">
        <v>87</v>
      </c>
      <c r="M544" s="3"/>
      <c r="N544" s="356" t="e" cm="1">
        <f t="array" ref="N544">_xlfn.IFS(I544="AEX",H544/400,I544="RP",H544/200)</f>
        <v>#N/A</v>
      </c>
      <c r="P544" s="75" t="e">
        <f t="shared" si="134"/>
        <v>#DIV/0!</v>
      </c>
      <c r="Q544" s="3" t="e" cm="1">
        <f t="array" ref="Q544">_xlfn.IFS(P544&lt;200, "10", P544&lt;400, "12", P544&lt;600, "14", P544&gt;600, "16")</f>
        <v>#DIV/0!</v>
      </c>
      <c r="R544" s="75">
        <f t="shared" ref="R544:R568" si="139">IF(I544="AEX",H544*0.3/400,H544*0.3/200)</f>
        <v>0</v>
      </c>
      <c r="S544" s="75" t="e">
        <f t="shared" si="135"/>
        <v>#DIV/0!</v>
      </c>
      <c r="U544" s="306" t="e">
        <f t="shared" si="138"/>
        <v>#DIV/0!</v>
      </c>
    </row>
    <row r="545" spans="4:21" x14ac:dyDescent="0.35">
      <c r="D545" s="3"/>
      <c r="G545" s="3" t="s">
        <v>87</v>
      </c>
      <c r="M545" s="3"/>
      <c r="N545" s="356" t="e" cm="1">
        <f t="array" ref="N545">_xlfn.IFS(I545="AEX",H545/400,I545="RP",H545/200)</f>
        <v>#N/A</v>
      </c>
      <c r="P545" s="75" t="e">
        <f t="shared" si="134"/>
        <v>#DIV/0!</v>
      </c>
      <c r="Q545" s="3" t="e" cm="1">
        <f t="array" ref="Q545">_xlfn.IFS(P545&lt;200, "10", P545&lt;400, "12", P545&lt;600, "14", P545&gt;600, "16")</f>
        <v>#DIV/0!</v>
      </c>
      <c r="R545" s="75">
        <f t="shared" si="139"/>
        <v>0</v>
      </c>
      <c r="S545" s="75" t="e">
        <f t="shared" si="135"/>
        <v>#DIV/0!</v>
      </c>
      <c r="U545" s="306" t="e">
        <f t="shared" si="138"/>
        <v>#DIV/0!</v>
      </c>
    </row>
    <row r="546" spans="4:21" x14ac:dyDescent="0.35">
      <c r="D546" s="3"/>
      <c r="G546" s="3" t="s">
        <v>87</v>
      </c>
      <c r="M546" s="3"/>
      <c r="N546" s="356" t="e" cm="1">
        <f t="array" ref="N546">_xlfn.IFS(I546="AEX",H546/400,I546="RP",H546/200)</f>
        <v>#N/A</v>
      </c>
      <c r="P546" s="75" t="e">
        <f t="shared" si="134"/>
        <v>#DIV/0!</v>
      </c>
      <c r="Q546" s="3" t="e" cm="1">
        <f t="array" ref="Q546">_xlfn.IFS(P546&lt;200, "10", P546&lt;400, "12", P546&lt;600, "14", P546&gt;600, "16")</f>
        <v>#DIV/0!</v>
      </c>
      <c r="R546" s="75">
        <f t="shared" si="139"/>
        <v>0</v>
      </c>
      <c r="S546" s="75" t="e">
        <f t="shared" si="135"/>
        <v>#DIV/0!</v>
      </c>
      <c r="U546" s="306" t="e">
        <f t="shared" si="138"/>
        <v>#DIV/0!</v>
      </c>
    </row>
    <row r="547" spans="4:21" x14ac:dyDescent="0.35">
      <c r="D547" s="3"/>
      <c r="G547" s="3" t="s">
        <v>87</v>
      </c>
      <c r="M547" s="3"/>
      <c r="N547" s="356" t="e" cm="1">
        <f t="array" ref="N547">_xlfn.IFS(I547="AEX",H547/400,I547="RP",H547/200)</f>
        <v>#N/A</v>
      </c>
      <c r="P547" s="75" t="e">
        <f t="shared" si="134"/>
        <v>#DIV/0!</v>
      </c>
      <c r="Q547" s="3" t="e" cm="1">
        <f t="array" ref="Q547">_xlfn.IFS(P547&lt;200, "10", P547&lt;400, "12", P547&lt;600, "14", P547&gt;600, "16")</f>
        <v>#DIV/0!</v>
      </c>
      <c r="R547" s="75">
        <f t="shared" si="139"/>
        <v>0</v>
      </c>
      <c r="S547" s="75" t="e">
        <f t="shared" si="135"/>
        <v>#DIV/0!</v>
      </c>
      <c r="U547" s="306" t="e">
        <f t="shared" si="138"/>
        <v>#DIV/0!</v>
      </c>
    </row>
    <row r="548" spans="4:21" x14ac:dyDescent="0.35">
      <c r="D548" s="3"/>
      <c r="G548" s="3" t="s">
        <v>87</v>
      </c>
      <c r="M548" s="3"/>
      <c r="N548" s="356" t="e" cm="1">
        <f t="array" ref="N548">_xlfn.IFS(I548="AEX",H548/400,I548="RP",H548/200)</f>
        <v>#N/A</v>
      </c>
      <c r="P548" s="75" t="e">
        <f t="shared" si="134"/>
        <v>#DIV/0!</v>
      </c>
      <c r="Q548" s="3" t="e" cm="1">
        <f t="array" ref="Q548">_xlfn.IFS(P548&lt;200, "10", P548&lt;400, "12", P548&lt;600, "14", P548&gt;600, "16")</f>
        <v>#DIV/0!</v>
      </c>
      <c r="R548" s="75">
        <f t="shared" si="139"/>
        <v>0</v>
      </c>
      <c r="S548" s="75" t="e">
        <f t="shared" si="135"/>
        <v>#DIV/0!</v>
      </c>
      <c r="U548" s="306" t="e">
        <f t="shared" si="138"/>
        <v>#DIV/0!</v>
      </c>
    </row>
    <row r="549" spans="4:21" x14ac:dyDescent="0.35">
      <c r="D549" s="3"/>
      <c r="G549" s="3" t="s">
        <v>87</v>
      </c>
      <c r="M549" s="3"/>
      <c r="N549" s="356" t="e" cm="1">
        <f t="array" ref="N549">_xlfn.IFS(I549="AEX",H549/400,I549="RP",H549/200)</f>
        <v>#N/A</v>
      </c>
      <c r="P549" s="75" t="e">
        <f t="shared" si="134"/>
        <v>#DIV/0!</v>
      </c>
      <c r="Q549" s="3" t="e" cm="1">
        <f t="array" ref="Q549">_xlfn.IFS(P549&lt;200, "10", P549&lt;400, "12", P549&lt;600, "14", P549&gt;600, "16")</f>
        <v>#DIV/0!</v>
      </c>
      <c r="R549" s="75">
        <f t="shared" si="139"/>
        <v>0</v>
      </c>
      <c r="S549" s="75" t="e">
        <f t="shared" si="135"/>
        <v>#DIV/0!</v>
      </c>
      <c r="U549" s="306" t="e">
        <f t="shared" si="138"/>
        <v>#DIV/0!</v>
      </c>
    </row>
    <row r="550" spans="4:21" x14ac:dyDescent="0.35">
      <c r="D550" s="3"/>
      <c r="G550" s="3" t="s">
        <v>87</v>
      </c>
      <c r="M550" s="3"/>
      <c r="N550" s="356" t="e" cm="1">
        <f t="array" ref="N550">_xlfn.IFS(I550="AEX",H550/400,I550="RP",H550/200)</f>
        <v>#N/A</v>
      </c>
      <c r="P550" s="75" t="e">
        <f t="shared" si="134"/>
        <v>#DIV/0!</v>
      </c>
      <c r="Q550" s="3" t="e" cm="1">
        <f t="array" ref="Q550">_xlfn.IFS(P550&lt;200, "10", P550&lt;400, "12", P550&lt;600, "14", P550&gt;600, "16")</f>
        <v>#DIV/0!</v>
      </c>
      <c r="R550" s="75">
        <f t="shared" si="139"/>
        <v>0</v>
      </c>
      <c r="S550" s="75" t="e">
        <f t="shared" si="135"/>
        <v>#DIV/0!</v>
      </c>
      <c r="U550" s="306" t="e">
        <f t="shared" si="138"/>
        <v>#DIV/0!</v>
      </c>
    </row>
    <row r="551" spans="4:21" x14ac:dyDescent="0.35">
      <c r="D551" s="3"/>
      <c r="G551" s="3" t="s">
        <v>87</v>
      </c>
      <c r="M551" s="3"/>
      <c r="N551" s="356" t="e" cm="1">
        <f t="array" ref="N551">_xlfn.IFS(I551="AEX",H551/400,I551="RP",H551/200)</f>
        <v>#N/A</v>
      </c>
      <c r="P551" s="75" t="e">
        <f t="shared" si="134"/>
        <v>#DIV/0!</v>
      </c>
      <c r="Q551" s="3" t="e" cm="1">
        <f t="array" ref="Q551">_xlfn.IFS(P551&lt;200, "10", P551&lt;400, "12", P551&lt;600, "14", P551&gt;600, "16")</f>
        <v>#DIV/0!</v>
      </c>
      <c r="R551" s="75">
        <f t="shared" si="139"/>
        <v>0</v>
      </c>
      <c r="S551" s="75" t="e">
        <f t="shared" si="135"/>
        <v>#DIV/0!</v>
      </c>
      <c r="U551" s="306" t="e">
        <f t="shared" si="138"/>
        <v>#DIV/0!</v>
      </c>
    </row>
    <row r="552" spans="4:21" x14ac:dyDescent="0.35">
      <c r="D552" s="3"/>
      <c r="G552" s="3" t="s">
        <v>87</v>
      </c>
      <c r="M552" s="3"/>
      <c r="N552" s="356" t="e" cm="1">
        <f t="array" ref="N552">_xlfn.IFS(I552="AEX",H552/400,I552="RP",H552/200)</f>
        <v>#N/A</v>
      </c>
      <c r="P552" s="75" t="e">
        <f t="shared" si="134"/>
        <v>#DIV/0!</v>
      </c>
      <c r="Q552" s="3" t="e" cm="1">
        <f t="array" ref="Q552">_xlfn.IFS(P552&lt;200, "10", P552&lt;400, "12", P552&lt;600, "14", P552&gt;600, "16")</f>
        <v>#DIV/0!</v>
      </c>
      <c r="R552" s="75">
        <f t="shared" si="139"/>
        <v>0</v>
      </c>
      <c r="S552" s="75" t="e">
        <f t="shared" si="135"/>
        <v>#DIV/0!</v>
      </c>
      <c r="U552" s="306" t="e">
        <f t="shared" si="138"/>
        <v>#DIV/0!</v>
      </c>
    </row>
    <row r="553" spans="4:21" x14ac:dyDescent="0.35">
      <c r="D553" s="3"/>
      <c r="G553" s="3" t="s">
        <v>87</v>
      </c>
      <c r="M553" s="3"/>
      <c r="N553" s="356" t="e" cm="1">
        <f t="array" ref="N553">_xlfn.IFS(I553="AEX",H553/400,I553="RP",H553/200)</f>
        <v>#N/A</v>
      </c>
      <c r="P553" s="75" t="e">
        <f t="shared" si="134"/>
        <v>#DIV/0!</v>
      </c>
      <c r="Q553" s="3" t="e" cm="1">
        <f t="array" ref="Q553">_xlfn.IFS(P553&lt;200, "10", P553&lt;400, "12", P553&lt;600, "14", P553&gt;600, "16")</f>
        <v>#DIV/0!</v>
      </c>
      <c r="R553" s="75">
        <f t="shared" si="139"/>
        <v>0</v>
      </c>
      <c r="S553" s="75" t="e">
        <f t="shared" si="135"/>
        <v>#DIV/0!</v>
      </c>
      <c r="U553" s="306" t="e">
        <f t="shared" si="138"/>
        <v>#DIV/0!</v>
      </c>
    </row>
    <row r="554" spans="4:21" x14ac:dyDescent="0.35">
      <c r="D554" s="3"/>
      <c r="G554" s="3" t="s">
        <v>87</v>
      </c>
      <c r="M554" s="3"/>
      <c r="N554" s="356" t="e" cm="1">
        <f t="array" ref="N554">_xlfn.IFS(I554="AEX",H554/400,I554="RP",H554/200)</f>
        <v>#N/A</v>
      </c>
      <c r="P554" s="75" t="e">
        <f t="shared" si="134"/>
        <v>#DIV/0!</v>
      </c>
      <c r="Q554" s="3" t="e" cm="1">
        <f t="array" ref="Q554">_xlfn.IFS(P554&lt;200, "10", P554&lt;400, "12", P554&lt;600, "14", P554&gt;600, "16")</f>
        <v>#DIV/0!</v>
      </c>
      <c r="R554" s="75">
        <f t="shared" si="139"/>
        <v>0</v>
      </c>
      <c r="S554" s="75" t="e">
        <f t="shared" si="135"/>
        <v>#DIV/0!</v>
      </c>
      <c r="U554" s="306" t="e">
        <f t="shared" si="138"/>
        <v>#DIV/0!</v>
      </c>
    </row>
    <row r="555" spans="4:21" x14ac:dyDescent="0.35">
      <c r="D555" s="3"/>
      <c r="G555" s="3" t="s">
        <v>87</v>
      </c>
      <c r="M555" s="3"/>
      <c r="N555" s="356" t="e" cm="1">
        <f t="array" ref="N555">_xlfn.IFS(I555="AEX",H555/400,I555="RP",H555/200)</f>
        <v>#N/A</v>
      </c>
      <c r="P555" s="75" t="e">
        <f t="shared" si="134"/>
        <v>#DIV/0!</v>
      </c>
      <c r="Q555" s="3" t="e" cm="1">
        <f t="array" ref="Q555">_xlfn.IFS(P555&lt;200, "10", P555&lt;400, "12", P555&lt;600, "14", P555&gt;600, "16")</f>
        <v>#DIV/0!</v>
      </c>
      <c r="R555" s="75">
        <f t="shared" si="139"/>
        <v>0</v>
      </c>
      <c r="S555" s="75" t="e">
        <f t="shared" si="135"/>
        <v>#DIV/0!</v>
      </c>
      <c r="U555" s="306" t="e">
        <f t="shared" si="138"/>
        <v>#DIV/0!</v>
      </c>
    </row>
    <row r="556" spans="4:21" x14ac:dyDescent="0.35">
      <c r="D556" s="3"/>
      <c r="G556" s="3" t="s">
        <v>87</v>
      </c>
      <c r="M556" s="3"/>
      <c r="N556" s="356" t="e" cm="1">
        <f t="array" ref="N556">_xlfn.IFS(I556="AEX",H556/400,I556="RP",H556/200)</f>
        <v>#N/A</v>
      </c>
      <c r="P556" s="75" t="e">
        <f t="shared" si="134"/>
        <v>#DIV/0!</v>
      </c>
      <c r="Q556" s="3" t="e" cm="1">
        <f t="array" ref="Q556">_xlfn.IFS(P556&lt;200, "10", P556&lt;400, "12", P556&lt;600, "14", P556&gt;600, "16")</f>
        <v>#DIV/0!</v>
      </c>
      <c r="R556" s="75">
        <f t="shared" si="139"/>
        <v>0</v>
      </c>
      <c r="S556" s="75" t="e">
        <f t="shared" si="135"/>
        <v>#DIV/0!</v>
      </c>
      <c r="U556" s="306" t="e">
        <f t="shared" si="138"/>
        <v>#DIV/0!</v>
      </c>
    </row>
    <row r="557" spans="4:21" x14ac:dyDescent="0.35">
      <c r="D557" s="3"/>
      <c r="G557" s="3" t="s">
        <v>87</v>
      </c>
      <c r="M557" s="3"/>
      <c r="N557" s="356" t="e" cm="1">
        <f t="array" ref="N557">_xlfn.IFS(I557="AEX",H557/400,I557="RP",H557/200)</f>
        <v>#N/A</v>
      </c>
      <c r="P557" s="75" t="e">
        <f t="shared" ref="P557:P568" si="140">H557/O557</f>
        <v>#DIV/0!</v>
      </c>
      <c r="Q557" s="3" t="e" cm="1">
        <f t="array" ref="Q557">_xlfn.IFS(P557&lt;200, "10", P557&lt;400, "12", P557&lt;600, "14", P557&gt;600, "16")</f>
        <v>#DIV/0!</v>
      </c>
      <c r="R557" s="75">
        <f t="shared" si="139"/>
        <v>0</v>
      </c>
      <c r="S557" s="75" t="e">
        <f t="shared" ref="S557:S568" si="141">R557/O557</f>
        <v>#DIV/0!</v>
      </c>
      <c r="U557" s="306" t="e">
        <f t="shared" si="138"/>
        <v>#DIV/0!</v>
      </c>
    </row>
    <row r="558" spans="4:21" x14ac:dyDescent="0.35">
      <c r="D558" s="3"/>
      <c r="G558" s="3" t="s">
        <v>87</v>
      </c>
      <c r="M558" s="3"/>
      <c r="N558" s="356" t="e" cm="1">
        <f t="array" ref="N558">_xlfn.IFS(I558="AEX",H558/400,I558="RP",H558/200)</f>
        <v>#N/A</v>
      </c>
      <c r="P558" s="75" t="e">
        <f t="shared" si="140"/>
        <v>#DIV/0!</v>
      </c>
      <c r="Q558" s="3" t="e" cm="1">
        <f t="array" ref="Q558">_xlfn.IFS(P558&lt;200, "10", P558&lt;400, "12", P558&lt;600, "14", P558&gt;600, "16")</f>
        <v>#DIV/0!</v>
      </c>
      <c r="R558" s="75">
        <f t="shared" si="139"/>
        <v>0</v>
      </c>
      <c r="S558" s="75" t="e">
        <f t="shared" si="141"/>
        <v>#DIV/0!</v>
      </c>
      <c r="U558" s="306" t="e">
        <f t="shared" si="138"/>
        <v>#DIV/0!</v>
      </c>
    </row>
    <row r="559" spans="4:21" x14ac:dyDescent="0.35">
      <c r="D559" s="3"/>
      <c r="G559" s="3" t="s">
        <v>87</v>
      </c>
      <c r="M559" s="3"/>
      <c r="N559" s="356" t="e" cm="1">
        <f t="array" ref="N559">_xlfn.IFS(I559="AEX",H559/400,I559="RP",H559/200)</f>
        <v>#N/A</v>
      </c>
      <c r="P559" s="75" t="e">
        <f t="shared" si="140"/>
        <v>#DIV/0!</v>
      </c>
      <c r="Q559" s="3" t="e" cm="1">
        <f t="array" ref="Q559">_xlfn.IFS(P559&lt;200, "10", P559&lt;400, "12", P559&lt;600, "14", P559&gt;600, "16")</f>
        <v>#DIV/0!</v>
      </c>
      <c r="R559" s="75">
        <f t="shared" si="139"/>
        <v>0</v>
      </c>
      <c r="S559" s="75" t="e">
        <f t="shared" si="141"/>
        <v>#DIV/0!</v>
      </c>
      <c r="U559" s="306" t="e">
        <f t="shared" si="138"/>
        <v>#DIV/0!</v>
      </c>
    </row>
    <row r="560" spans="4:21" x14ac:dyDescent="0.35">
      <c r="D560" s="3"/>
      <c r="G560" s="3" t="s">
        <v>87</v>
      </c>
      <c r="M560" s="3"/>
      <c r="N560" s="356" t="e" cm="1">
        <f t="array" ref="N560">_xlfn.IFS(I560="AEX",H560/400,I560="RP",H560/200)</f>
        <v>#N/A</v>
      </c>
      <c r="P560" s="75" t="e">
        <f t="shared" si="140"/>
        <v>#DIV/0!</v>
      </c>
      <c r="Q560" s="3" t="e" cm="1">
        <f t="array" ref="Q560">_xlfn.IFS(P560&lt;200, "10", P560&lt;400, "12", P560&lt;600, "14", P560&gt;600, "16")</f>
        <v>#DIV/0!</v>
      </c>
      <c r="R560" s="75">
        <f t="shared" si="139"/>
        <v>0</v>
      </c>
      <c r="S560" s="75" t="e">
        <f t="shared" si="141"/>
        <v>#DIV/0!</v>
      </c>
      <c r="U560" s="306" t="e">
        <f t="shared" si="138"/>
        <v>#DIV/0!</v>
      </c>
    </row>
    <row r="561" spans="4:21" x14ac:dyDescent="0.35">
      <c r="D561" s="3"/>
      <c r="G561" s="3" t="s">
        <v>87</v>
      </c>
      <c r="M561" s="3"/>
      <c r="N561" s="356" t="e" cm="1">
        <f t="array" ref="N561">_xlfn.IFS(I561="AEX",H561/400,I561="RP",H561/200)</f>
        <v>#N/A</v>
      </c>
      <c r="P561" s="75" t="e">
        <f t="shared" si="140"/>
        <v>#DIV/0!</v>
      </c>
      <c r="Q561" s="3" t="e" cm="1">
        <f t="array" ref="Q561">_xlfn.IFS(P561&lt;200, "10", P561&lt;400, "12", P561&lt;600, "14", P561&gt;600, "16")</f>
        <v>#DIV/0!</v>
      </c>
      <c r="R561" s="75">
        <f t="shared" si="139"/>
        <v>0</v>
      </c>
      <c r="S561" s="75" t="e">
        <f t="shared" si="141"/>
        <v>#DIV/0!</v>
      </c>
      <c r="U561" s="306" t="e">
        <f t="shared" si="138"/>
        <v>#DIV/0!</v>
      </c>
    </row>
    <row r="562" spans="4:21" x14ac:dyDescent="0.35">
      <c r="D562" s="3"/>
      <c r="G562" s="3" t="s">
        <v>87</v>
      </c>
      <c r="M562" s="3"/>
      <c r="N562" s="356" t="e" cm="1">
        <f t="array" ref="N562">_xlfn.IFS(I562="AEX",H562/400,I562="RP",H562/200)</f>
        <v>#N/A</v>
      </c>
      <c r="P562" s="75" t="e">
        <f t="shared" si="140"/>
        <v>#DIV/0!</v>
      </c>
      <c r="Q562" s="3" t="e" cm="1">
        <f t="array" ref="Q562">_xlfn.IFS(P562&lt;200, "10", P562&lt;400, "12", P562&lt;600, "14", P562&gt;600, "16")</f>
        <v>#DIV/0!</v>
      </c>
      <c r="R562" s="75">
        <f t="shared" si="139"/>
        <v>0</v>
      </c>
      <c r="S562" s="75" t="e">
        <f t="shared" si="141"/>
        <v>#DIV/0!</v>
      </c>
      <c r="U562" s="306" t="e">
        <f t="shared" si="138"/>
        <v>#DIV/0!</v>
      </c>
    </row>
    <row r="563" spans="4:21" x14ac:dyDescent="0.35">
      <c r="D563" s="3"/>
      <c r="G563" s="3" t="s">
        <v>87</v>
      </c>
      <c r="M563" s="3"/>
      <c r="N563" s="356" t="e" cm="1">
        <f t="array" ref="N563">_xlfn.IFS(I563="AEX",H563/400,I563="RP",H563/200)</f>
        <v>#N/A</v>
      </c>
      <c r="P563" s="75" t="e">
        <f t="shared" si="140"/>
        <v>#DIV/0!</v>
      </c>
      <c r="Q563" s="3" t="e" cm="1">
        <f t="array" ref="Q563">_xlfn.IFS(P563&lt;200, "10", P563&lt;400, "12", P563&lt;600, "14", P563&gt;600, "16")</f>
        <v>#DIV/0!</v>
      </c>
      <c r="R563" s="75">
        <f t="shared" si="139"/>
        <v>0</v>
      </c>
      <c r="S563" s="75" t="e">
        <f t="shared" si="141"/>
        <v>#DIV/0!</v>
      </c>
      <c r="U563" s="306" t="e">
        <f t="shared" si="138"/>
        <v>#DIV/0!</v>
      </c>
    </row>
    <row r="564" spans="4:21" x14ac:dyDescent="0.35">
      <c r="D564" s="3"/>
      <c r="G564" s="3" t="s">
        <v>87</v>
      </c>
      <c r="M564" s="3"/>
      <c r="N564" s="356" t="e" cm="1">
        <f t="array" ref="N564">_xlfn.IFS(I564="AEX",H564/400,I564="RP",H564/200)</f>
        <v>#N/A</v>
      </c>
      <c r="P564" s="75" t="e">
        <f t="shared" si="140"/>
        <v>#DIV/0!</v>
      </c>
      <c r="Q564" s="3" t="e" cm="1">
        <f t="array" ref="Q564">_xlfn.IFS(P564&lt;200, "10", P564&lt;400, "12", P564&lt;600, "14", P564&gt;600, "16")</f>
        <v>#DIV/0!</v>
      </c>
      <c r="R564" s="75">
        <f t="shared" si="139"/>
        <v>0</v>
      </c>
      <c r="S564" s="75" t="e">
        <f t="shared" si="141"/>
        <v>#DIV/0!</v>
      </c>
      <c r="U564" s="306" t="e">
        <f t="shared" si="138"/>
        <v>#DIV/0!</v>
      </c>
    </row>
    <row r="565" spans="4:21" x14ac:dyDescent="0.35">
      <c r="D565" s="3"/>
      <c r="G565" s="3" t="s">
        <v>87</v>
      </c>
      <c r="M565" s="3"/>
      <c r="N565" s="356" t="e" cm="1">
        <f t="array" ref="N565">_xlfn.IFS(I565="AEX",H565/400,I565="RP",H565/200)</f>
        <v>#N/A</v>
      </c>
      <c r="P565" s="75" t="e">
        <f t="shared" si="140"/>
        <v>#DIV/0!</v>
      </c>
      <c r="Q565" s="3" t="e" cm="1">
        <f t="array" ref="Q565">_xlfn.IFS(P565&lt;200, "10", P565&lt;400, "12", P565&lt;600, "14", P565&gt;600, "16")</f>
        <v>#DIV/0!</v>
      </c>
      <c r="R565" s="75">
        <f t="shared" si="139"/>
        <v>0</v>
      </c>
      <c r="S565" s="75" t="e">
        <f t="shared" si="141"/>
        <v>#DIV/0!</v>
      </c>
      <c r="U565" s="306" t="e">
        <f t="shared" si="138"/>
        <v>#DIV/0!</v>
      </c>
    </row>
    <row r="566" spans="4:21" x14ac:dyDescent="0.35">
      <c r="D566" s="3"/>
      <c r="G566" s="3" t="s">
        <v>87</v>
      </c>
      <c r="M566" s="3"/>
      <c r="N566" s="356" t="e" cm="1">
        <f t="array" ref="N566">_xlfn.IFS(I566="AEX",H566/400,I566="RP",H566/200)</f>
        <v>#N/A</v>
      </c>
      <c r="P566" s="75" t="e">
        <f t="shared" si="140"/>
        <v>#DIV/0!</v>
      </c>
      <c r="Q566" s="3" t="e" cm="1">
        <f t="array" ref="Q566">_xlfn.IFS(P566&lt;200, "10", P566&lt;400, "12", P566&lt;600, "14", P566&gt;600, "16")</f>
        <v>#DIV/0!</v>
      </c>
      <c r="R566" s="75">
        <f t="shared" si="139"/>
        <v>0</v>
      </c>
      <c r="S566" s="75" t="e">
        <f t="shared" si="141"/>
        <v>#DIV/0!</v>
      </c>
      <c r="U566" s="306" t="e">
        <f t="shared" si="138"/>
        <v>#DIV/0!</v>
      </c>
    </row>
    <row r="567" spans="4:21" x14ac:dyDescent="0.35">
      <c r="D567" s="3"/>
      <c r="G567" s="3" t="s">
        <v>87</v>
      </c>
      <c r="M567" s="3"/>
      <c r="N567" s="356" t="e" cm="1">
        <f t="array" ref="N567">_xlfn.IFS(I567="AEX",H567/400,I567="RP",H567/200)</f>
        <v>#N/A</v>
      </c>
      <c r="P567" s="75" t="e">
        <f t="shared" si="140"/>
        <v>#DIV/0!</v>
      </c>
      <c r="Q567" s="3" t="e" cm="1">
        <f t="array" ref="Q567">_xlfn.IFS(P567&lt;200, "10", P567&lt;400, "12", P567&lt;600, "14", P567&gt;600, "16")</f>
        <v>#DIV/0!</v>
      </c>
      <c r="R567" s="75">
        <f t="shared" si="139"/>
        <v>0</v>
      </c>
      <c r="S567" s="75" t="e">
        <f t="shared" si="141"/>
        <v>#DIV/0!</v>
      </c>
      <c r="U567" s="306" t="e">
        <f t="shared" si="138"/>
        <v>#DIV/0!</v>
      </c>
    </row>
    <row r="568" spans="4:21" x14ac:dyDescent="0.35">
      <c r="D568" s="3"/>
      <c r="G568" s="3" t="s">
        <v>87</v>
      </c>
      <c r="M568" s="3"/>
      <c r="N568" s="356" t="e" cm="1">
        <f t="array" ref="N568">_xlfn.IFS(I568="AEX",H568/400,I568="RP",H568/200)</f>
        <v>#N/A</v>
      </c>
      <c r="P568" s="75" t="e">
        <f t="shared" si="140"/>
        <v>#DIV/0!</v>
      </c>
      <c r="Q568" s="3" t="e" cm="1">
        <f t="array" ref="Q568">_xlfn.IFS(P568&lt;200, "10", P568&lt;400, "12", P568&lt;600, "14", P568&gt;600, "16")</f>
        <v>#DIV/0!</v>
      </c>
      <c r="R568" s="75">
        <f t="shared" si="139"/>
        <v>0</v>
      </c>
      <c r="S568" s="75" t="e">
        <f t="shared" si="141"/>
        <v>#DIV/0!</v>
      </c>
      <c r="U568" s="306" t="e">
        <f t="shared" si="138"/>
        <v>#DIV/0!</v>
      </c>
    </row>
    <row r="569" spans="4:21" x14ac:dyDescent="0.35">
      <c r="D569" s="3"/>
      <c r="G569" s="3" t="s">
        <v>87</v>
      </c>
      <c r="M569" s="3"/>
      <c r="N569" s="356" t="e" cm="1">
        <f t="array" ref="N569">_xlfn.IFS(I569="AEX",H569/400,I569="RP",H569/200)</f>
        <v>#N/A</v>
      </c>
      <c r="P569" s="75" t="e">
        <f t="shared" ref="P569:P617" si="142">H569/O569</f>
        <v>#DIV/0!</v>
      </c>
      <c r="Q569" s="3" t="e" cm="1">
        <f t="array" ref="Q569">_xlfn.IFS(P569&lt;200, "10", P569&lt;400, "12", P569&lt;600, "14", P569&gt;600, "16")</f>
        <v>#DIV/0!</v>
      </c>
      <c r="R569" s="75">
        <f t="shared" ref="R569:R617" si="143">IF(I569="AEX",H569*0.3/400,H569*0.3/200)</f>
        <v>0</v>
      </c>
      <c r="S569" s="75" t="e">
        <f t="shared" ref="S569:S626" si="144">R569/O569</f>
        <v>#DIV/0!</v>
      </c>
      <c r="U569" s="306" t="e">
        <f t="shared" ref="U569:U577" si="145">T569/H569*100</f>
        <v>#DIV/0!</v>
      </c>
    </row>
    <row r="570" spans="4:21" x14ac:dyDescent="0.35">
      <c r="D570" s="3"/>
      <c r="G570" s="3" t="s">
        <v>87</v>
      </c>
      <c r="M570" s="3"/>
      <c r="N570" s="356" t="e" cm="1">
        <f t="array" ref="N570">_xlfn.IFS(I570="AEX",H570/400,I570="RP",H570/200)</f>
        <v>#N/A</v>
      </c>
      <c r="P570" s="75" t="e">
        <f t="shared" si="142"/>
        <v>#DIV/0!</v>
      </c>
      <c r="Q570" s="3" t="e" cm="1">
        <f t="array" ref="Q570">_xlfn.IFS(P570&lt;200, "10", P570&lt;400, "12", P570&lt;600, "14", P570&gt;600, "16")</f>
        <v>#DIV/0!</v>
      </c>
      <c r="R570" s="75">
        <f t="shared" si="143"/>
        <v>0</v>
      </c>
      <c r="S570" s="75" t="e">
        <f t="shared" si="144"/>
        <v>#DIV/0!</v>
      </c>
      <c r="U570" s="306" t="e">
        <f t="shared" si="145"/>
        <v>#DIV/0!</v>
      </c>
    </row>
    <row r="571" spans="4:21" x14ac:dyDescent="0.35">
      <c r="D571" s="3"/>
      <c r="G571" s="3" t="s">
        <v>87</v>
      </c>
      <c r="M571" s="3"/>
      <c r="N571" s="356" t="e" cm="1">
        <f t="array" ref="N571">_xlfn.IFS(I571="AEX",H571/400,I571="RP",H571/200)</f>
        <v>#N/A</v>
      </c>
      <c r="P571" s="75" t="e">
        <f t="shared" si="142"/>
        <v>#DIV/0!</v>
      </c>
      <c r="Q571" s="3" t="e" cm="1">
        <f t="array" ref="Q571">_xlfn.IFS(P571&lt;200, "10", P571&lt;400, "12", P571&lt;600, "14", P571&gt;600, "16")</f>
        <v>#DIV/0!</v>
      </c>
      <c r="R571" s="75">
        <f t="shared" si="143"/>
        <v>0</v>
      </c>
      <c r="S571" s="75" t="e">
        <f t="shared" si="144"/>
        <v>#DIV/0!</v>
      </c>
      <c r="U571" s="306" t="e">
        <f t="shared" si="145"/>
        <v>#DIV/0!</v>
      </c>
    </row>
    <row r="572" spans="4:21" x14ac:dyDescent="0.35">
      <c r="D572" s="3"/>
      <c r="G572" s="3" t="s">
        <v>87</v>
      </c>
      <c r="M572" s="3"/>
      <c r="N572" s="356" t="e" cm="1">
        <f t="array" ref="N572">_xlfn.IFS(I572="AEX",H572/400,I572="RP",H572/200)</f>
        <v>#N/A</v>
      </c>
      <c r="P572" s="75" t="e">
        <f t="shared" si="142"/>
        <v>#DIV/0!</v>
      </c>
      <c r="Q572" s="3" t="e" cm="1">
        <f t="array" ref="Q572">_xlfn.IFS(P572&lt;200, "10", P572&lt;400, "12", P572&lt;600, "14", P572&gt;600, "16")</f>
        <v>#DIV/0!</v>
      </c>
      <c r="R572" s="75">
        <f t="shared" si="143"/>
        <v>0</v>
      </c>
      <c r="S572" s="75" t="e">
        <f t="shared" si="144"/>
        <v>#DIV/0!</v>
      </c>
      <c r="U572" s="306" t="e">
        <f t="shared" si="145"/>
        <v>#DIV/0!</v>
      </c>
    </row>
    <row r="573" spans="4:21" x14ac:dyDescent="0.35">
      <c r="D573" s="3"/>
      <c r="G573" s="3" t="s">
        <v>87</v>
      </c>
      <c r="M573" s="3"/>
      <c r="N573" s="356" t="e" cm="1">
        <f t="array" ref="N573">_xlfn.IFS(I573="AEX",H573/400,I573="RP",H573/200)</f>
        <v>#N/A</v>
      </c>
      <c r="P573" s="75" t="e">
        <f t="shared" si="142"/>
        <v>#DIV/0!</v>
      </c>
      <c r="Q573" s="3" t="e" cm="1">
        <f t="array" ref="Q573">_xlfn.IFS(P573&lt;200, "10", P573&lt;400, "12", P573&lt;600, "14", P573&gt;600, "16")</f>
        <v>#DIV/0!</v>
      </c>
      <c r="R573" s="75">
        <f t="shared" si="143"/>
        <v>0</v>
      </c>
      <c r="S573" s="75" t="e">
        <f t="shared" si="144"/>
        <v>#DIV/0!</v>
      </c>
      <c r="U573" s="306" t="e">
        <f t="shared" si="145"/>
        <v>#DIV/0!</v>
      </c>
    </row>
    <row r="574" spans="4:21" x14ac:dyDescent="0.35">
      <c r="D574" s="3"/>
      <c r="G574" s="3" t="s">
        <v>87</v>
      </c>
      <c r="M574" s="3"/>
      <c r="N574" s="356" t="e" cm="1">
        <f t="array" ref="N574">_xlfn.IFS(I574="AEX",H574/400,I574="RP",H574/200)</f>
        <v>#N/A</v>
      </c>
      <c r="P574" s="75" t="e">
        <f t="shared" si="142"/>
        <v>#DIV/0!</v>
      </c>
      <c r="Q574" s="3" t="e" cm="1">
        <f t="array" ref="Q574">_xlfn.IFS(P574&lt;200, "10", P574&lt;400, "12", P574&lt;600, "14", P574&gt;600, "16")</f>
        <v>#DIV/0!</v>
      </c>
      <c r="R574" s="75">
        <f t="shared" si="143"/>
        <v>0</v>
      </c>
      <c r="S574" s="75" t="e">
        <f t="shared" si="144"/>
        <v>#DIV/0!</v>
      </c>
      <c r="U574" s="306" t="e">
        <f t="shared" si="145"/>
        <v>#DIV/0!</v>
      </c>
    </row>
    <row r="575" spans="4:21" x14ac:dyDescent="0.35">
      <c r="D575" s="3"/>
      <c r="G575" s="3" t="s">
        <v>87</v>
      </c>
      <c r="M575" s="3"/>
      <c r="N575" s="356" t="e" cm="1">
        <f t="array" ref="N575">_xlfn.IFS(I575="AEX",H575/400,I575="RP",H575/200)</f>
        <v>#N/A</v>
      </c>
      <c r="P575" s="75" t="e">
        <f t="shared" si="142"/>
        <v>#DIV/0!</v>
      </c>
      <c r="Q575" s="3" t="e" cm="1">
        <f t="array" ref="Q575">_xlfn.IFS(P575&lt;200, "10", P575&lt;400, "12", P575&lt;600, "14", P575&gt;600, "16")</f>
        <v>#DIV/0!</v>
      </c>
      <c r="R575" s="75">
        <f t="shared" si="143"/>
        <v>0</v>
      </c>
      <c r="S575" s="75" t="e">
        <f t="shared" si="144"/>
        <v>#DIV/0!</v>
      </c>
      <c r="U575" s="306" t="e">
        <f t="shared" si="145"/>
        <v>#DIV/0!</v>
      </c>
    </row>
    <row r="576" spans="4:21" x14ac:dyDescent="0.35">
      <c r="D576" s="3"/>
      <c r="G576" s="3" t="s">
        <v>87</v>
      </c>
      <c r="M576" s="3"/>
      <c r="N576" s="356" t="e" cm="1">
        <f t="array" ref="N576">_xlfn.IFS(I576="AEX",H576/400,I576="RP",H576/200)</f>
        <v>#N/A</v>
      </c>
      <c r="P576" s="75" t="e">
        <f t="shared" si="142"/>
        <v>#DIV/0!</v>
      </c>
      <c r="Q576" s="3" t="e" cm="1">
        <f t="array" ref="Q576">_xlfn.IFS(P576&lt;200, "10", P576&lt;400, "12", P576&lt;600, "14", P576&gt;600, "16")</f>
        <v>#DIV/0!</v>
      </c>
      <c r="R576" s="75">
        <f t="shared" si="143"/>
        <v>0</v>
      </c>
      <c r="S576" s="75" t="e">
        <f t="shared" si="144"/>
        <v>#DIV/0!</v>
      </c>
      <c r="U576" s="306" t="e">
        <f t="shared" si="145"/>
        <v>#DIV/0!</v>
      </c>
    </row>
    <row r="577" spans="4:21" x14ac:dyDescent="0.35">
      <c r="D577" s="3"/>
      <c r="G577" s="3" t="s">
        <v>87</v>
      </c>
      <c r="M577" s="3"/>
      <c r="N577" s="356" t="e" cm="1">
        <f t="array" ref="N577">_xlfn.IFS(I577="AEX",H577/400,I577="RP",H577/200)</f>
        <v>#N/A</v>
      </c>
      <c r="P577" s="75" t="e">
        <f t="shared" si="142"/>
        <v>#DIV/0!</v>
      </c>
      <c r="Q577" s="3" t="e" cm="1">
        <f t="array" ref="Q577">_xlfn.IFS(P577&lt;200, "10", P577&lt;400, "12", P577&lt;600, "14", P577&gt;600, "16")</f>
        <v>#DIV/0!</v>
      </c>
      <c r="R577" s="75">
        <f t="shared" si="143"/>
        <v>0</v>
      </c>
      <c r="S577" s="75" t="e">
        <f t="shared" si="144"/>
        <v>#DIV/0!</v>
      </c>
      <c r="U577" s="306" t="e">
        <f t="shared" si="145"/>
        <v>#DIV/0!</v>
      </c>
    </row>
    <row r="578" spans="4:21" x14ac:dyDescent="0.35">
      <c r="D578" s="3"/>
      <c r="G578" s="3" t="s">
        <v>87</v>
      </c>
      <c r="M578" s="3"/>
      <c r="N578" s="356" t="e" cm="1">
        <f t="array" ref="N578">_xlfn.IFS(I578="AEX",H578/400,I578="RP",H578/200)</f>
        <v>#N/A</v>
      </c>
      <c r="P578" s="75" t="e">
        <f t="shared" si="142"/>
        <v>#DIV/0!</v>
      </c>
      <c r="Q578" s="3" t="e" cm="1">
        <f t="array" ref="Q578">_xlfn.IFS(P578&lt;200, "10", P578&lt;400, "12", P578&lt;600, "14", P578&gt;600, "16")</f>
        <v>#DIV/0!</v>
      </c>
      <c r="R578" s="75">
        <f t="shared" si="143"/>
        <v>0</v>
      </c>
      <c r="S578" s="75" t="e">
        <f t="shared" si="144"/>
        <v>#DIV/0!</v>
      </c>
      <c r="U578" s="306" t="e">
        <f t="shared" ref="U578:U641" si="146">T578/H578*100</f>
        <v>#DIV/0!</v>
      </c>
    </row>
    <row r="579" spans="4:21" x14ac:dyDescent="0.35">
      <c r="D579" s="3"/>
      <c r="G579" s="3" t="s">
        <v>87</v>
      </c>
      <c r="M579" s="3"/>
      <c r="N579" s="356" t="e" cm="1">
        <f t="array" ref="N579">_xlfn.IFS(I579="AEX",H579/400,I579="RP",H579/200)</f>
        <v>#N/A</v>
      </c>
      <c r="P579" s="75" t="e">
        <f t="shared" si="142"/>
        <v>#DIV/0!</v>
      </c>
      <c r="Q579" s="3" t="e" cm="1">
        <f t="array" ref="Q579">_xlfn.IFS(P579&lt;200, "10", P579&lt;400, "12", P579&lt;600, "14", P579&gt;600, "16")</f>
        <v>#DIV/0!</v>
      </c>
      <c r="R579" s="75">
        <f t="shared" si="143"/>
        <v>0</v>
      </c>
      <c r="S579" s="75" t="e">
        <f t="shared" si="144"/>
        <v>#DIV/0!</v>
      </c>
      <c r="U579" s="306" t="e">
        <f t="shared" si="146"/>
        <v>#DIV/0!</v>
      </c>
    </row>
    <row r="580" spans="4:21" x14ac:dyDescent="0.35">
      <c r="D580" s="3"/>
      <c r="G580" s="3" t="s">
        <v>87</v>
      </c>
      <c r="M580" s="3"/>
      <c r="N580" s="356" t="e" cm="1">
        <f t="array" ref="N580">_xlfn.IFS(I580="AEX",H580/400,I580="RP",H580/200)</f>
        <v>#N/A</v>
      </c>
      <c r="P580" s="75" t="e">
        <f t="shared" si="142"/>
        <v>#DIV/0!</v>
      </c>
      <c r="Q580" s="3" t="e" cm="1">
        <f t="array" ref="Q580">_xlfn.IFS(P580&lt;200, "10", P580&lt;400, "12", P580&lt;600, "14", P580&gt;600, "16")</f>
        <v>#DIV/0!</v>
      </c>
      <c r="R580" s="75">
        <f t="shared" si="143"/>
        <v>0</v>
      </c>
      <c r="S580" s="75" t="e">
        <f t="shared" si="144"/>
        <v>#DIV/0!</v>
      </c>
      <c r="U580" s="306" t="e">
        <f t="shared" si="146"/>
        <v>#DIV/0!</v>
      </c>
    </row>
    <row r="581" spans="4:21" x14ac:dyDescent="0.35">
      <c r="D581" s="3"/>
      <c r="G581" s="3" t="s">
        <v>87</v>
      </c>
      <c r="M581" s="3"/>
      <c r="N581" s="356" t="e" cm="1">
        <f t="array" ref="N581">_xlfn.IFS(I581="AEX",H581/400,I581="RP",H581/200)</f>
        <v>#N/A</v>
      </c>
      <c r="P581" s="75" t="e">
        <f t="shared" si="142"/>
        <v>#DIV/0!</v>
      </c>
      <c r="Q581" s="3" t="e" cm="1">
        <f t="array" ref="Q581">_xlfn.IFS(P581&lt;200, "10", P581&lt;400, "12", P581&lt;600, "14", P581&gt;600, "16")</f>
        <v>#DIV/0!</v>
      </c>
      <c r="R581" s="75">
        <f t="shared" si="143"/>
        <v>0</v>
      </c>
      <c r="S581" s="75" t="e">
        <f t="shared" si="144"/>
        <v>#DIV/0!</v>
      </c>
      <c r="U581" s="306" t="e">
        <f t="shared" si="146"/>
        <v>#DIV/0!</v>
      </c>
    </row>
    <row r="582" spans="4:21" x14ac:dyDescent="0.35">
      <c r="D582" s="3"/>
      <c r="G582" s="3" t="s">
        <v>87</v>
      </c>
      <c r="M582" s="3"/>
      <c r="N582" s="356" t="e" cm="1">
        <f t="array" ref="N582">_xlfn.IFS(I582="AEX",H582/400,I582="RP",H582/200)</f>
        <v>#N/A</v>
      </c>
      <c r="P582" s="75" t="e">
        <f t="shared" si="142"/>
        <v>#DIV/0!</v>
      </c>
      <c r="Q582" s="3" t="e" cm="1">
        <f t="array" ref="Q582">_xlfn.IFS(P582&lt;200, "10", P582&lt;400, "12", P582&lt;600, "14", P582&gt;600, "16")</f>
        <v>#DIV/0!</v>
      </c>
      <c r="R582" s="75">
        <f t="shared" si="143"/>
        <v>0</v>
      </c>
      <c r="S582" s="75" t="e">
        <f t="shared" si="144"/>
        <v>#DIV/0!</v>
      </c>
      <c r="U582" s="306" t="e">
        <f t="shared" si="146"/>
        <v>#DIV/0!</v>
      </c>
    </row>
    <row r="583" spans="4:21" x14ac:dyDescent="0.35">
      <c r="D583" s="3"/>
      <c r="G583" s="3" t="s">
        <v>87</v>
      </c>
      <c r="M583" s="3"/>
      <c r="N583" s="356" t="e" cm="1">
        <f t="array" ref="N583">_xlfn.IFS(I583="AEX",H583/400,I583="RP",H583/200)</f>
        <v>#N/A</v>
      </c>
      <c r="P583" s="75" t="e">
        <f t="shared" si="142"/>
        <v>#DIV/0!</v>
      </c>
      <c r="Q583" s="3" t="e" cm="1">
        <f t="array" ref="Q583">_xlfn.IFS(P583&lt;200, "10", P583&lt;400, "12", P583&lt;600, "14", P583&gt;600, "16")</f>
        <v>#DIV/0!</v>
      </c>
      <c r="R583" s="75">
        <f t="shared" si="143"/>
        <v>0</v>
      </c>
      <c r="S583" s="75" t="e">
        <f t="shared" si="144"/>
        <v>#DIV/0!</v>
      </c>
      <c r="U583" s="306" t="e">
        <f t="shared" si="146"/>
        <v>#DIV/0!</v>
      </c>
    </row>
    <row r="584" spans="4:21" x14ac:dyDescent="0.35">
      <c r="D584" s="3"/>
      <c r="G584" s="3" t="s">
        <v>87</v>
      </c>
      <c r="M584" s="3"/>
      <c r="N584" s="356" t="e" cm="1">
        <f t="array" ref="N584">_xlfn.IFS(I584="AEX",H584/400,I584="RP",H584/200)</f>
        <v>#N/A</v>
      </c>
      <c r="P584" s="75" t="e">
        <f t="shared" si="142"/>
        <v>#DIV/0!</v>
      </c>
      <c r="Q584" s="3" t="e" cm="1">
        <f t="array" ref="Q584">_xlfn.IFS(P584&lt;200, "10", P584&lt;400, "12", P584&lt;600, "14", P584&gt;600, "16")</f>
        <v>#DIV/0!</v>
      </c>
      <c r="R584" s="75">
        <f t="shared" si="143"/>
        <v>0</v>
      </c>
      <c r="S584" s="75" t="e">
        <f t="shared" si="144"/>
        <v>#DIV/0!</v>
      </c>
      <c r="U584" s="306" t="e">
        <f t="shared" si="146"/>
        <v>#DIV/0!</v>
      </c>
    </row>
    <row r="585" spans="4:21" x14ac:dyDescent="0.35">
      <c r="D585" s="3"/>
      <c r="G585" s="3" t="s">
        <v>87</v>
      </c>
      <c r="M585" s="3"/>
      <c r="N585" s="356" t="e" cm="1">
        <f t="array" ref="N585">_xlfn.IFS(I585="AEX",H585/400,I585="RP",H585/200)</f>
        <v>#N/A</v>
      </c>
      <c r="P585" s="75" t="e">
        <f t="shared" si="142"/>
        <v>#DIV/0!</v>
      </c>
      <c r="Q585" s="3" t="e" cm="1">
        <f t="array" ref="Q585">_xlfn.IFS(P585&lt;200, "10", P585&lt;400, "12", P585&lt;600, "14", P585&gt;600, "16")</f>
        <v>#DIV/0!</v>
      </c>
      <c r="R585" s="75">
        <f t="shared" si="143"/>
        <v>0</v>
      </c>
      <c r="S585" s="75" t="e">
        <f t="shared" si="144"/>
        <v>#DIV/0!</v>
      </c>
      <c r="U585" s="306" t="e">
        <f t="shared" si="146"/>
        <v>#DIV/0!</v>
      </c>
    </row>
    <row r="586" spans="4:21" x14ac:dyDescent="0.35">
      <c r="D586" s="3"/>
      <c r="G586" s="3" t="s">
        <v>87</v>
      </c>
      <c r="M586" s="3"/>
      <c r="N586" s="356" t="e" cm="1">
        <f t="array" ref="N586">_xlfn.IFS(I586="AEX",H586/400,I586="RP",H586/200)</f>
        <v>#N/A</v>
      </c>
      <c r="P586" s="75" t="e">
        <f t="shared" si="142"/>
        <v>#DIV/0!</v>
      </c>
      <c r="Q586" s="3" t="e" cm="1">
        <f t="array" ref="Q586">_xlfn.IFS(P586&lt;200, "10", P586&lt;400, "12", P586&lt;600, "14", P586&gt;600, "16")</f>
        <v>#DIV/0!</v>
      </c>
      <c r="R586" s="75">
        <f t="shared" si="143"/>
        <v>0</v>
      </c>
      <c r="S586" s="75" t="e">
        <f t="shared" si="144"/>
        <v>#DIV/0!</v>
      </c>
      <c r="U586" s="306" t="e">
        <f t="shared" si="146"/>
        <v>#DIV/0!</v>
      </c>
    </row>
    <row r="587" spans="4:21" x14ac:dyDescent="0.35">
      <c r="D587" s="3"/>
      <c r="G587" s="3" t="s">
        <v>87</v>
      </c>
      <c r="M587" s="3"/>
      <c r="N587" s="356" t="e" cm="1">
        <f t="array" ref="N587">_xlfn.IFS(I587="AEX",H587/400,I587="RP",H587/200)</f>
        <v>#N/A</v>
      </c>
      <c r="P587" s="75" t="e">
        <f t="shared" si="142"/>
        <v>#DIV/0!</v>
      </c>
      <c r="Q587" s="3" t="e" cm="1">
        <f t="array" ref="Q587">_xlfn.IFS(P587&lt;200, "10", P587&lt;400, "12", P587&lt;600, "14", P587&gt;600, "16")</f>
        <v>#DIV/0!</v>
      </c>
      <c r="R587" s="75">
        <f t="shared" si="143"/>
        <v>0</v>
      </c>
      <c r="S587" s="75" t="e">
        <f t="shared" si="144"/>
        <v>#DIV/0!</v>
      </c>
      <c r="U587" s="306" t="e">
        <f t="shared" si="146"/>
        <v>#DIV/0!</v>
      </c>
    </row>
    <row r="588" spans="4:21" x14ac:dyDescent="0.35">
      <c r="D588" s="3"/>
      <c r="G588" s="3" t="s">
        <v>87</v>
      </c>
      <c r="M588" s="3"/>
      <c r="N588" s="356" t="e" cm="1">
        <f t="array" ref="N588">_xlfn.IFS(I588="AEX",H588/400,I588="RP",H588/200)</f>
        <v>#N/A</v>
      </c>
      <c r="P588" s="75" t="e">
        <f t="shared" si="142"/>
        <v>#DIV/0!</v>
      </c>
      <c r="Q588" s="3" t="e" cm="1">
        <f t="array" ref="Q588">_xlfn.IFS(P588&lt;200, "10", P588&lt;400, "12", P588&lt;600, "14", P588&gt;600, "16")</f>
        <v>#DIV/0!</v>
      </c>
      <c r="R588" s="75">
        <f t="shared" si="143"/>
        <v>0</v>
      </c>
      <c r="S588" s="75" t="e">
        <f t="shared" si="144"/>
        <v>#DIV/0!</v>
      </c>
      <c r="U588" s="306" t="e">
        <f t="shared" si="146"/>
        <v>#DIV/0!</v>
      </c>
    </row>
    <row r="589" spans="4:21" x14ac:dyDescent="0.35">
      <c r="D589" s="3"/>
      <c r="G589" s="3" t="s">
        <v>87</v>
      </c>
      <c r="M589" s="3"/>
      <c r="N589" s="356" t="e" cm="1">
        <f t="array" ref="N589">_xlfn.IFS(I589="AEX",H589/400,I589="RP",H589/200)</f>
        <v>#N/A</v>
      </c>
      <c r="P589" s="75" t="e">
        <f t="shared" si="142"/>
        <v>#DIV/0!</v>
      </c>
      <c r="Q589" s="3" t="e" cm="1">
        <f t="array" ref="Q589">_xlfn.IFS(P589&lt;200, "10", P589&lt;400, "12", P589&lt;600, "14", P589&gt;600, "16")</f>
        <v>#DIV/0!</v>
      </c>
      <c r="R589" s="75">
        <f t="shared" si="143"/>
        <v>0</v>
      </c>
      <c r="S589" s="75" t="e">
        <f t="shared" si="144"/>
        <v>#DIV/0!</v>
      </c>
      <c r="U589" s="306" t="e">
        <f t="shared" si="146"/>
        <v>#DIV/0!</v>
      </c>
    </row>
    <row r="590" spans="4:21" x14ac:dyDescent="0.35">
      <c r="D590" s="3"/>
      <c r="G590" s="3" t="s">
        <v>87</v>
      </c>
      <c r="M590" s="3"/>
      <c r="N590" s="356" t="e" cm="1">
        <f t="array" ref="N590">_xlfn.IFS(I590="AEX",H590/400,I590="RP",H590/200)</f>
        <v>#N/A</v>
      </c>
      <c r="P590" s="75" t="e">
        <f t="shared" si="142"/>
        <v>#DIV/0!</v>
      </c>
      <c r="Q590" s="3" t="e" cm="1">
        <f t="array" ref="Q590">_xlfn.IFS(P590&lt;200, "10", P590&lt;400, "12", P590&lt;600, "14", P590&gt;600, "16")</f>
        <v>#DIV/0!</v>
      </c>
      <c r="R590" s="75">
        <f t="shared" si="143"/>
        <v>0</v>
      </c>
      <c r="S590" s="75" t="e">
        <f t="shared" si="144"/>
        <v>#DIV/0!</v>
      </c>
      <c r="U590" s="306" t="e">
        <f t="shared" si="146"/>
        <v>#DIV/0!</v>
      </c>
    </row>
    <row r="591" spans="4:21" x14ac:dyDescent="0.35">
      <c r="D591" s="3"/>
      <c r="G591" s="3" t="s">
        <v>87</v>
      </c>
      <c r="M591" s="3"/>
      <c r="N591" s="356" t="e" cm="1">
        <f t="array" ref="N591">_xlfn.IFS(I591="AEX",H591/400,I591="RP",H591/200)</f>
        <v>#N/A</v>
      </c>
      <c r="P591" s="75" t="e">
        <f t="shared" si="142"/>
        <v>#DIV/0!</v>
      </c>
      <c r="Q591" s="3" t="e" cm="1">
        <f t="array" ref="Q591">_xlfn.IFS(P591&lt;200, "10", P591&lt;400, "12", P591&lt;600, "14", P591&gt;600, "16")</f>
        <v>#DIV/0!</v>
      </c>
      <c r="R591" s="75">
        <f t="shared" si="143"/>
        <v>0</v>
      </c>
      <c r="S591" s="75" t="e">
        <f t="shared" si="144"/>
        <v>#DIV/0!</v>
      </c>
      <c r="U591" s="306" t="e">
        <f t="shared" si="146"/>
        <v>#DIV/0!</v>
      </c>
    </row>
    <row r="592" spans="4:21" x14ac:dyDescent="0.35">
      <c r="D592" s="3"/>
      <c r="G592" s="3" t="s">
        <v>87</v>
      </c>
      <c r="M592" s="3"/>
      <c r="N592" s="356" t="e" cm="1">
        <f t="array" ref="N592">_xlfn.IFS(I592="AEX",H592/400,I592="RP",H592/200)</f>
        <v>#N/A</v>
      </c>
      <c r="P592" s="75" t="e">
        <f t="shared" si="142"/>
        <v>#DIV/0!</v>
      </c>
      <c r="Q592" s="3" t="e" cm="1">
        <f t="array" ref="Q592">_xlfn.IFS(P592&lt;200, "10", P592&lt;400, "12", P592&lt;600, "14", P592&gt;600, "16")</f>
        <v>#DIV/0!</v>
      </c>
      <c r="R592" s="75">
        <f t="shared" si="143"/>
        <v>0</v>
      </c>
      <c r="S592" s="75" t="e">
        <f t="shared" si="144"/>
        <v>#DIV/0!</v>
      </c>
      <c r="U592" s="306" t="e">
        <f t="shared" si="146"/>
        <v>#DIV/0!</v>
      </c>
    </row>
    <row r="593" spans="4:21" x14ac:dyDescent="0.35">
      <c r="D593" s="3"/>
      <c r="G593" s="3" t="s">
        <v>87</v>
      </c>
      <c r="M593" s="3"/>
      <c r="N593" s="356" t="e" cm="1">
        <f t="array" ref="N593">_xlfn.IFS(I593="AEX",H593/400,I593="RP",H593/200)</f>
        <v>#N/A</v>
      </c>
      <c r="P593" s="75" t="e">
        <f t="shared" si="142"/>
        <v>#DIV/0!</v>
      </c>
      <c r="Q593" s="3" t="e" cm="1">
        <f t="array" ref="Q593">_xlfn.IFS(P593&lt;200, "10", P593&lt;400, "12", P593&lt;600, "14", P593&gt;600, "16")</f>
        <v>#DIV/0!</v>
      </c>
      <c r="R593" s="75">
        <f t="shared" si="143"/>
        <v>0</v>
      </c>
      <c r="S593" s="75" t="e">
        <f t="shared" si="144"/>
        <v>#DIV/0!</v>
      </c>
      <c r="U593" s="306" t="e">
        <f t="shared" si="146"/>
        <v>#DIV/0!</v>
      </c>
    </row>
    <row r="594" spans="4:21" x14ac:dyDescent="0.35">
      <c r="D594" s="3"/>
      <c r="G594" s="3" t="s">
        <v>87</v>
      </c>
      <c r="M594" s="3"/>
      <c r="N594" s="356" t="e" cm="1">
        <f t="array" ref="N594">_xlfn.IFS(I594="AEX",H594/400,I594="RP",H594/200)</f>
        <v>#N/A</v>
      </c>
      <c r="P594" s="75" t="e">
        <f t="shared" si="142"/>
        <v>#DIV/0!</v>
      </c>
      <c r="Q594" s="3" t="e" cm="1">
        <f t="array" ref="Q594">_xlfn.IFS(P594&lt;200, "10", P594&lt;400, "12", P594&lt;600, "14", P594&gt;600, "16")</f>
        <v>#DIV/0!</v>
      </c>
      <c r="R594" s="75">
        <f t="shared" si="143"/>
        <v>0</v>
      </c>
      <c r="S594" s="75" t="e">
        <f t="shared" si="144"/>
        <v>#DIV/0!</v>
      </c>
      <c r="U594" s="306" t="e">
        <f t="shared" si="146"/>
        <v>#DIV/0!</v>
      </c>
    </row>
    <row r="595" spans="4:21" x14ac:dyDescent="0.35">
      <c r="D595" s="3"/>
      <c r="G595" s="3" t="s">
        <v>87</v>
      </c>
      <c r="M595" s="3"/>
      <c r="N595" s="356" t="e" cm="1">
        <f t="array" ref="N595">_xlfn.IFS(I595="AEX",H595/400,I595="RP",H595/200)</f>
        <v>#N/A</v>
      </c>
      <c r="P595" s="75" t="e">
        <f t="shared" si="142"/>
        <v>#DIV/0!</v>
      </c>
      <c r="Q595" s="3" t="e" cm="1">
        <f t="array" ref="Q595">_xlfn.IFS(P595&lt;200, "10", P595&lt;400, "12", P595&lt;600, "14", P595&gt;600, "16")</f>
        <v>#DIV/0!</v>
      </c>
      <c r="R595" s="75">
        <f t="shared" si="143"/>
        <v>0</v>
      </c>
      <c r="S595" s="75" t="e">
        <f t="shared" si="144"/>
        <v>#DIV/0!</v>
      </c>
      <c r="U595" s="306" t="e">
        <f t="shared" si="146"/>
        <v>#DIV/0!</v>
      </c>
    </row>
    <row r="596" spans="4:21" x14ac:dyDescent="0.35">
      <c r="D596" s="3"/>
      <c r="G596" s="3" t="s">
        <v>87</v>
      </c>
      <c r="M596" s="3"/>
      <c r="N596" s="356" t="e" cm="1">
        <f t="array" ref="N596">_xlfn.IFS(I596="AEX",H596/400,I596="RP",H596/200)</f>
        <v>#N/A</v>
      </c>
      <c r="P596" s="75" t="e">
        <f t="shared" si="142"/>
        <v>#DIV/0!</v>
      </c>
      <c r="Q596" s="3" t="e" cm="1">
        <f t="array" ref="Q596">_xlfn.IFS(P596&lt;200, "10", P596&lt;400, "12", P596&lt;600, "14", P596&gt;600, "16")</f>
        <v>#DIV/0!</v>
      </c>
      <c r="R596" s="75">
        <f t="shared" si="143"/>
        <v>0</v>
      </c>
      <c r="S596" s="75" t="e">
        <f t="shared" si="144"/>
        <v>#DIV/0!</v>
      </c>
      <c r="U596" s="306" t="e">
        <f t="shared" si="146"/>
        <v>#DIV/0!</v>
      </c>
    </row>
    <row r="597" spans="4:21" x14ac:dyDescent="0.35">
      <c r="D597" s="3"/>
      <c r="G597" s="3" t="s">
        <v>87</v>
      </c>
      <c r="M597" s="3"/>
      <c r="N597" s="356" t="e" cm="1">
        <f t="array" ref="N597">_xlfn.IFS(I597="AEX",H597/400,I597="RP",H597/200)</f>
        <v>#N/A</v>
      </c>
      <c r="P597" s="75" t="e">
        <f t="shared" si="142"/>
        <v>#DIV/0!</v>
      </c>
      <c r="Q597" s="3" t="e" cm="1">
        <f t="array" ref="Q597">_xlfn.IFS(P597&lt;200, "10", P597&lt;400, "12", P597&lt;600, "14", P597&gt;600, "16")</f>
        <v>#DIV/0!</v>
      </c>
      <c r="R597" s="75">
        <f t="shared" si="143"/>
        <v>0</v>
      </c>
      <c r="S597" s="75" t="e">
        <f t="shared" si="144"/>
        <v>#DIV/0!</v>
      </c>
      <c r="U597" s="306" t="e">
        <f t="shared" si="146"/>
        <v>#DIV/0!</v>
      </c>
    </row>
    <row r="598" spans="4:21" x14ac:dyDescent="0.35">
      <c r="D598" s="3"/>
      <c r="G598" s="3" t="s">
        <v>87</v>
      </c>
      <c r="M598" s="3"/>
      <c r="N598" s="356" t="e" cm="1">
        <f t="array" ref="N598">_xlfn.IFS(I598="AEX",H598/400,I598="RP",H598/200)</f>
        <v>#N/A</v>
      </c>
      <c r="P598" s="75" t="e">
        <f t="shared" si="142"/>
        <v>#DIV/0!</v>
      </c>
      <c r="Q598" s="3" t="e" cm="1">
        <f t="array" ref="Q598">_xlfn.IFS(P598&lt;200, "10", P598&lt;400, "12", P598&lt;600, "14", P598&gt;600, "16")</f>
        <v>#DIV/0!</v>
      </c>
      <c r="R598" s="75">
        <f t="shared" si="143"/>
        <v>0</v>
      </c>
      <c r="S598" s="75" t="e">
        <f t="shared" si="144"/>
        <v>#DIV/0!</v>
      </c>
      <c r="U598" s="306" t="e">
        <f t="shared" si="146"/>
        <v>#DIV/0!</v>
      </c>
    </row>
    <row r="599" spans="4:21" x14ac:dyDescent="0.35">
      <c r="D599" s="3"/>
      <c r="G599" s="3" t="s">
        <v>87</v>
      </c>
      <c r="M599" s="3"/>
      <c r="N599" s="356" t="e" cm="1">
        <f t="array" ref="N599">_xlfn.IFS(I599="AEX",H599/400,I599="RP",H599/200)</f>
        <v>#N/A</v>
      </c>
      <c r="P599" s="75" t="e">
        <f t="shared" si="142"/>
        <v>#DIV/0!</v>
      </c>
      <c r="Q599" s="3" t="e" cm="1">
        <f t="array" ref="Q599">_xlfn.IFS(P599&lt;200, "10", P599&lt;400, "12", P599&lt;600, "14", P599&gt;600, "16")</f>
        <v>#DIV/0!</v>
      </c>
      <c r="R599" s="75">
        <f t="shared" si="143"/>
        <v>0</v>
      </c>
      <c r="S599" s="75" t="e">
        <f t="shared" si="144"/>
        <v>#DIV/0!</v>
      </c>
      <c r="U599" s="306" t="e">
        <f t="shared" si="146"/>
        <v>#DIV/0!</v>
      </c>
    </row>
    <row r="600" spans="4:21" x14ac:dyDescent="0.35">
      <c r="D600" s="3"/>
      <c r="G600" s="3" t="s">
        <v>87</v>
      </c>
      <c r="M600" s="3"/>
      <c r="N600" s="356" t="e" cm="1">
        <f t="array" ref="N600">_xlfn.IFS(I600="AEX",H600/400,I600="RP",H600/200)</f>
        <v>#N/A</v>
      </c>
      <c r="P600" s="75" t="e">
        <f t="shared" si="142"/>
        <v>#DIV/0!</v>
      </c>
      <c r="Q600" s="3" t="e" cm="1">
        <f t="array" ref="Q600">_xlfn.IFS(P600&lt;200, "10", P600&lt;400, "12", P600&lt;600, "14", P600&gt;600, "16")</f>
        <v>#DIV/0!</v>
      </c>
      <c r="R600" s="75">
        <f t="shared" si="143"/>
        <v>0</v>
      </c>
      <c r="S600" s="75" t="e">
        <f t="shared" si="144"/>
        <v>#DIV/0!</v>
      </c>
      <c r="U600" s="306" t="e">
        <f t="shared" si="146"/>
        <v>#DIV/0!</v>
      </c>
    </row>
    <row r="601" spans="4:21" x14ac:dyDescent="0.35">
      <c r="D601" s="3"/>
      <c r="G601" s="3" t="s">
        <v>87</v>
      </c>
      <c r="M601" s="3"/>
      <c r="N601" s="356" t="e" cm="1">
        <f t="array" ref="N601">_xlfn.IFS(I601="AEX",H601/400,I601="RP",H601/200)</f>
        <v>#N/A</v>
      </c>
      <c r="P601" s="75" t="e">
        <f t="shared" si="142"/>
        <v>#DIV/0!</v>
      </c>
      <c r="Q601" s="3" t="e" cm="1">
        <f t="array" ref="Q601">_xlfn.IFS(P601&lt;200, "10", P601&lt;400, "12", P601&lt;600, "14", P601&gt;600, "16")</f>
        <v>#DIV/0!</v>
      </c>
      <c r="R601" s="75">
        <f t="shared" si="143"/>
        <v>0</v>
      </c>
      <c r="S601" s="75" t="e">
        <f t="shared" si="144"/>
        <v>#DIV/0!</v>
      </c>
      <c r="U601" s="306" t="e">
        <f t="shared" si="146"/>
        <v>#DIV/0!</v>
      </c>
    </row>
    <row r="602" spans="4:21" x14ac:dyDescent="0.35">
      <c r="D602" s="3"/>
      <c r="G602" s="3" t="s">
        <v>87</v>
      </c>
      <c r="M602" s="3"/>
      <c r="N602" s="356" t="e" cm="1">
        <f t="array" ref="N602">_xlfn.IFS(I602="AEX",H602/400,I602="RP",H602/200)</f>
        <v>#N/A</v>
      </c>
      <c r="P602" s="75" t="e">
        <f t="shared" si="142"/>
        <v>#DIV/0!</v>
      </c>
      <c r="Q602" s="3" t="e" cm="1">
        <f t="array" ref="Q602">_xlfn.IFS(P602&lt;200, "10", P602&lt;400, "12", P602&lt;600, "14", P602&gt;600, "16")</f>
        <v>#DIV/0!</v>
      </c>
      <c r="R602" s="75">
        <f t="shared" si="143"/>
        <v>0</v>
      </c>
      <c r="S602" s="75" t="e">
        <f t="shared" si="144"/>
        <v>#DIV/0!</v>
      </c>
      <c r="U602" s="306" t="e">
        <f t="shared" si="146"/>
        <v>#DIV/0!</v>
      </c>
    </row>
    <row r="603" spans="4:21" x14ac:dyDescent="0.35">
      <c r="D603" s="3"/>
      <c r="G603" s="3" t="s">
        <v>87</v>
      </c>
      <c r="M603" s="3"/>
      <c r="N603" s="356" t="e" cm="1">
        <f t="array" ref="N603">_xlfn.IFS(I603="AEX",H603/400,I603="RP",H603/200)</f>
        <v>#N/A</v>
      </c>
      <c r="P603" s="75" t="e">
        <f t="shared" si="142"/>
        <v>#DIV/0!</v>
      </c>
      <c r="Q603" s="3" t="e" cm="1">
        <f t="array" ref="Q603">_xlfn.IFS(P603&lt;200, "10", P603&lt;400, "12", P603&lt;600, "14", P603&gt;600, "16")</f>
        <v>#DIV/0!</v>
      </c>
      <c r="R603" s="75">
        <f t="shared" si="143"/>
        <v>0</v>
      </c>
      <c r="S603" s="75" t="e">
        <f t="shared" si="144"/>
        <v>#DIV/0!</v>
      </c>
      <c r="U603" s="306" t="e">
        <f t="shared" si="146"/>
        <v>#DIV/0!</v>
      </c>
    </row>
    <row r="604" spans="4:21" x14ac:dyDescent="0.35">
      <c r="D604" s="3"/>
      <c r="G604" s="3" t="s">
        <v>87</v>
      </c>
      <c r="M604" s="3"/>
      <c r="N604" s="356" t="e" cm="1">
        <f t="array" ref="N604">_xlfn.IFS(I604="AEX",H604/400,I604="RP",H604/200)</f>
        <v>#N/A</v>
      </c>
      <c r="P604" s="75" t="e">
        <f t="shared" si="142"/>
        <v>#DIV/0!</v>
      </c>
      <c r="Q604" s="3" t="e" cm="1">
        <f t="array" ref="Q604">_xlfn.IFS(P604&lt;200, "10", P604&lt;400, "12", P604&lt;600, "14", P604&gt;600, "16")</f>
        <v>#DIV/0!</v>
      </c>
      <c r="R604" s="75">
        <f t="shared" si="143"/>
        <v>0</v>
      </c>
      <c r="S604" s="75" t="e">
        <f t="shared" si="144"/>
        <v>#DIV/0!</v>
      </c>
      <c r="U604" s="306" t="e">
        <f t="shared" si="146"/>
        <v>#DIV/0!</v>
      </c>
    </row>
    <row r="605" spans="4:21" x14ac:dyDescent="0.35">
      <c r="D605" s="3"/>
      <c r="G605" s="3" t="s">
        <v>87</v>
      </c>
      <c r="M605" s="3"/>
      <c r="N605" s="356" t="e" cm="1">
        <f t="array" ref="N605">_xlfn.IFS(I605="AEX",H605/400,I605="RP",H605/200)</f>
        <v>#N/A</v>
      </c>
      <c r="P605" s="75" t="e">
        <f t="shared" si="142"/>
        <v>#DIV/0!</v>
      </c>
      <c r="Q605" s="3" t="e" cm="1">
        <f t="array" ref="Q605">_xlfn.IFS(P605&lt;200, "10", P605&lt;400, "12", P605&lt;600, "14", P605&gt;600, "16")</f>
        <v>#DIV/0!</v>
      </c>
      <c r="R605" s="75">
        <f t="shared" si="143"/>
        <v>0</v>
      </c>
      <c r="S605" s="75" t="e">
        <f t="shared" si="144"/>
        <v>#DIV/0!</v>
      </c>
      <c r="U605" s="306" t="e">
        <f t="shared" si="146"/>
        <v>#DIV/0!</v>
      </c>
    </row>
    <row r="606" spans="4:21" x14ac:dyDescent="0.35">
      <c r="D606" s="3"/>
      <c r="G606" s="3" t="s">
        <v>87</v>
      </c>
      <c r="M606" s="3"/>
      <c r="N606" s="356" t="e" cm="1">
        <f t="array" ref="N606">_xlfn.IFS(I606="AEX",H606/400,I606="RP",H606/200)</f>
        <v>#N/A</v>
      </c>
      <c r="P606" s="75" t="e">
        <f t="shared" si="142"/>
        <v>#DIV/0!</v>
      </c>
      <c r="Q606" s="3" t="e" cm="1">
        <f t="array" ref="Q606">_xlfn.IFS(P606&lt;200, "10", P606&lt;400, "12", P606&lt;600, "14", P606&gt;600, "16")</f>
        <v>#DIV/0!</v>
      </c>
      <c r="R606" s="75">
        <f t="shared" si="143"/>
        <v>0</v>
      </c>
      <c r="S606" s="75" t="e">
        <f t="shared" si="144"/>
        <v>#DIV/0!</v>
      </c>
      <c r="U606" s="306" t="e">
        <f t="shared" si="146"/>
        <v>#DIV/0!</v>
      </c>
    </row>
    <row r="607" spans="4:21" x14ac:dyDescent="0.35">
      <c r="D607" s="3"/>
      <c r="G607" s="3" t="s">
        <v>87</v>
      </c>
      <c r="M607" s="3"/>
      <c r="N607" s="356" t="e" cm="1">
        <f t="array" ref="N607">_xlfn.IFS(I607="AEX",H607/400,I607="RP",H607/200)</f>
        <v>#N/A</v>
      </c>
      <c r="P607" s="75" t="e">
        <f t="shared" si="142"/>
        <v>#DIV/0!</v>
      </c>
      <c r="Q607" s="3" t="e" cm="1">
        <f t="array" ref="Q607">_xlfn.IFS(P607&lt;200, "10", P607&lt;400, "12", P607&lt;600, "14", P607&gt;600, "16")</f>
        <v>#DIV/0!</v>
      </c>
      <c r="R607" s="75">
        <f t="shared" si="143"/>
        <v>0</v>
      </c>
      <c r="S607" s="75" t="e">
        <f t="shared" si="144"/>
        <v>#DIV/0!</v>
      </c>
      <c r="U607" s="306" t="e">
        <f t="shared" si="146"/>
        <v>#DIV/0!</v>
      </c>
    </row>
    <row r="608" spans="4:21" x14ac:dyDescent="0.35">
      <c r="D608" s="3"/>
      <c r="G608" s="3" t="s">
        <v>87</v>
      </c>
      <c r="M608" s="3"/>
      <c r="N608" s="356" t="e" cm="1">
        <f t="array" ref="N608">_xlfn.IFS(I608="AEX",H608/400,I608="RP",H608/200)</f>
        <v>#N/A</v>
      </c>
      <c r="P608" s="75" t="e">
        <f t="shared" si="142"/>
        <v>#DIV/0!</v>
      </c>
      <c r="Q608" s="3" t="e" cm="1">
        <f t="array" ref="Q608">_xlfn.IFS(P608&lt;200, "10", P608&lt;400, "12", P608&lt;600, "14", P608&gt;600, "16")</f>
        <v>#DIV/0!</v>
      </c>
      <c r="R608" s="75">
        <f t="shared" si="143"/>
        <v>0</v>
      </c>
      <c r="S608" s="75" t="e">
        <f t="shared" si="144"/>
        <v>#DIV/0!</v>
      </c>
      <c r="U608" s="306" t="e">
        <f t="shared" si="146"/>
        <v>#DIV/0!</v>
      </c>
    </row>
    <row r="609" spans="4:21" x14ac:dyDescent="0.35">
      <c r="D609" s="3"/>
      <c r="G609" s="3" t="s">
        <v>87</v>
      </c>
      <c r="M609" s="3"/>
      <c r="N609" s="356" t="e" cm="1">
        <f t="array" ref="N609">_xlfn.IFS(I609="AEX",H609/400,I609="RP",H609/200)</f>
        <v>#N/A</v>
      </c>
      <c r="P609" s="75" t="e">
        <f t="shared" si="142"/>
        <v>#DIV/0!</v>
      </c>
      <c r="Q609" s="3" t="e" cm="1">
        <f t="array" ref="Q609">_xlfn.IFS(P609&lt;200, "10", P609&lt;400, "12", P609&lt;600, "14", P609&gt;600, "16")</f>
        <v>#DIV/0!</v>
      </c>
      <c r="R609" s="75">
        <f t="shared" si="143"/>
        <v>0</v>
      </c>
      <c r="S609" s="75" t="e">
        <f t="shared" si="144"/>
        <v>#DIV/0!</v>
      </c>
      <c r="U609" s="306" t="e">
        <f t="shared" si="146"/>
        <v>#DIV/0!</v>
      </c>
    </row>
    <row r="610" spans="4:21" x14ac:dyDescent="0.35">
      <c r="D610" s="3"/>
      <c r="G610" s="3" t="s">
        <v>87</v>
      </c>
      <c r="M610" s="3"/>
      <c r="N610" s="356" t="e" cm="1">
        <f t="array" ref="N610">_xlfn.IFS(I610="AEX",H610/400,I610="RP",H610/200)</f>
        <v>#N/A</v>
      </c>
      <c r="P610" s="75" t="e">
        <f t="shared" si="142"/>
        <v>#DIV/0!</v>
      </c>
      <c r="Q610" s="3" t="e" cm="1">
        <f t="array" ref="Q610">_xlfn.IFS(P610&lt;200, "10", P610&lt;400, "12", P610&lt;600, "14", P610&gt;600, "16")</f>
        <v>#DIV/0!</v>
      </c>
      <c r="R610" s="75">
        <f t="shared" si="143"/>
        <v>0</v>
      </c>
      <c r="S610" s="75" t="e">
        <f t="shared" si="144"/>
        <v>#DIV/0!</v>
      </c>
      <c r="U610" s="306" t="e">
        <f t="shared" si="146"/>
        <v>#DIV/0!</v>
      </c>
    </row>
    <row r="611" spans="4:21" x14ac:dyDescent="0.35">
      <c r="D611" s="3"/>
      <c r="G611" s="3" t="s">
        <v>87</v>
      </c>
      <c r="M611" s="3"/>
      <c r="N611" s="356" t="e" cm="1">
        <f t="array" ref="N611">_xlfn.IFS(I611="AEX",H611/400,I611="RP",H611/200)</f>
        <v>#N/A</v>
      </c>
      <c r="P611" s="75" t="e">
        <f t="shared" si="142"/>
        <v>#DIV/0!</v>
      </c>
      <c r="Q611" s="3" t="e" cm="1">
        <f t="array" ref="Q611">_xlfn.IFS(P611&lt;200, "10", P611&lt;400, "12", P611&lt;600, "14", P611&gt;600, "16")</f>
        <v>#DIV/0!</v>
      </c>
      <c r="R611" s="75">
        <f t="shared" si="143"/>
        <v>0</v>
      </c>
      <c r="S611" s="75" t="e">
        <f t="shared" si="144"/>
        <v>#DIV/0!</v>
      </c>
      <c r="U611" s="306" t="e">
        <f t="shared" si="146"/>
        <v>#DIV/0!</v>
      </c>
    </row>
    <row r="612" spans="4:21" x14ac:dyDescent="0.35">
      <c r="D612" s="3"/>
      <c r="G612" s="3" t="s">
        <v>87</v>
      </c>
      <c r="M612" s="3"/>
      <c r="N612" s="356" t="e" cm="1">
        <f t="array" ref="N612">_xlfn.IFS(I612="AEX",H612/400,I612="RP",H612/200)</f>
        <v>#N/A</v>
      </c>
      <c r="P612" s="75" t="e">
        <f t="shared" si="142"/>
        <v>#DIV/0!</v>
      </c>
      <c r="Q612" s="3" t="e" cm="1">
        <f t="array" ref="Q612">_xlfn.IFS(P612&lt;200, "10", P612&lt;400, "12", P612&lt;600, "14", P612&gt;600, "16")</f>
        <v>#DIV/0!</v>
      </c>
      <c r="R612" s="75">
        <f t="shared" si="143"/>
        <v>0</v>
      </c>
      <c r="S612" s="75" t="e">
        <f t="shared" si="144"/>
        <v>#DIV/0!</v>
      </c>
      <c r="U612" s="306" t="e">
        <f t="shared" si="146"/>
        <v>#DIV/0!</v>
      </c>
    </row>
    <row r="613" spans="4:21" x14ac:dyDescent="0.35">
      <c r="D613" s="3"/>
      <c r="G613" s="3" t="s">
        <v>87</v>
      </c>
      <c r="M613" s="3"/>
      <c r="N613" s="356" t="e" cm="1">
        <f t="array" ref="N613">_xlfn.IFS(I613="AEX",H613/400,I613="RP",H613/200)</f>
        <v>#N/A</v>
      </c>
      <c r="P613" s="75" t="e">
        <f t="shared" si="142"/>
        <v>#DIV/0!</v>
      </c>
      <c r="Q613" s="3" t="e" cm="1">
        <f t="array" ref="Q613">_xlfn.IFS(P613&lt;200, "10", P613&lt;400, "12", P613&lt;600, "14", P613&gt;600, "16")</f>
        <v>#DIV/0!</v>
      </c>
      <c r="R613" s="75">
        <f t="shared" si="143"/>
        <v>0</v>
      </c>
      <c r="S613" s="75" t="e">
        <f t="shared" si="144"/>
        <v>#DIV/0!</v>
      </c>
      <c r="U613" s="306" t="e">
        <f t="shared" si="146"/>
        <v>#DIV/0!</v>
      </c>
    </row>
    <row r="614" spans="4:21" x14ac:dyDescent="0.35">
      <c r="D614" s="3"/>
      <c r="G614" s="3" t="s">
        <v>87</v>
      </c>
      <c r="M614" s="3"/>
      <c r="N614" s="356" t="e" cm="1">
        <f t="array" ref="N614">_xlfn.IFS(I614="AEX",H614/400,I614="RP",H614/200)</f>
        <v>#N/A</v>
      </c>
      <c r="P614" s="75" t="e">
        <f t="shared" si="142"/>
        <v>#DIV/0!</v>
      </c>
      <c r="Q614" s="3" t="e" cm="1">
        <f t="array" ref="Q614">_xlfn.IFS(P614&lt;200, "10", P614&lt;400, "12", P614&lt;600, "14", P614&gt;600, "16")</f>
        <v>#DIV/0!</v>
      </c>
      <c r="R614" s="75">
        <f t="shared" si="143"/>
        <v>0</v>
      </c>
      <c r="S614" s="75" t="e">
        <f t="shared" si="144"/>
        <v>#DIV/0!</v>
      </c>
      <c r="U614" s="306" t="e">
        <f t="shared" si="146"/>
        <v>#DIV/0!</v>
      </c>
    </row>
    <row r="615" spans="4:21" x14ac:dyDescent="0.35">
      <c r="D615" s="3"/>
      <c r="G615" s="3" t="s">
        <v>87</v>
      </c>
      <c r="M615" s="3"/>
      <c r="N615" s="356" t="e" cm="1">
        <f t="array" ref="N615">_xlfn.IFS(I615="AEX",H615/400,I615="RP",H615/200)</f>
        <v>#N/A</v>
      </c>
      <c r="P615" s="75" t="e">
        <f t="shared" si="142"/>
        <v>#DIV/0!</v>
      </c>
      <c r="Q615" s="3" t="e" cm="1">
        <f t="array" ref="Q615">_xlfn.IFS(P615&lt;200, "10", P615&lt;400, "12", P615&lt;600, "14", P615&gt;600, "16")</f>
        <v>#DIV/0!</v>
      </c>
      <c r="R615" s="75">
        <f t="shared" si="143"/>
        <v>0</v>
      </c>
      <c r="S615" s="75" t="e">
        <f t="shared" si="144"/>
        <v>#DIV/0!</v>
      </c>
      <c r="U615" s="306" t="e">
        <f t="shared" si="146"/>
        <v>#DIV/0!</v>
      </c>
    </row>
    <row r="616" spans="4:21" x14ac:dyDescent="0.35">
      <c r="D616" s="3"/>
      <c r="G616" s="3" t="s">
        <v>87</v>
      </c>
      <c r="M616" s="3"/>
      <c r="N616" s="356" t="e" cm="1">
        <f t="array" ref="N616">_xlfn.IFS(I616="AEX",H616/400,I616="RP",H616/200)</f>
        <v>#N/A</v>
      </c>
      <c r="P616" s="75" t="e">
        <f t="shared" si="142"/>
        <v>#DIV/0!</v>
      </c>
      <c r="Q616" s="3" t="e" cm="1">
        <f t="array" ref="Q616">_xlfn.IFS(P616&lt;200, "10", P616&lt;400, "12", P616&lt;600, "14", P616&gt;600, "16")</f>
        <v>#DIV/0!</v>
      </c>
      <c r="R616" s="75">
        <f t="shared" si="143"/>
        <v>0</v>
      </c>
      <c r="S616" s="75" t="e">
        <f t="shared" si="144"/>
        <v>#DIV/0!</v>
      </c>
      <c r="U616" s="306" t="e">
        <f t="shared" si="146"/>
        <v>#DIV/0!</v>
      </c>
    </row>
    <row r="617" spans="4:21" x14ac:dyDescent="0.35">
      <c r="D617" s="3"/>
      <c r="G617" s="3" t="s">
        <v>87</v>
      </c>
      <c r="M617" s="3"/>
      <c r="N617" s="356" t="e" cm="1">
        <f t="array" ref="N617">_xlfn.IFS(I617="AEX",H617/400,I617="RP",H617/200)</f>
        <v>#N/A</v>
      </c>
      <c r="P617" s="75" t="e">
        <f t="shared" si="142"/>
        <v>#DIV/0!</v>
      </c>
      <c r="Q617" s="3" t="e" cm="1">
        <f t="array" ref="Q617">_xlfn.IFS(P617&lt;200, "10", P617&lt;400, "12", P617&lt;600, "14", P617&gt;600, "16")</f>
        <v>#DIV/0!</v>
      </c>
      <c r="R617" s="75">
        <f t="shared" si="143"/>
        <v>0</v>
      </c>
      <c r="S617" s="75" t="e">
        <f t="shared" si="144"/>
        <v>#DIV/0!</v>
      </c>
      <c r="U617" s="306" t="e">
        <f t="shared" si="146"/>
        <v>#DIV/0!</v>
      </c>
    </row>
    <row r="618" spans="4:21" x14ac:dyDescent="0.35">
      <c r="D618" s="3"/>
      <c r="G618" s="3" t="s">
        <v>87</v>
      </c>
      <c r="M618" s="3"/>
      <c r="N618" s="356" t="e" cm="1">
        <f t="array" ref="N618">_xlfn.IFS(I618="AEX",H618/400,I618="RP",H618/200)</f>
        <v>#N/A</v>
      </c>
      <c r="P618" s="75" t="e">
        <f t="shared" ref="P618:P681" si="147">H618/O618</f>
        <v>#DIV/0!</v>
      </c>
      <c r="Q618" s="3" t="e" cm="1">
        <f t="array" ref="Q618">_xlfn.IFS(P618&lt;200, "10", P618&lt;400, "12", P618&lt;600, "14", P618&gt;600, "16")</f>
        <v>#DIV/0!</v>
      </c>
      <c r="R618" s="75">
        <f t="shared" ref="R618:R681" si="148">IF(I618="AEX",H618*0.3/400,H618*0.3/200)</f>
        <v>0</v>
      </c>
      <c r="S618" s="75" t="e">
        <f t="shared" si="144"/>
        <v>#DIV/0!</v>
      </c>
      <c r="U618" s="306" t="e">
        <f t="shared" si="146"/>
        <v>#DIV/0!</v>
      </c>
    </row>
    <row r="619" spans="4:21" x14ac:dyDescent="0.35">
      <c r="D619" s="3"/>
      <c r="G619" s="3" t="s">
        <v>87</v>
      </c>
      <c r="M619" s="3"/>
      <c r="N619" s="356" t="e" cm="1">
        <f t="array" ref="N619">_xlfn.IFS(I619="AEX",H619/400,I619="RP",H619/200)</f>
        <v>#N/A</v>
      </c>
      <c r="P619" s="75" t="e">
        <f t="shared" si="147"/>
        <v>#DIV/0!</v>
      </c>
      <c r="Q619" s="3" t="e" cm="1">
        <f t="array" ref="Q619">_xlfn.IFS(P619&lt;200, "10", P619&lt;400, "12", P619&lt;600, "14", P619&gt;600, "16")</f>
        <v>#DIV/0!</v>
      </c>
      <c r="R619" s="75">
        <f t="shared" si="148"/>
        <v>0</v>
      </c>
      <c r="S619" s="75" t="e">
        <f t="shared" si="144"/>
        <v>#DIV/0!</v>
      </c>
      <c r="U619" s="306" t="e">
        <f t="shared" si="146"/>
        <v>#DIV/0!</v>
      </c>
    </row>
    <row r="620" spans="4:21" x14ac:dyDescent="0.35">
      <c r="D620" s="3"/>
      <c r="G620" s="3" t="s">
        <v>87</v>
      </c>
      <c r="M620" s="3"/>
      <c r="N620" s="356" t="e" cm="1">
        <f t="array" ref="N620">_xlfn.IFS(I620="AEX",H620/400,I620="RP",H620/200)</f>
        <v>#N/A</v>
      </c>
      <c r="P620" s="75" t="e">
        <f t="shared" si="147"/>
        <v>#DIV/0!</v>
      </c>
      <c r="Q620" s="3" t="e" cm="1">
        <f t="array" ref="Q620">_xlfn.IFS(P620&lt;200, "10", P620&lt;400, "12", P620&lt;600, "14", P620&gt;600, "16")</f>
        <v>#DIV/0!</v>
      </c>
      <c r="R620" s="75">
        <f t="shared" si="148"/>
        <v>0</v>
      </c>
      <c r="S620" s="75" t="e">
        <f t="shared" si="144"/>
        <v>#DIV/0!</v>
      </c>
      <c r="U620" s="306" t="e">
        <f t="shared" si="146"/>
        <v>#DIV/0!</v>
      </c>
    </row>
    <row r="621" spans="4:21" x14ac:dyDescent="0.35">
      <c r="D621" s="3"/>
      <c r="G621" s="3" t="s">
        <v>87</v>
      </c>
      <c r="M621" s="3"/>
      <c r="N621" s="356" t="e" cm="1">
        <f t="array" ref="N621">_xlfn.IFS(I621="AEX",H621/400,I621="RP",H621/200)</f>
        <v>#N/A</v>
      </c>
      <c r="P621" s="75" t="e">
        <f t="shared" si="147"/>
        <v>#DIV/0!</v>
      </c>
      <c r="Q621" s="3" t="e" cm="1">
        <f t="array" ref="Q621">_xlfn.IFS(P621&lt;200, "10", P621&lt;400, "12", P621&lt;600, "14", P621&gt;600, "16")</f>
        <v>#DIV/0!</v>
      </c>
      <c r="R621" s="75">
        <f t="shared" si="148"/>
        <v>0</v>
      </c>
      <c r="S621" s="75" t="e">
        <f t="shared" si="144"/>
        <v>#DIV/0!</v>
      </c>
      <c r="U621" s="306" t="e">
        <f t="shared" si="146"/>
        <v>#DIV/0!</v>
      </c>
    </row>
    <row r="622" spans="4:21" x14ac:dyDescent="0.35">
      <c r="D622" s="3"/>
      <c r="G622" s="3" t="s">
        <v>87</v>
      </c>
      <c r="M622" s="3"/>
      <c r="N622" s="356" t="e" cm="1">
        <f t="array" ref="N622">_xlfn.IFS(I622="AEX",H622/400,I622="RP",H622/200)</f>
        <v>#N/A</v>
      </c>
      <c r="P622" s="75" t="e">
        <f t="shared" si="147"/>
        <v>#DIV/0!</v>
      </c>
      <c r="Q622" s="3" t="e" cm="1">
        <f t="array" ref="Q622">_xlfn.IFS(P622&lt;200, "10", P622&lt;400, "12", P622&lt;600, "14", P622&gt;600, "16")</f>
        <v>#DIV/0!</v>
      </c>
      <c r="R622" s="75">
        <f t="shared" si="148"/>
        <v>0</v>
      </c>
      <c r="S622" s="75" t="e">
        <f t="shared" si="144"/>
        <v>#DIV/0!</v>
      </c>
      <c r="U622" s="306" t="e">
        <f t="shared" si="146"/>
        <v>#DIV/0!</v>
      </c>
    </row>
    <row r="623" spans="4:21" x14ac:dyDescent="0.35">
      <c r="D623" s="3"/>
      <c r="G623" s="3" t="s">
        <v>87</v>
      </c>
      <c r="M623" s="3"/>
      <c r="N623" s="356" t="e" cm="1">
        <f t="array" ref="N623">_xlfn.IFS(I623="AEX",H623/400,I623="RP",H623/200)</f>
        <v>#N/A</v>
      </c>
      <c r="P623" s="75" t="e">
        <f t="shared" si="147"/>
        <v>#DIV/0!</v>
      </c>
      <c r="Q623" s="3" t="e" cm="1">
        <f t="array" ref="Q623">_xlfn.IFS(P623&lt;200, "10", P623&lt;400, "12", P623&lt;600, "14", P623&gt;600, "16")</f>
        <v>#DIV/0!</v>
      </c>
      <c r="R623" s="75">
        <f t="shared" si="148"/>
        <v>0</v>
      </c>
      <c r="S623" s="75" t="e">
        <f t="shared" si="144"/>
        <v>#DIV/0!</v>
      </c>
      <c r="U623" s="306" t="e">
        <f t="shared" si="146"/>
        <v>#DIV/0!</v>
      </c>
    </row>
    <row r="624" spans="4:21" x14ac:dyDescent="0.35">
      <c r="D624" s="3"/>
      <c r="G624" s="3" t="s">
        <v>87</v>
      </c>
      <c r="M624" s="3"/>
      <c r="N624" s="356" t="e" cm="1">
        <f t="array" ref="N624">_xlfn.IFS(I624="AEX",H624/400,I624="RP",H624/200)</f>
        <v>#N/A</v>
      </c>
      <c r="P624" s="75" t="e">
        <f t="shared" si="147"/>
        <v>#DIV/0!</v>
      </c>
      <c r="Q624" s="3" t="e" cm="1">
        <f t="array" ref="Q624">_xlfn.IFS(P624&lt;200, "10", P624&lt;400, "12", P624&lt;600, "14", P624&gt;600, "16")</f>
        <v>#DIV/0!</v>
      </c>
      <c r="R624" s="75">
        <f t="shared" si="148"/>
        <v>0</v>
      </c>
      <c r="S624" s="75" t="e">
        <f t="shared" si="144"/>
        <v>#DIV/0!</v>
      </c>
      <c r="U624" s="306" t="e">
        <f t="shared" si="146"/>
        <v>#DIV/0!</v>
      </c>
    </row>
    <row r="625" spans="4:21" x14ac:dyDescent="0.35">
      <c r="D625" s="3"/>
      <c r="G625" s="3" t="s">
        <v>87</v>
      </c>
      <c r="M625" s="3"/>
      <c r="N625" s="356" t="e" cm="1">
        <f t="array" ref="N625">_xlfn.IFS(I625="AEX",H625/400,I625="RP",H625/200)</f>
        <v>#N/A</v>
      </c>
      <c r="P625" s="75" t="e">
        <f t="shared" si="147"/>
        <v>#DIV/0!</v>
      </c>
      <c r="Q625" s="3" t="e" cm="1">
        <f t="array" ref="Q625">_xlfn.IFS(P625&lt;200, "10", P625&lt;400, "12", P625&lt;600, "14", P625&gt;600, "16")</f>
        <v>#DIV/0!</v>
      </c>
      <c r="R625" s="75">
        <f t="shared" si="148"/>
        <v>0</v>
      </c>
      <c r="S625" s="75" t="e">
        <f t="shared" si="144"/>
        <v>#DIV/0!</v>
      </c>
      <c r="U625" s="306" t="e">
        <f t="shared" si="146"/>
        <v>#DIV/0!</v>
      </c>
    </row>
    <row r="626" spans="4:21" x14ac:dyDescent="0.35">
      <c r="D626" s="3"/>
      <c r="G626" s="3" t="s">
        <v>87</v>
      </c>
      <c r="M626" s="3"/>
      <c r="N626" s="356" t="e" cm="1">
        <f t="array" ref="N626">_xlfn.IFS(I626="AEX",H626/400,I626="RP",H626/200)</f>
        <v>#N/A</v>
      </c>
      <c r="P626" s="75" t="e">
        <f t="shared" si="147"/>
        <v>#DIV/0!</v>
      </c>
      <c r="Q626" s="3" t="e" cm="1">
        <f t="array" ref="Q626">_xlfn.IFS(P626&lt;200, "10", P626&lt;400, "12", P626&lt;600, "14", P626&gt;600, "16")</f>
        <v>#DIV/0!</v>
      </c>
      <c r="R626" s="75">
        <f t="shared" si="148"/>
        <v>0</v>
      </c>
      <c r="S626" s="75" t="e">
        <f t="shared" si="144"/>
        <v>#DIV/0!</v>
      </c>
      <c r="U626" s="306" t="e">
        <f t="shared" si="146"/>
        <v>#DIV/0!</v>
      </c>
    </row>
    <row r="627" spans="4:21" x14ac:dyDescent="0.35">
      <c r="D627" s="3"/>
      <c r="G627" s="3" t="s">
        <v>87</v>
      </c>
      <c r="M627" s="3"/>
      <c r="N627" s="356" t="e" cm="1">
        <f t="array" ref="N627">_xlfn.IFS(I627="AEX",H627/400,I627="RP",H627/200)</f>
        <v>#N/A</v>
      </c>
      <c r="P627" s="75" t="e">
        <f t="shared" si="147"/>
        <v>#DIV/0!</v>
      </c>
      <c r="Q627" s="3" t="e" cm="1">
        <f t="array" ref="Q627">_xlfn.IFS(P627&lt;200, "10", P627&lt;400, "12", P627&lt;600, "14", P627&gt;600, "16")</f>
        <v>#DIV/0!</v>
      </c>
      <c r="R627" s="75">
        <f t="shared" si="148"/>
        <v>0</v>
      </c>
      <c r="S627" s="75" t="e">
        <f t="shared" ref="S627:S690" si="149">R627/O627</f>
        <v>#DIV/0!</v>
      </c>
      <c r="U627" s="306" t="e">
        <f t="shared" si="146"/>
        <v>#DIV/0!</v>
      </c>
    </row>
    <row r="628" spans="4:21" x14ac:dyDescent="0.35">
      <c r="D628" s="3"/>
      <c r="G628" s="3" t="s">
        <v>87</v>
      </c>
      <c r="M628" s="3"/>
      <c r="N628" s="356" t="e" cm="1">
        <f t="array" ref="N628">_xlfn.IFS(I628="AEX",H628/400,I628="RP",H628/200)</f>
        <v>#N/A</v>
      </c>
      <c r="P628" s="75" t="e">
        <f t="shared" si="147"/>
        <v>#DIV/0!</v>
      </c>
      <c r="Q628" s="3" t="e" cm="1">
        <f t="array" ref="Q628">_xlfn.IFS(P628&lt;200, "10", P628&lt;400, "12", P628&lt;600, "14", P628&gt;600, "16")</f>
        <v>#DIV/0!</v>
      </c>
      <c r="R628" s="75">
        <f t="shared" si="148"/>
        <v>0</v>
      </c>
      <c r="S628" s="75" t="e">
        <f t="shared" si="149"/>
        <v>#DIV/0!</v>
      </c>
      <c r="U628" s="306" t="e">
        <f t="shared" si="146"/>
        <v>#DIV/0!</v>
      </c>
    </row>
    <row r="629" spans="4:21" x14ac:dyDescent="0.35">
      <c r="D629" s="3"/>
      <c r="G629" s="3" t="s">
        <v>87</v>
      </c>
      <c r="M629" s="3"/>
      <c r="N629" s="356" t="e" cm="1">
        <f t="array" ref="N629">_xlfn.IFS(I629="AEX",H629/400,I629="RP",H629/200)</f>
        <v>#N/A</v>
      </c>
      <c r="P629" s="75" t="e">
        <f t="shared" si="147"/>
        <v>#DIV/0!</v>
      </c>
      <c r="Q629" s="3" t="e" cm="1">
        <f t="array" ref="Q629">_xlfn.IFS(P629&lt;200, "10", P629&lt;400, "12", P629&lt;600, "14", P629&gt;600, "16")</f>
        <v>#DIV/0!</v>
      </c>
      <c r="R629" s="75">
        <f t="shared" si="148"/>
        <v>0</v>
      </c>
      <c r="S629" s="75" t="e">
        <f t="shared" si="149"/>
        <v>#DIV/0!</v>
      </c>
      <c r="U629" s="306" t="e">
        <f t="shared" si="146"/>
        <v>#DIV/0!</v>
      </c>
    </row>
    <row r="630" spans="4:21" x14ac:dyDescent="0.35">
      <c r="D630" s="3"/>
      <c r="G630" s="3" t="s">
        <v>87</v>
      </c>
      <c r="M630" s="3"/>
      <c r="N630" s="356" t="e" cm="1">
        <f t="array" ref="N630">_xlfn.IFS(I630="AEX",H630/400,I630="RP",H630/200)</f>
        <v>#N/A</v>
      </c>
      <c r="P630" s="75" t="e">
        <f t="shared" si="147"/>
        <v>#DIV/0!</v>
      </c>
      <c r="Q630" s="3" t="e" cm="1">
        <f t="array" ref="Q630">_xlfn.IFS(P630&lt;200, "10", P630&lt;400, "12", P630&lt;600, "14", P630&gt;600, "16")</f>
        <v>#DIV/0!</v>
      </c>
      <c r="R630" s="75">
        <f t="shared" si="148"/>
        <v>0</v>
      </c>
      <c r="S630" s="75" t="e">
        <f t="shared" si="149"/>
        <v>#DIV/0!</v>
      </c>
      <c r="U630" s="306" t="e">
        <f t="shared" si="146"/>
        <v>#DIV/0!</v>
      </c>
    </row>
    <row r="631" spans="4:21" x14ac:dyDescent="0.35">
      <c r="D631" s="3"/>
      <c r="G631" s="3" t="s">
        <v>87</v>
      </c>
      <c r="M631" s="3"/>
      <c r="N631" s="356" t="e" cm="1">
        <f t="array" ref="N631">_xlfn.IFS(I631="AEX",H631/400,I631="RP",H631/200)</f>
        <v>#N/A</v>
      </c>
      <c r="P631" s="75" t="e">
        <f t="shared" si="147"/>
        <v>#DIV/0!</v>
      </c>
      <c r="Q631" s="3" t="e" cm="1">
        <f t="array" ref="Q631">_xlfn.IFS(P631&lt;200, "10", P631&lt;400, "12", P631&lt;600, "14", P631&gt;600, "16")</f>
        <v>#DIV/0!</v>
      </c>
      <c r="R631" s="75">
        <f t="shared" si="148"/>
        <v>0</v>
      </c>
      <c r="S631" s="75" t="e">
        <f t="shared" si="149"/>
        <v>#DIV/0!</v>
      </c>
      <c r="U631" s="306" t="e">
        <f t="shared" si="146"/>
        <v>#DIV/0!</v>
      </c>
    </row>
    <row r="632" spans="4:21" x14ac:dyDescent="0.35">
      <c r="D632" s="3"/>
      <c r="G632" s="3" t="s">
        <v>87</v>
      </c>
      <c r="M632" s="3"/>
      <c r="N632" s="356" t="e" cm="1">
        <f t="array" ref="N632">_xlfn.IFS(I632="AEX",H632/400,I632="RP",H632/200)</f>
        <v>#N/A</v>
      </c>
      <c r="P632" s="75" t="e">
        <f t="shared" si="147"/>
        <v>#DIV/0!</v>
      </c>
      <c r="Q632" s="3" t="e" cm="1">
        <f t="array" ref="Q632">_xlfn.IFS(P632&lt;200, "10", P632&lt;400, "12", P632&lt;600, "14", P632&gt;600, "16")</f>
        <v>#DIV/0!</v>
      </c>
      <c r="R632" s="75">
        <f t="shared" si="148"/>
        <v>0</v>
      </c>
      <c r="S632" s="75" t="e">
        <f t="shared" si="149"/>
        <v>#DIV/0!</v>
      </c>
      <c r="U632" s="306" t="e">
        <f t="shared" si="146"/>
        <v>#DIV/0!</v>
      </c>
    </row>
    <row r="633" spans="4:21" x14ac:dyDescent="0.35">
      <c r="D633" s="3"/>
      <c r="G633" s="3" t="s">
        <v>87</v>
      </c>
      <c r="M633" s="3"/>
      <c r="N633" s="356" t="e" cm="1">
        <f t="array" ref="N633">_xlfn.IFS(I633="AEX",H633/400,I633="RP",H633/200)</f>
        <v>#N/A</v>
      </c>
      <c r="P633" s="75" t="e">
        <f t="shared" si="147"/>
        <v>#DIV/0!</v>
      </c>
      <c r="Q633" s="3" t="e" cm="1">
        <f t="array" ref="Q633">_xlfn.IFS(P633&lt;200, "10", P633&lt;400, "12", P633&lt;600, "14", P633&gt;600, "16")</f>
        <v>#DIV/0!</v>
      </c>
      <c r="R633" s="75">
        <f t="shared" si="148"/>
        <v>0</v>
      </c>
      <c r="S633" s="75" t="e">
        <f t="shared" si="149"/>
        <v>#DIV/0!</v>
      </c>
      <c r="U633" s="306" t="e">
        <f t="shared" si="146"/>
        <v>#DIV/0!</v>
      </c>
    </row>
    <row r="634" spans="4:21" x14ac:dyDescent="0.35">
      <c r="D634" s="3"/>
      <c r="G634" s="3" t="s">
        <v>87</v>
      </c>
      <c r="M634" s="3"/>
      <c r="N634" s="356" t="e" cm="1">
        <f t="array" ref="N634">_xlfn.IFS(I634="AEX",H634/400,I634="RP",H634/200)</f>
        <v>#N/A</v>
      </c>
      <c r="P634" s="75" t="e">
        <f t="shared" si="147"/>
        <v>#DIV/0!</v>
      </c>
      <c r="Q634" s="3" t="e" cm="1">
        <f t="array" ref="Q634">_xlfn.IFS(P634&lt;200, "10", P634&lt;400, "12", P634&lt;600, "14", P634&gt;600, "16")</f>
        <v>#DIV/0!</v>
      </c>
      <c r="R634" s="75">
        <f t="shared" si="148"/>
        <v>0</v>
      </c>
      <c r="S634" s="75" t="e">
        <f t="shared" si="149"/>
        <v>#DIV/0!</v>
      </c>
      <c r="U634" s="306" t="e">
        <f t="shared" si="146"/>
        <v>#DIV/0!</v>
      </c>
    </row>
    <row r="635" spans="4:21" x14ac:dyDescent="0.35">
      <c r="D635" s="3"/>
      <c r="G635" s="3" t="s">
        <v>87</v>
      </c>
      <c r="M635" s="3"/>
      <c r="N635" s="356" t="e" cm="1">
        <f t="array" ref="N635">_xlfn.IFS(I635="AEX",H635/400,I635="RP",H635/200)</f>
        <v>#N/A</v>
      </c>
      <c r="P635" s="75" t="e">
        <f t="shared" si="147"/>
        <v>#DIV/0!</v>
      </c>
      <c r="Q635" s="3" t="e" cm="1">
        <f t="array" ref="Q635">_xlfn.IFS(P635&lt;200, "10", P635&lt;400, "12", P635&lt;600, "14", P635&gt;600, "16")</f>
        <v>#DIV/0!</v>
      </c>
      <c r="R635" s="75">
        <f t="shared" si="148"/>
        <v>0</v>
      </c>
      <c r="S635" s="75" t="e">
        <f t="shared" si="149"/>
        <v>#DIV/0!</v>
      </c>
      <c r="U635" s="306" t="e">
        <f t="shared" si="146"/>
        <v>#DIV/0!</v>
      </c>
    </row>
    <row r="636" spans="4:21" x14ac:dyDescent="0.35">
      <c r="D636" s="3"/>
      <c r="G636" s="3" t="s">
        <v>87</v>
      </c>
      <c r="M636" s="3"/>
      <c r="N636" s="356" t="e" cm="1">
        <f t="array" ref="N636">_xlfn.IFS(I636="AEX",H636/400,I636="RP",H636/200)</f>
        <v>#N/A</v>
      </c>
      <c r="P636" s="75" t="e">
        <f t="shared" si="147"/>
        <v>#DIV/0!</v>
      </c>
      <c r="Q636" s="3" t="e" cm="1">
        <f t="array" ref="Q636">_xlfn.IFS(P636&lt;200, "10", P636&lt;400, "12", P636&lt;600, "14", P636&gt;600, "16")</f>
        <v>#DIV/0!</v>
      </c>
      <c r="R636" s="75">
        <f t="shared" si="148"/>
        <v>0</v>
      </c>
      <c r="S636" s="75" t="e">
        <f t="shared" si="149"/>
        <v>#DIV/0!</v>
      </c>
      <c r="U636" s="306" t="e">
        <f t="shared" si="146"/>
        <v>#DIV/0!</v>
      </c>
    </row>
    <row r="637" spans="4:21" x14ac:dyDescent="0.35">
      <c r="D637" s="3"/>
      <c r="G637" s="3" t="s">
        <v>87</v>
      </c>
      <c r="M637" s="3"/>
      <c r="N637" s="356" t="e" cm="1">
        <f t="array" ref="N637">_xlfn.IFS(I637="AEX",H637/400,I637="RP",H637/200)</f>
        <v>#N/A</v>
      </c>
      <c r="P637" s="75" t="e">
        <f t="shared" si="147"/>
        <v>#DIV/0!</v>
      </c>
      <c r="Q637" s="3" t="e" cm="1">
        <f t="array" ref="Q637">_xlfn.IFS(P637&lt;200, "10", P637&lt;400, "12", P637&lt;600, "14", P637&gt;600, "16")</f>
        <v>#DIV/0!</v>
      </c>
      <c r="R637" s="75">
        <f t="shared" si="148"/>
        <v>0</v>
      </c>
      <c r="S637" s="75" t="e">
        <f t="shared" si="149"/>
        <v>#DIV/0!</v>
      </c>
      <c r="U637" s="306" t="e">
        <f t="shared" si="146"/>
        <v>#DIV/0!</v>
      </c>
    </row>
    <row r="638" spans="4:21" x14ac:dyDescent="0.35">
      <c r="D638" s="3"/>
      <c r="G638" s="3" t="s">
        <v>87</v>
      </c>
      <c r="M638" s="3"/>
      <c r="N638" s="356" t="e" cm="1">
        <f t="array" ref="N638">_xlfn.IFS(I638="AEX",H638/400,I638="RP",H638/200)</f>
        <v>#N/A</v>
      </c>
      <c r="P638" s="75" t="e">
        <f t="shared" si="147"/>
        <v>#DIV/0!</v>
      </c>
      <c r="Q638" s="3" t="e" cm="1">
        <f t="array" ref="Q638">_xlfn.IFS(P638&lt;200, "10", P638&lt;400, "12", P638&lt;600, "14", P638&gt;600, "16")</f>
        <v>#DIV/0!</v>
      </c>
      <c r="R638" s="75">
        <f t="shared" si="148"/>
        <v>0</v>
      </c>
      <c r="S638" s="75" t="e">
        <f t="shared" si="149"/>
        <v>#DIV/0!</v>
      </c>
      <c r="U638" s="306" t="e">
        <f t="shared" si="146"/>
        <v>#DIV/0!</v>
      </c>
    </row>
    <row r="639" spans="4:21" x14ac:dyDescent="0.35">
      <c r="D639" s="3"/>
      <c r="G639" s="3" t="s">
        <v>87</v>
      </c>
      <c r="M639" s="3"/>
      <c r="N639" s="356" t="e" cm="1">
        <f t="array" ref="N639">_xlfn.IFS(I639="AEX",H639/400,I639="RP",H639/200)</f>
        <v>#N/A</v>
      </c>
      <c r="P639" s="75" t="e">
        <f t="shared" si="147"/>
        <v>#DIV/0!</v>
      </c>
      <c r="Q639" s="3" t="e" cm="1">
        <f t="array" ref="Q639">_xlfn.IFS(P639&lt;200, "10", P639&lt;400, "12", P639&lt;600, "14", P639&gt;600, "16")</f>
        <v>#DIV/0!</v>
      </c>
      <c r="R639" s="75">
        <f t="shared" si="148"/>
        <v>0</v>
      </c>
      <c r="S639" s="75" t="e">
        <f t="shared" si="149"/>
        <v>#DIV/0!</v>
      </c>
      <c r="U639" s="306" t="e">
        <f t="shared" si="146"/>
        <v>#DIV/0!</v>
      </c>
    </row>
    <row r="640" spans="4:21" x14ac:dyDescent="0.35">
      <c r="D640" s="3"/>
      <c r="G640" s="3" t="s">
        <v>87</v>
      </c>
      <c r="M640" s="3"/>
      <c r="N640" s="356" t="e" cm="1">
        <f t="array" ref="N640">_xlfn.IFS(I640="AEX",H640/400,I640="RP",H640/200)</f>
        <v>#N/A</v>
      </c>
      <c r="P640" s="75" t="e">
        <f t="shared" si="147"/>
        <v>#DIV/0!</v>
      </c>
      <c r="Q640" s="3" t="e" cm="1">
        <f t="array" ref="Q640">_xlfn.IFS(P640&lt;200, "10", P640&lt;400, "12", P640&lt;600, "14", P640&gt;600, "16")</f>
        <v>#DIV/0!</v>
      </c>
      <c r="R640" s="75">
        <f t="shared" si="148"/>
        <v>0</v>
      </c>
      <c r="S640" s="75" t="e">
        <f t="shared" si="149"/>
        <v>#DIV/0!</v>
      </c>
      <c r="U640" s="306" t="e">
        <f t="shared" si="146"/>
        <v>#DIV/0!</v>
      </c>
    </row>
    <row r="641" spans="4:21" x14ac:dyDescent="0.35">
      <c r="D641" s="3"/>
      <c r="G641" s="3" t="s">
        <v>87</v>
      </c>
      <c r="M641" s="3"/>
      <c r="N641" s="356" t="e" cm="1">
        <f t="array" ref="N641">_xlfn.IFS(I641="AEX",H641/400,I641="RP",H641/200)</f>
        <v>#N/A</v>
      </c>
      <c r="P641" s="75" t="e">
        <f t="shared" si="147"/>
        <v>#DIV/0!</v>
      </c>
      <c r="Q641" s="3" t="e" cm="1">
        <f t="array" ref="Q641">_xlfn.IFS(P641&lt;200, "10", P641&lt;400, "12", P641&lt;600, "14", P641&gt;600, "16")</f>
        <v>#DIV/0!</v>
      </c>
      <c r="R641" s="75">
        <f t="shared" si="148"/>
        <v>0</v>
      </c>
      <c r="S641" s="75" t="e">
        <f t="shared" si="149"/>
        <v>#DIV/0!</v>
      </c>
      <c r="U641" s="306" t="e">
        <f t="shared" si="146"/>
        <v>#DIV/0!</v>
      </c>
    </row>
    <row r="642" spans="4:21" x14ac:dyDescent="0.35">
      <c r="D642" s="3"/>
      <c r="G642" s="3" t="s">
        <v>87</v>
      </c>
      <c r="M642" s="3"/>
      <c r="N642" s="356" t="e" cm="1">
        <f t="array" ref="N642">_xlfn.IFS(I642="AEX",H642/400,I642="RP",H642/200)</f>
        <v>#N/A</v>
      </c>
      <c r="P642" s="75" t="e">
        <f t="shared" si="147"/>
        <v>#DIV/0!</v>
      </c>
      <c r="Q642" s="3" t="e" cm="1">
        <f t="array" ref="Q642">_xlfn.IFS(P642&lt;200, "10", P642&lt;400, "12", P642&lt;600, "14", P642&gt;600, "16")</f>
        <v>#DIV/0!</v>
      </c>
      <c r="R642" s="75">
        <f t="shared" si="148"/>
        <v>0</v>
      </c>
      <c r="S642" s="75" t="e">
        <f t="shared" si="149"/>
        <v>#DIV/0!</v>
      </c>
      <c r="U642" s="306" t="e">
        <f t="shared" ref="U642:U705" si="150">T642/H642*100</f>
        <v>#DIV/0!</v>
      </c>
    </row>
    <row r="643" spans="4:21" x14ac:dyDescent="0.35">
      <c r="D643" s="3"/>
      <c r="G643" s="3" t="s">
        <v>87</v>
      </c>
      <c r="M643" s="3"/>
      <c r="N643" s="356" t="e" cm="1">
        <f t="array" ref="N643">_xlfn.IFS(I643="AEX",H643/400,I643="RP",H643/200)</f>
        <v>#N/A</v>
      </c>
      <c r="P643" s="75" t="e">
        <f t="shared" si="147"/>
        <v>#DIV/0!</v>
      </c>
      <c r="Q643" s="3" t="e" cm="1">
        <f t="array" ref="Q643">_xlfn.IFS(P643&lt;200, "10", P643&lt;400, "12", P643&lt;600, "14", P643&gt;600, "16")</f>
        <v>#DIV/0!</v>
      </c>
      <c r="R643" s="75">
        <f t="shared" si="148"/>
        <v>0</v>
      </c>
      <c r="S643" s="75" t="e">
        <f t="shared" si="149"/>
        <v>#DIV/0!</v>
      </c>
      <c r="U643" s="306" t="e">
        <f t="shared" si="150"/>
        <v>#DIV/0!</v>
      </c>
    </row>
    <row r="644" spans="4:21" x14ac:dyDescent="0.35">
      <c r="D644" s="3"/>
      <c r="G644" s="3" t="s">
        <v>87</v>
      </c>
      <c r="M644" s="3"/>
      <c r="N644" s="356" t="e" cm="1">
        <f t="array" ref="N644">_xlfn.IFS(I644="AEX",H644/400,I644="RP",H644/200)</f>
        <v>#N/A</v>
      </c>
      <c r="P644" s="75" t="e">
        <f t="shared" si="147"/>
        <v>#DIV/0!</v>
      </c>
      <c r="Q644" s="3" t="e" cm="1">
        <f t="array" ref="Q644">_xlfn.IFS(P644&lt;200, "10", P644&lt;400, "12", P644&lt;600, "14", P644&gt;600, "16")</f>
        <v>#DIV/0!</v>
      </c>
      <c r="R644" s="75">
        <f t="shared" si="148"/>
        <v>0</v>
      </c>
      <c r="S644" s="75" t="e">
        <f t="shared" si="149"/>
        <v>#DIV/0!</v>
      </c>
      <c r="U644" s="306" t="e">
        <f t="shared" si="150"/>
        <v>#DIV/0!</v>
      </c>
    </row>
    <row r="645" spans="4:21" x14ac:dyDescent="0.35">
      <c r="D645" s="3"/>
      <c r="G645" s="3" t="s">
        <v>87</v>
      </c>
      <c r="M645" s="3"/>
      <c r="N645" s="356" t="e" cm="1">
        <f t="array" ref="N645">_xlfn.IFS(I645="AEX",H645/400,I645="RP",H645/200)</f>
        <v>#N/A</v>
      </c>
      <c r="P645" s="75" t="e">
        <f t="shared" si="147"/>
        <v>#DIV/0!</v>
      </c>
      <c r="Q645" s="3" t="e" cm="1">
        <f t="array" ref="Q645">_xlfn.IFS(P645&lt;200, "10", P645&lt;400, "12", P645&lt;600, "14", P645&gt;600, "16")</f>
        <v>#DIV/0!</v>
      </c>
      <c r="R645" s="75">
        <f t="shared" si="148"/>
        <v>0</v>
      </c>
      <c r="S645" s="75" t="e">
        <f t="shared" si="149"/>
        <v>#DIV/0!</v>
      </c>
      <c r="U645" s="306" t="e">
        <f t="shared" si="150"/>
        <v>#DIV/0!</v>
      </c>
    </row>
    <row r="646" spans="4:21" x14ac:dyDescent="0.35">
      <c r="D646" s="3"/>
      <c r="G646" s="3" t="s">
        <v>87</v>
      </c>
      <c r="M646" s="3"/>
      <c r="N646" s="356" t="e" cm="1">
        <f t="array" ref="N646">_xlfn.IFS(I646="AEX",H646/400,I646="RP",H646/200)</f>
        <v>#N/A</v>
      </c>
      <c r="P646" s="75" t="e">
        <f t="shared" si="147"/>
        <v>#DIV/0!</v>
      </c>
      <c r="Q646" s="3" t="e" cm="1">
        <f t="array" ref="Q646">_xlfn.IFS(P646&lt;200, "10", P646&lt;400, "12", P646&lt;600, "14", P646&gt;600, "16")</f>
        <v>#DIV/0!</v>
      </c>
      <c r="R646" s="75">
        <f t="shared" si="148"/>
        <v>0</v>
      </c>
      <c r="S646" s="75" t="e">
        <f t="shared" si="149"/>
        <v>#DIV/0!</v>
      </c>
      <c r="U646" s="306" t="e">
        <f t="shared" si="150"/>
        <v>#DIV/0!</v>
      </c>
    </row>
    <row r="647" spans="4:21" x14ac:dyDescent="0.35">
      <c r="D647" s="3"/>
      <c r="G647" s="3" t="s">
        <v>87</v>
      </c>
      <c r="M647" s="3"/>
      <c r="N647" s="356" t="e" cm="1">
        <f t="array" ref="N647">_xlfn.IFS(I647="AEX",H647/400,I647="RP",H647/200)</f>
        <v>#N/A</v>
      </c>
      <c r="P647" s="75" t="e">
        <f t="shared" si="147"/>
        <v>#DIV/0!</v>
      </c>
      <c r="Q647" s="3" t="e" cm="1">
        <f t="array" ref="Q647">_xlfn.IFS(P647&lt;200, "10", P647&lt;400, "12", P647&lt;600, "14", P647&gt;600, "16")</f>
        <v>#DIV/0!</v>
      </c>
      <c r="R647" s="75">
        <f t="shared" si="148"/>
        <v>0</v>
      </c>
      <c r="S647" s="75" t="e">
        <f t="shared" si="149"/>
        <v>#DIV/0!</v>
      </c>
      <c r="U647" s="306" t="e">
        <f t="shared" si="150"/>
        <v>#DIV/0!</v>
      </c>
    </row>
    <row r="648" spans="4:21" x14ac:dyDescent="0.35">
      <c r="D648" s="3"/>
      <c r="G648" s="3" t="s">
        <v>87</v>
      </c>
      <c r="M648" s="3"/>
      <c r="N648" s="356" t="e" cm="1">
        <f t="array" ref="N648">_xlfn.IFS(I648="AEX",H648/400,I648="RP",H648/200)</f>
        <v>#N/A</v>
      </c>
      <c r="P648" s="75" t="e">
        <f t="shared" si="147"/>
        <v>#DIV/0!</v>
      </c>
      <c r="Q648" s="3" t="e" cm="1">
        <f t="array" ref="Q648">_xlfn.IFS(P648&lt;200, "10", P648&lt;400, "12", P648&lt;600, "14", P648&gt;600, "16")</f>
        <v>#DIV/0!</v>
      </c>
      <c r="R648" s="75">
        <f t="shared" si="148"/>
        <v>0</v>
      </c>
      <c r="S648" s="75" t="e">
        <f t="shared" si="149"/>
        <v>#DIV/0!</v>
      </c>
      <c r="U648" s="306" t="e">
        <f t="shared" si="150"/>
        <v>#DIV/0!</v>
      </c>
    </row>
    <row r="649" spans="4:21" x14ac:dyDescent="0.35">
      <c r="D649" s="3"/>
      <c r="G649" s="3" t="s">
        <v>87</v>
      </c>
      <c r="M649" s="3"/>
      <c r="N649" s="356" t="e" cm="1">
        <f t="array" ref="N649">_xlfn.IFS(I649="AEX",H649/400,I649="RP",H649/200)</f>
        <v>#N/A</v>
      </c>
      <c r="P649" s="75" t="e">
        <f t="shared" si="147"/>
        <v>#DIV/0!</v>
      </c>
      <c r="Q649" s="3" t="e" cm="1">
        <f t="array" ref="Q649">_xlfn.IFS(P649&lt;200, "10", P649&lt;400, "12", P649&lt;600, "14", P649&gt;600, "16")</f>
        <v>#DIV/0!</v>
      </c>
      <c r="R649" s="75">
        <f t="shared" si="148"/>
        <v>0</v>
      </c>
      <c r="S649" s="75" t="e">
        <f t="shared" si="149"/>
        <v>#DIV/0!</v>
      </c>
      <c r="U649" s="306" t="e">
        <f t="shared" si="150"/>
        <v>#DIV/0!</v>
      </c>
    </row>
    <row r="650" spans="4:21" x14ac:dyDescent="0.35">
      <c r="D650" s="3"/>
      <c r="G650" s="3" t="s">
        <v>87</v>
      </c>
      <c r="M650" s="3"/>
      <c r="N650" s="356" t="e" cm="1">
        <f t="array" ref="N650">_xlfn.IFS(I650="AEX",H650/400,I650="RP",H650/200)</f>
        <v>#N/A</v>
      </c>
      <c r="P650" s="75" t="e">
        <f t="shared" si="147"/>
        <v>#DIV/0!</v>
      </c>
      <c r="Q650" s="3" t="e" cm="1">
        <f t="array" ref="Q650">_xlfn.IFS(P650&lt;200, "10", P650&lt;400, "12", P650&lt;600, "14", P650&gt;600, "16")</f>
        <v>#DIV/0!</v>
      </c>
      <c r="R650" s="75">
        <f t="shared" si="148"/>
        <v>0</v>
      </c>
      <c r="S650" s="75" t="e">
        <f t="shared" si="149"/>
        <v>#DIV/0!</v>
      </c>
      <c r="U650" s="306" t="e">
        <f t="shared" si="150"/>
        <v>#DIV/0!</v>
      </c>
    </row>
    <row r="651" spans="4:21" x14ac:dyDescent="0.35">
      <c r="D651" s="3"/>
      <c r="G651" s="3" t="s">
        <v>87</v>
      </c>
      <c r="M651" s="3"/>
      <c r="N651" s="356" t="e" cm="1">
        <f t="array" ref="N651">_xlfn.IFS(I651="AEX",H651/400,I651="RP",H651/200)</f>
        <v>#N/A</v>
      </c>
      <c r="P651" s="75" t="e">
        <f t="shared" si="147"/>
        <v>#DIV/0!</v>
      </c>
      <c r="Q651" s="3" t="e" cm="1">
        <f t="array" ref="Q651">_xlfn.IFS(P651&lt;200, "10", P651&lt;400, "12", P651&lt;600, "14", P651&gt;600, "16")</f>
        <v>#DIV/0!</v>
      </c>
      <c r="R651" s="75">
        <f t="shared" si="148"/>
        <v>0</v>
      </c>
      <c r="S651" s="75" t="e">
        <f t="shared" si="149"/>
        <v>#DIV/0!</v>
      </c>
      <c r="U651" s="306" t="e">
        <f t="shared" si="150"/>
        <v>#DIV/0!</v>
      </c>
    </row>
    <row r="652" spans="4:21" x14ac:dyDescent="0.35">
      <c r="D652" s="3"/>
      <c r="G652" s="3" t="s">
        <v>87</v>
      </c>
      <c r="M652" s="3"/>
      <c r="N652" s="356" t="e" cm="1">
        <f t="array" ref="N652">_xlfn.IFS(I652="AEX",H652/400,I652="RP",H652/200)</f>
        <v>#N/A</v>
      </c>
      <c r="P652" s="75" t="e">
        <f t="shared" si="147"/>
        <v>#DIV/0!</v>
      </c>
      <c r="Q652" s="3" t="e" cm="1">
        <f t="array" ref="Q652">_xlfn.IFS(P652&lt;200, "10", P652&lt;400, "12", P652&lt;600, "14", P652&gt;600, "16")</f>
        <v>#DIV/0!</v>
      </c>
      <c r="R652" s="75">
        <f t="shared" si="148"/>
        <v>0</v>
      </c>
      <c r="S652" s="75" t="e">
        <f t="shared" si="149"/>
        <v>#DIV/0!</v>
      </c>
      <c r="U652" s="306" t="e">
        <f t="shared" si="150"/>
        <v>#DIV/0!</v>
      </c>
    </row>
    <row r="653" spans="4:21" x14ac:dyDescent="0.35">
      <c r="D653" s="3"/>
      <c r="G653" s="3" t="s">
        <v>87</v>
      </c>
      <c r="M653" s="3"/>
      <c r="N653" s="356" t="e" cm="1">
        <f t="array" ref="N653">_xlfn.IFS(I653="AEX",H653/400,I653="RP",H653/200)</f>
        <v>#N/A</v>
      </c>
      <c r="P653" s="75" t="e">
        <f t="shared" si="147"/>
        <v>#DIV/0!</v>
      </c>
      <c r="Q653" s="3" t="e" cm="1">
        <f t="array" ref="Q653">_xlfn.IFS(P653&lt;200, "10", P653&lt;400, "12", P653&lt;600, "14", P653&gt;600, "16")</f>
        <v>#DIV/0!</v>
      </c>
      <c r="R653" s="75">
        <f t="shared" si="148"/>
        <v>0</v>
      </c>
      <c r="S653" s="75" t="e">
        <f t="shared" si="149"/>
        <v>#DIV/0!</v>
      </c>
      <c r="U653" s="306" t="e">
        <f t="shared" si="150"/>
        <v>#DIV/0!</v>
      </c>
    </row>
    <row r="654" spans="4:21" x14ac:dyDescent="0.35">
      <c r="D654" s="3"/>
      <c r="G654" s="3" t="s">
        <v>87</v>
      </c>
      <c r="M654" s="3"/>
      <c r="N654" s="356" t="e" cm="1">
        <f t="array" ref="N654">_xlfn.IFS(I654="AEX",H654/400,I654="RP",H654/200)</f>
        <v>#N/A</v>
      </c>
      <c r="P654" s="75" t="e">
        <f t="shared" si="147"/>
        <v>#DIV/0!</v>
      </c>
      <c r="Q654" s="3" t="e" cm="1">
        <f t="array" ref="Q654">_xlfn.IFS(P654&lt;200, "10", P654&lt;400, "12", P654&lt;600, "14", P654&gt;600, "16")</f>
        <v>#DIV/0!</v>
      </c>
      <c r="R654" s="75">
        <f t="shared" si="148"/>
        <v>0</v>
      </c>
      <c r="S654" s="75" t="e">
        <f t="shared" si="149"/>
        <v>#DIV/0!</v>
      </c>
      <c r="U654" s="306" t="e">
        <f t="shared" si="150"/>
        <v>#DIV/0!</v>
      </c>
    </row>
    <row r="655" spans="4:21" x14ac:dyDescent="0.35">
      <c r="D655" s="3"/>
      <c r="G655" s="3" t="s">
        <v>87</v>
      </c>
      <c r="M655" s="3"/>
      <c r="N655" s="356" t="e" cm="1">
        <f t="array" ref="N655">_xlfn.IFS(I655="AEX",H655/400,I655="RP",H655/200)</f>
        <v>#N/A</v>
      </c>
      <c r="P655" s="75" t="e">
        <f t="shared" si="147"/>
        <v>#DIV/0!</v>
      </c>
      <c r="Q655" s="3" t="e" cm="1">
        <f t="array" ref="Q655">_xlfn.IFS(P655&lt;200, "10", P655&lt;400, "12", P655&lt;600, "14", P655&gt;600, "16")</f>
        <v>#DIV/0!</v>
      </c>
      <c r="R655" s="75">
        <f t="shared" si="148"/>
        <v>0</v>
      </c>
      <c r="S655" s="75" t="e">
        <f t="shared" si="149"/>
        <v>#DIV/0!</v>
      </c>
      <c r="U655" s="306" t="e">
        <f t="shared" si="150"/>
        <v>#DIV/0!</v>
      </c>
    </row>
    <row r="656" spans="4:21" x14ac:dyDescent="0.35">
      <c r="D656" s="3"/>
      <c r="G656" s="3" t="s">
        <v>87</v>
      </c>
      <c r="M656" s="3"/>
      <c r="N656" s="356" t="e" cm="1">
        <f t="array" ref="N656">_xlfn.IFS(I656="AEX",H656/400,I656="RP",H656/200)</f>
        <v>#N/A</v>
      </c>
      <c r="P656" s="75" t="e">
        <f t="shared" si="147"/>
        <v>#DIV/0!</v>
      </c>
      <c r="Q656" s="3" t="e" cm="1">
        <f t="array" ref="Q656">_xlfn.IFS(P656&lt;200, "10", P656&lt;400, "12", P656&lt;600, "14", P656&gt;600, "16")</f>
        <v>#DIV/0!</v>
      </c>
      <c r="R656" s="75">
        <f t="shared" si="148"/>
        <v>0</v>
      </c>
      <c r="S656" s="75" t="e">
        <f t="shared" si="149"/>
        <v>#DIV/0!</v>
      </c>
      <c r="U656" s="306" t="e">
        <f t="shared" si="150"/>
        <v>#DIV/0!</v>
      </c>
    </row>
    <row r="657" spans="4:21" x14ac:dyDescent="0.35">
      <c r="D657" s="3"/>
      <c r="G657" s="3" t="s">
        <v>87</v>
      </c>
      <c r="M657" s="3"/>
      <c r="N657" s="356" t="e" cm="1">
        <f t="array" ref="N657">_xlfn.IFS(I657="AEX",H657/400,I657="RP",H657/200)</f>
        <v>#N/A</v>
      </c>
      <c r="P657" s="75" t="e">
        <f t="shared" si="147"/>
        <v>#DIV/0!</v>
      </c>
      <c r="Q657" s="3" t="e" cm="1">
        <f t="array" ref="Q657">_xlfn.IFS(P657&lt;200, "10", P657&lt;400, "12", P657&lt;600, "14", P657&gt;600, "16")</f>
        <v>#DIV/0!</v>
      </c>
      <c r="R657" s="75">
        <f t="shared" si="148"/>
        <v>0</v>
      </c>
      <c r="S657" s="75" t="e">
        <f t="shared" si="149"/>
        <v>#DIV/0!</v>
      </c>
      <c r="U657" s="306" t="e">
        <f t="shared" si="150"/>
        <v>#DIV/0!</v>
      </c>
    </row>
    <row r="658" spans="4:21" x14ac:dyDescent="0.35">
      <c r="D658" s="3"/>
      <c r="G658" s="3" t="s">
        <v>87</v>
      </c>
      <c r="M658" s="3"/>
      <c r="N658" s="356" t="e" cm="1">
        <f t="array" ref="N658">_xlfn.IFS(I658="AEX",H658/400,I658="RP",H658/200)</f>
        <v>#N/A</v>
      </c>
      <c r="P658" s="75" t="e">
        <f t="shared" si="147"/>
        <v>#DIV/0!</v>
      </c>
      <c r="Q658" s="3" t="e" cm="1">
        <f t="array" ref="Q658">_xlfn.IFS(P658&lt;200, "10", P658&lt;400, "12", P658&lt;600, "14", P658&gt;600, "16")</f>
        <v>#DIV/0!</v>
      </c>
      <c r="R658" s="75">
        <f t="shared" si="148"/>
        <v>0</v>
      </c>
      <c r="S658" s="75" t="e">
        <f t="shared" si="149"/>
        <v>#DIV/0!</v>
      </c>
      <c r="U658" s="306" t="e">
        <f t="shared" si="150"/>
        <v>#DIV/0!</v>
      </c>
    </row>
    <row r="659" spans="4:21" x14ac:dyDescent="0.35">
      <c r="D659" s="3"/>
      <c r="G659" s="3" t="s">
        <v>87</v>
      </c>
      <c r="M659" s="3"/>
      <c r="N659" s="356" t="e" cm="1">
        <f t="array" ref="N659">_xlfn.IFS(I659="AEX",H659/400,I659="RP",H659/200)</f>
        <v>#N/A</v>
      </c>
      <c r="P659" s="75" t="e">
        <f t="shared" si="147"/>
        <v>#DIV/0!</v>
      </c>
      <c r="Q659" s="3" t="e" cm="1">
        <f t="array" ref="Q659">_xlfn.IFS(P659&lt;200, "10", P659&lt;400, "12", P659&lt;600, "14", P659&gt;600, "16")</f>
        <v>#DIV/0!</v>
      </c>
      <c r="R659" s="75">
        <f t="shared" si="148"/>
        <v>0</v>
      </c>
      <c r="S659" s="75" t="e">
        <f t="shared" si="149"/>
        <v>#DIV/0!</v>
      </c>
      <c r="U659" s="306" t="e">
        <f t="shared" si="150"/>
        <v>#DIV/0!</v>
      </c>
    </row>
    <row r="660" spans="4:21" x14ac:dyDescent="0.35">
      <c r="D660" s="3"/>
      <c r="G660" s="3" t="s">
        <v>87</v>
      </c>
      <c r="M660" s="3"/>
      <c r="N660" s="356" t="e" cm="1">
        <f t="array" ref="N660">_xlfn.IFS(I660="AEX",H660/400,I660="RP",H660/200)</f>
        <v>#N/A</v>
      </c>
      <c r="P660" s="75" t="e">
        <f t="shared" si="147"/>
        <v>#DIV/0!</v>
      </c>
      <c r="Q660" s="3" t="e" cm="1">
        <f t="array" ref="Q660">_xlfn.IFS(P660&lt;200, "10", P660&lt;400, "12", P660&lt;600, "14", P660&gt;600, "16")</f>
        <v>#DIV/0!</v>
      </c>
      <c r="R660" s="75">
        <f t="shared" si="148"/>
        <v>0</v>
      </c>
      <c r="S660" s="75" t="e">
        <f t="shared" si="149"/>
        <v>#DIV/0!</v>
      </c>
      <c r="U660" s="306" t="e">
        <f t="shared" si="150"/>
        <v>#DIV/0!</v>
      </c>
    </row>
    <row r="661" spans="4:21" x14ac:dyDescent="0.35">
      <c r="D661" s="3"/>
      <c r="G661" s="3" t="s">
        <v>87</v>
      </c>
      <c r="M661" s="3"/>
      <c r="N661" s="356" t="e" cm="1">
        <f t="array" ref="N661">_xlfn.IFS(I661="AEX",H661/400,I661="RP",H661/200)</f>
        <v>#N/A</v>
      </c>
      <c r="P661" s="75" t="e">
        <f t="shared" si="147"/>
        <v>#DIV/0!</v>
      </c>
      <c r="Q661" s="3" t="e" cm="1">
        <f t="array" ref="Q661">_xlfn.IFS(P661&lt;200, "10", P661&lt;400, "12", P661&lt;600, "14", P661&gt;600, "16")</f>
        <v>#DIV/0!</v>
      </c>
      <c r="R661" s="75">
        <f t="shared" si="148"/>
        <v>0</v>
      </c>
      <c r="S661" s="75" t="e">
        <f t="shared" si="149"/>
        <v>#DIV/0!</v>
      </c>
      <c r="U661" s="306" t="e">
        <f t="shared" si="150"/>
        <v>#DIV/0!</v>
      </c>
    </row>
    <row r="662" spans="4:21" x14ac:dyDescent="0.35">
      <c r="D662" s="3"/>
      <c r="G662" s="3" t="s">
        <v>87</v>
      </c>
      <c r="M662" s="3"/>
      <c r="N662" s="356" t="e" cm="1">
        <f t="array" ref="N662">_xlfn.IFS(I662="AEX",H662/400,I662="RP",H662/200)</f>
        <v>#N/A</v>
      </c>
      <c r="P662" s="75" t="e">
        <f t="shared" si="147"/>
        <v>#DIV/0!</v>
      </c>
      <c r="Q662" s="3" t="e" cm="1">
        <f t="array" ref="Q662">_xlfn.IFS(P662&lt;200, "10", P662&lt;400, "12", P662&lt;600, "14", P662&gt;600, "16")</f>
        <v>#DIV/0!</v>
      </c>
      <c r="R662" s="75">
        <f t="shared" si="148"/>
        <v>0</v>
      </c>
      <c r="S662" s="75" t="e">
        <f t="shared" si="149"/>
        <v>#DIV/0!</v>
      </c>
      <c r="U662" s="306" t="e">
        <f t="shared" si="150"/>
        <v>#DIV/0!</v>
      </c>
    </row>
    <row r="663" spans="4:21" x14ac:dyDescent="0.35">
      <c r="D663" s="3"/>
      <c r="G663" s="3" t="s">
        <v>87</v>
      </c>
      <c r="M663" s="3"/>
      <c r="N663" s="356" t="e" cm="1">
        <f t="array" ref="N663">_xlfn.IFS(I663="AEX",H663/400,I663="RP",H663/200)</f>
        <v>#N/A</v>
      </c>
      <c r="P663" s="75" t="e">
        <f t="shared" si="147"/>
        <v>#DIV/0!</v>
      </c>
      <c r="Q663" s="3" t="e" cm="1">
        <f t="array" ref="Q663">_xlfn.IFS(P663&lt;200, "10", P663&lt;400, "12", P663&lt;600, "14", P663&gt;600, "16")</f>
        <v>#DIV/0!</v>
      </c>
      <c r="R663" s="75">
        <f t="shared" si="148"/>
        <v>0</v>
      </c>
      <c r="S663" s="75" t="e">
        <f t="shared" si="149"/>
        <v>#DIV/0!</v>
      </c>
      <c r="U663" s="306" t="e">
        <f t="shared" si="150"/>
        <v>#DIV/0!</v>
      </c>
    </row>
    <row r="664" spans="4:21" x14ac:dyDescent="0.35">
      <c r="D664" s="3"/>
      <c r="G664" s="3" t="s">
        <v>87</v>
      </c>
      <c r="M664" s="3"/>
      <c r="N664" s="356" t="e" cm="1">
        <f t="array" ref="N664">_xlfn.IFS(I664="AEX",H664/400,I664="RP",H664/200)</f>
        <v>#N/A</v>
      </c>
      <c r="P664" s="75" t="e">
        <f t="shared" si="147"/>
        <v>#DIV/0!</v>
      </c>
      <c r="Q664" s="3" t="e" cm="1">
        <f t="array" ref="Q664">_xlfn.IFS(P664&lt;200, "10", P664&lt;400, "12", P664&lt;600, "14", P664&gt;600, "16")</f>
        <v>#DIV/0!</v>
      </c>
      <c r="R664" s="75">
        <f t="shared" si="148"/>
        <v>0</v>
      </c>
      <c r="S664" s="75" t="e">
        <f t="shared" si="149"/>
        <v>#DIV/0!</v>
      </c>
      <c r="U664" s="306" t="e">
        <f t="shared" si="150"/>
        <v>#DIV/0!</v>
      </c>
    </row>
    <row r="665" spans="4:21" x14ac:dyDescent="0.35">
      <c r="D665" s="3"/>
      <c r="G665" s="3" t="s">
        <v>87</v>
      </c>
      <c r="M665" s="3"/>
      <c r="N665" s="356" t="e" cm="1">
        <f t="array" ref="N665">_xlfn.IFS(I665="AEX",H665/400,I665="RP",H665/200)</f>
        <v>#N/A</v>
      </c>
      <c r="P665" s="75" t="e">
        <f t="shared" si="147"/>
        <v>#DIV/0!</v>
      </c>
      <c r="Q665" s="3" t="e" cm="1">
        <f t="array" ref="Q665">_xlfn.IFS(P665&lt;200, "10", P665&lt;400, "12", P665&lt;600, "14", P665&gt;600, "16")</f>
        <v>#DIV/0!</v>
      </c>
      <c r="R665" s="75">
        <f t="shared" si="148"/>
        <v>0</v>
      </c>
      <c r="S665" s="75" t="e">
        <f t="shared" si="149"/>
        <v>#DIV/0!</v>
      </c>
      <c r="U665" s="306" t="e">
        <f t="shared" si="150"/>
        <v>#DIV/0!</v>
      </c>
    </row>
    <row r="666" spans="4:21" x14ac:dyDescent="0.35">
      <c r="D666" s="3"/>
      <c r="G666" s="3" t="s">
        <v>87</v>
      </c>
      <c r="M666" s="3"/>
      <c r="N666" s="356" t="e" cm="1">
        <f t="array" ref="N666">_xlfn.IFS(I666="AEX",H666/400,I666="RP",H666/200)</f>
        <v>#N/A</v>
      </c>
      <c r="P666" s="75" t="e">
        <f t="shared" si="147"/>
        <v>#DIV/0!</v>
      </c>
      <c r="Q666" s="3" t="e" cm="1">
        <f t="array" ref="Q666">_xlfn.IFS(P666&lt;200, "10", P666&lt;400, "12", P666&lt;600, "14", P666&gt;600, "16")</f>
        <v>#DIV/0!</v>
      </c>
      <c r="R666" s="75">
        <f t="shared" si="148"/>
        <v>0</v>
      </c>
      <c r="S666" s="75" t="e">
        <f t="shared" si="149"/>
        <v>#DIV/0!</v>
      </c>
      <c r="U666" s="306" t="e">
        <f t="shared" si="150"/>
        <v>#DIV/0!</v>
      </c>
    </row>
    <row r="667" spans="4:21" x14ac:dyDescent="0.35">
      <c r="D667" s="3"/>
      <c r="G667" s="3" t="s">
        <v>87</v>
      </c>
      <c r="M667" s="3"/>
      <c r="N667" s="356" t="e" cm="1">
        <f t="array" ref="N667">_xlfn.IFS(I667="AEX",H667/400,I667="RP",H667/200)</f>
        <v>#N/A</v>
      </c>
      <c r="P667" s="75" t="e">
        <f t="shared" si="147"/>
        <v>#DIV/0!</v>
      </c>
      <c r="Q667" s="3" t="e" cm="1">
        <f t="array" ref="Q667">_xlfn.IFS(P667&lt;200, "10", P667&lt;400, "12", P667&lt;600, "14", P667&gt;600, "16")</f>
        <v>#DIV/0!</v>
      </c>
      <c r="R667" s="75">
        <f t="shared" si="148"/>
        <v>0</v>
      </c>
      <c r="S667" s="75" t="e">
        <f t="shared" si="149"/>
        <v>#DIV/0!</v>
      </c>
      <c r="U667" s="306" t="e">
        <f t="shared" si="150"/>
        <v>#DIV/0!</v>
      </c>
    </row>
    <row r="668" spans="4:21" x14ac:dyDescent="0.35">
      <c r="D668" s="3"/>
      <c r="G668" s="3" t="s">
        <v>87</v>
      </c>
      <c r="M668" s="3"/>
      <c r="N668" s="356" t="e" cm="1">
        <f t="array" ref="N668">_xlfn.IFS(I668="AEX",H668/400,I668="RP",H668/200)</f>
        <v>#N/A</v>
      </c>
      <c r="P668" s="75" t="e">
        <f t="shared" si="147"/>
        <v>#DIV/0!</v>
      </c>
      <c r="Q668" s="3" t="e" cm="1">
        <f t="array" ref="Q668">_xlfn.IFS(P668&lt;200, "10", P668&lt;400, "12", P668&lt;600, "14", P668&gt;600, "16")</f>
        <v>#DIV/0!</v>
      </c>
      <c r="R668" s="75">
        <f t="shared" si="148"/>
        <v>0</v>
      </c>
      <c r="S668" s="75" t="e">
        <f t="shared" si="149"/>
        <v>#DIV/0!</v>
      </c>
      <c r="U668" s="306" t="e">
        <f t="shared" si="150"/>
        <v>#DIV/0!</v>
      </c>
    </row>
    <row r="669" spans="4:21" x14ac:dyDescent="0.35">
      <c r="D669" s="3"/>
      <c r="G669" s="3" t="s">
        <v>87</v>
      </c>
      <c r="M669" s="3"/>
      <c r="N669" s="356" t="e" cm="1">
        <f t="array" ref="N669">_xlfn.IFS(I669="AEX",H669/400,I669="RP",H669/200)</f>
        <v>#N/A</v>
      </c>
      <c r="P669" s="75" t="e">
        <f t="shared" si="147"/>
        <v>#DIV/0!</v>
      </c>
      <c r="Q669" s="3" t="e" cm="1">
        <f t="array" ref="Q669">_xlfn.IFS(P669&lt;200, "10", P669&lt;400, "12", P669&lt;600, "14", P669&gt;600, "16")</f>
        <v>#DIV/0!</v>
      </c>
      <c r="R669" s="75">
        <f t="shared" si="148"/>
        <v>0</v>
      </c>
      <c r="S669" s="75" t="e">
        <f t="shared" si="149"/>
        <v>#DIV/0!</v>
      </c>
      <c r="U669" s="306" t="e">
        <f t="shared" si="150"/>
        <v>#DIV/0!</v>
      </c>
    </row>
    <row r="670" spans="4:21" x14ac:dyDescent="0.35">
      <c r="D670" s="3"/>
      <c r="G670" s="3" t="s">
        <v>87</v>
      </c>
      <c r="M670" s="3"/>
      <c r="N670" s="356" t="e" cm="1">
        <f t="array" ref="N670">_xlfn.IFS(I670="AEX",H670/400,I670="RP",H670/200)</f>
        <v>#N/A</v>
      </c>
      <c r="P670" s="75" t="e">
        <f t="shared" si="147"/>
        <v>#DIV/0!</v>
      </c>
      <c r="Q670" s="3" t="e" cm="1">
        <f t="array" ref="Q670">_xlfn.IFS(P670&lt;200, "10", P670&lt;400, "12", P670&lt;600, "14", P670&gt;600, "16")</f>
        <v>#DIV/0!</v>
      </c>
      <c r="R670" s="75">
        <f t="shared" si="148"/>
        <v>0</v>
      </c>
      <c r="S670" s="75" t="e">
        <f t="shared" si="149"/>
        <v>#DIV/0!</v>
      </c>
      <c r="U670" s="306" t="e">
        <f t="shared" si="150"/>
        <v>#DIV/0!</v>
      </c>
    </row>
    <row r="671" spans="4:21" x14ac:dyDescent="0.35">
      <c r="D671" s="3"/>
      <c r="G671" s="3" t="s">
        <v>87</v>
      </c>
      <c r="M671" s="3"/>
      <c r="N671" s="356" t="e" cm="1">
        <f t="array" ref="N671">_xlfn.IFS(I671="AEX",H671/400,I671="RP",H671/200)</f>
        <v>#N/A</v>
      </c>
      <c r="P671" s="75" t="e">
        <f t="shared" si="147"/>
        <v>#DIV/0!</v>
      </c>
      <c r="Q671" s="3" t="e" cm="1">
        <f t="array" ref="Q671">_xlfn.IFS(P671&lt;200, "10", P671&lt;400, "12", P671&lt;600, "14", P671&gt;600, "16")</f>
        <v>#DIV/0!</v>
      </c>
      <c r="R671" s="75">
        <f t="shared" si="148"/>
        <v>0</v>
      </c>
      <c r="S671" s="75" t="e">
        <f t="shared" si="149"/>
        <v>#DIV/0!</v>
      </c>
      <c r="U671" s="306" t="e">
        <f t="shared" si="150"/>
        <v>#DIV/0!</v>
      </c>
    </row>
    <row r="672" spans="4:21" x14ac:dyDescent="0.35">
      <c r="D672" s="3"/>
      <c r="G672" s="3" t="s">
        <v>87</v>
      </c>
      <c r="M672" s="3"/>
      <c r="N672" s="356" t="e" cm="1">
        <f t="array" ref="N672">_xlfn.IFS(I672="AEX",H672/400,I672="RP",H672/200)</f>
        <v>#N/A</v>
      </c>
      <c r="P672" s="75" t="e">
        <f t="shared" si="147"/>
        <v>#DIV/0!</v>
      </c>
      <c r="Q672" s="3" t="e" cm="1">
        <f t="array" ref="Q672">_xlfn.IFS(P672&lt;200, "10", P672&lt;400, "12", P672&lt;600, "14", P672&gt;600, "16")</f>
        <v>#DIV/0!</v>
      </c>
      <c r="R672" s="75">
        <f t="shared" si="148"/>
        <v>0</v>
      </c>
      <c r="S672" s="75" t="e">
        <f t="shared" si="149"/>
        <v>#DIV/0!</v>
      </c>
      <c r="U672" s="306" t="e">
        <f t="shared" si="150"/>
        <v>#DIV/0!</v>
      </c>
    </row>
    <row r="673" spans="4:21" x14ac:dyDescent="0.35">
      <c r="D673" s="3"/>
      <c r="G673" s="3" t="s">
        <v>87</v>
      </c>
      <c r="M673" s="3"/>
      <c r="N673" s="356" t="e" cm="1">
        <f t="array" ref="N673">_xlfn.IFS(I673="AEX",H673/400,I673="RP",H673/200)</f>
        <v>#N/A</v>
      </c>
      <c r="P673" s="75" t="e">
        <f t="shared" si="147"/>
        <v>#DIV/0!</v>
      </c>
      <c r="Q673" s="3" t="e" cm="1">
        <f t="array" ref="Q673">_xlfn.IFS(P673&lt;200, "10", P673&lt;400, "12", P673&lt;600, "14", P673&gt;600, "16")</f>
        <v>#DIV/0!</v>
      </c>
      <c r="R673" s="75">
        <f t="shared" si="148"/>
        <v>0</v>
      </c>
      <c r="S673" s="75" t="e">
        <f t="shared" si="149"/>
        <v>#DIV/0!</v>
      </c>
      <c r="U673" s="306" t="e">
        <f t="shared" si="150"/>
        <v>#DIV/0!</v>
      </c>
    </row>
    <row r="674" spans="4:21" x14ac:dyDescent="0.35">
      <c r="D674" s="3"/>
      <c r="G674" s="3" t="s">
        <v>87</v>
      </c>
      <c r="M674" s="3"/>
      <c r="N674" s="356" t="e" cm="1">
        <f t="array" ref="N674">_xlfn.IFS(I674="AEX",H674/400,I674="RP",H674/200)</f>
        <v>#N/A</v>
      </c>
      <c r="P674" s="75" t="e">
        <f t="shared" si="147"/>
        <v>#DIV/0!</v>
      </c>
      <c r="Q674" s="3" t="e" cm="1">
        <f t="array" ref="Q674">_xlfn.IFS(P674&lt;200, "10", P674&lt;400, "12", P674&lt;600, "14", P674&gt;600, "16")</f>
        <v>#DIV/0!</v>
      </c>
      <c r="R674" s="75">
        <f t="shared" si="148"/>
        <v>0</v>
      </c>
      <c r="S674" s="75" t="e">
        <f t="shared" si="149"/>
        <v>#DIV/0!</v>
      </c>
      <c r="U674" s="306" t="e">
        <f t="shared" si="150"/>
        <v>#DIV/0!</v>
      </c>
    </row>
    <row r="675" spans="4:21" x14ac:dyDescent="0.35">
      <c r="D675" s="3"/>
      <c r="G675" s="3" t="s">
        <v>87</v>
      </c>
      <c r="M675" s="3"/>
      <c r="N675" s="356" t="e" cm="1">
        <f t="array" ref="N675">_xlfn.IFS(I675="AEX",H675/400,I675="RP",H675/200)</f>
        <v>#N/A</v>
      </c>
      <c r="P675" s="75" t="e">
        <f t="shared" si="147"/>
        <v>#DIV/0!</v>
      </c>
      <c r="Q675" s="3" t="e" cm="1">
        <f t="array" ref="Q675">_xlfn.IFS(P675&lt;200, "10", P675&lt;400, "12", P675&lt;600, "14", P675&gt;600, "16")</f>
        <v>#DIV/0!</v>
      </c>
      <c r="R675" s="75">
        <f t="shared" si="148"/>
        <v>0</v>
      </c>
      <c r="S675" s="75" t="e">
        <f t="shared" si="149"/>
        <v>#DIV/0!</v>
      </c>
      <c r="U675" s="306" t="e">
        <f t="shared" si="150"/>
        <v>#DIV/0!</v>
      </c>
    </row>
    <row r="676" spans="4:21" x14ac:dyDescent="0.35">
      <c r="D676" s="3"/>
      <c r="G676" s="3" t="s">
        <v>87</v>
      </c>
      <c r="M676" s="3"/>
      <c r="N676" s="356" t="e" cm="1">
        <f t="array" ref="N676">_xlfn.IFS(I676="AEX",H676/400,I676="RP",H676/200)</f>
        <v>#N/A</v>
      </c>
      <c r="P676" s="75" t="e">
        <f t="shared" si="147"/>
        <v>#DIV/0!</v>
      </c>
      <c r="Q676" s="3" t="e" cm="1">
        <f t="array" ref="Q676">_xlfn.IFS(P676&lt;200, "10", P676&lt;400, "12", P676&lt;600, "14", P676&gt;600, "16")</f>
        <v>#DIV/0!</v>
      </c>
      <c r="R676" s="75">
        <f t="shared" si="148"/>
        <v>0</v>
      </c>
      <c r="S676" s="75" t="e">
        <f t="shared" si="149"/>
        <v>#DIV/0!</v>
      </c>
      <c r="U676" s="306" t="e">
        <f t="shared" si="150"/>
        <v>#DIV/0!</v>
      </c>
    </row>
    <row r="677" spans="4:21" x14ac:dyDescent="0.35">
      <c r="D677" s="3"/>
      <c r="G677" s="3" t="s">
        <v>87</v>
      </c>
      <c r="M677" s="3"/>
      <c r="N677" s="356" t="e" cm="1">
        <f t="array" ref="N677">_xlfn.IFS(I677="AEX",H677/400,I677="RP",H677/200)</f>
        <v>#N/A</v>
      </c>
      <c r="P677" s="75" t="e">
        <f t="shared" si="147"/>
        <v>#DIV/0!</v>
      </c>
      <c r="Q677" s="3" t="e" cm="1">
        <f t="array" ref="Q677">_xlfn.IFS(P677&lt;200, "10", P677&lt;400, "12", P677&lt;600, "14", P677&gt;600, "16")</f>
        <v>#DIV/0!</v>
      </c>
      <c r="R677" s="75">
        <f t="shared" si="148"/>
        <v>0</v>
      </c>
      <c r="S677" s="75" t="e">
        <f t="shared" si="149"/>
        <v>#DIV/0!</v>
      </c>
      <c r="U677" s="306" t="e">
        <f t="shared" si="150"/>
        <v>#DIV/0!</v>
      </c>
    </row>
    <row r="678" spans="4:21" x14ac:dyDescent="0.35">
      <c r="D678" s="3"/>
      <c r="G678" s="3" t="s">
        <v>87</v>
      </c>
      <c r="M678" s="3"/>
      <c r="N678" s="356" t="e" cm="1">
        <f t="array" ref="N678">_xlfn.IFS(I678="AEX",H678/400,I678="RP",H678/200)</f>
        <v>#N/A</v>
      </c>
      <c r="P678" s="75" t="e">
        <f t="shared" si="147"/>
        <v>#DIV/0!</v>
      </c>
      <c r="Q678" s="3" t="e" cm="1">
        <f t="array" ref="Q678">_xlfn.IFS(P678&lt;200, "10", P678&lt;400, "12", P678&lt;600, "14", P678&gt;600, "16")</f>
        <v>#DIV/0!</v>
      </c>
      <c r="R678" s="75">
        <f t="shared" si="148"/>
        <v>0</v>
      </c>
      <c r="S678" s="75" t="e">
        <f t="shared" si="149"/>
        <v>#DIV/0!</v>
      </c>
      <c r="U678" s="306" t="e">
        <f t="shared" si="150"/>
        <v>#DIV/0!</v>
      </c>
    </row>
    <row r="679" spans="4:21" x14ac:dyDescent="0.35">
      <c r="D679" s="3"/>
      <c r="G679" s="3" t="s">
        <v>87</v>
      </c>
      <c r="M679" s="3"/>
      <c r="N679" s="356" t="e" cm="1">
        <f t="array" ref="N679">_xlfn.IFS(I679="AEX",H679/400,I679="RP",H679/200)</f>
        <v>#N/A</v>
      </c>
      <c r="P679" s="75" t="e">
        <f t="shared" si="147"/>
        <v>#DIV/0!</v>
      </c>
      <c r="Q679" s="3" t="e" cm="1">
        <f t="array" ref="Q679">_xlfn.IFS(P679&lt;200, "10", P679&lt;400, "12", P679&lt;600, "14", P679&gt;600, "16")</f>
        <v>#DIV/0!</v>
      </c>
      <c r="R679" s="75">
        <f t="shared" si="148"/>
        <v>0</v>
      </c>
      <c r="S679" s="75" t="e">
        <f t="shared" si="149"/>
        <v>#DIV/0!</v>
      </c>
      <c r="U679" s="306" t="e">
        <f t="shared" si="150"/>
        <v>#DIV/0!</v>
      </c>
    </row>
    <row r="680" spans="4:21" x14ac:dyDescent="0.35">
      <c r="D680" s="3"/>
      <c r="G680" s="3" t="s">
        <v>87</v>
      </c>
      <c r="M680" s="3"/>
      <c r="N680" s="356" t="e" cm="1">
        <f t="array" ref="N680">_xlfn.IFS(I680="AEX",H680/400,I680="RP",H680/200)</f>
        <v>#N/A</v>
      </c>
      <c r="P680" s="75" t="e">
        <f t="shared" si="147"/>
        <v>#DIV/0!</v>
      </c>
      <c r="Q680" s="3" t="e" cm="1">
        <f t="array" ref="Q680">_xlfn.IFS(P680&lt;200, "10", P680&lt;400, "12", P680&lt;600, "14", P680&gt;600, "16")</f>
        <v>#DIV/0!</v>
      </c>
      <c r="R680" s="75">
        <f t="shared" si="148"/>
        <v>0</v>
      </c>
      <c r="S680" s="75" t="e">
        <f t="shared" si="149"/>
        <v>#DIV/0!</v>
      </c>
      <c r="U680" s="306" t="e">
        <f t="shared" si="150"/>
        <v>#DIV/0!</v>
      </c>
    </row>
    <row r="681" spans="4:21" x14ac:dyDescent="0.35">
      <c r="D681" s="3"/>
      <c r="G681" s="3" t="s">
        <v>87</v>
      </c>
      <c r="M681" s="3"/>
      <c r="N681" s="356" t="e" cm="1">
        <f t="array" ref="N681">_xlfn.IFS(I681="AEX",H681/400,I681="RP",H681/200)</f>
        <v>#N/A</v>
      </c>
      <c r="P681" s="75" t="e">
        <f t="shared" si="147"/>
        <v>#DIV/0!</v>
      </c>
      <c r="Q681" s="3" t="e" cm="1">
        <f t="array" ref="Q681">_xlfn.IFS(P681&lt;200, "10", P681&lt;400, "12", P681&lt;600, "14", P681&gt;600, "16")</f>
        <v>#DIV/0!</v>
      </c>
      <c r="R681" s="75">
        <f t="shared" si="148"/>
        <v>0</v>
      </c>
      <c r="S681" s="75" t="e">
        <f t="shared" si="149"/>
        <v>#DIV/0!</v>
      </c>
      <c r="U681" s="306" t="e">
        <f t="shared" si="150"/>
        <v>#DIV/0!</v>
      </c>
    </row>
    <row r="682" spans="4:21" x14ac:dyDescent="0.35">
      <c r="D682" s="3"/>
      <c r="G682" s="3" t="s">
        <v>87</v>
      </c>
      <c r="M682" s="3"/>
      <c r="N682" s="356" t="e" cm="1">
        <f t="array" ref="N682">_xlfn.IFS(I682="AEX",H682/400,I682="RP",H682/200)</f>
        <v>#N/A</v>
      </c>
      <c r="P682" s="75" t="e">
        <f t="shared" ref="P682:P745" si="151">H682/O682</f>
        <v>#DIV/0!</v>
      </c>
      <c r="Q682" s="3" t="e" cm="1">
        <f t="array" ref="Q682">_xlfn.IFS(P682&lt;200, "10", P682&lt;400, "12", P682&lt;600, "14", P682&gt;600, "16")</f>
        <v>#DIV/0!</v>
      </c>
      <c r="R682" s="75">
        <f t="shared" ref="R682:R745" si="152">IF(I682="AEX",H682*0.3/400,H682*0.3/200)</f>
        <v>0</v>
      </c>
      <c r="S682" s="75" t="e">
        <f t="shared" si="149"/>
        <v>#DIV/0!</v>
      </c>
      <c r="U682" s="306" t="e">
        <f t="shared" si="150"/>
        <v>#DIV/0!</v>
      </c>
    </row>
    <row r="683" spans="4:21" x14ac:dyDescent="0.35">
      <c r="D683" s="3"/>
      <c r="G683" s="3" t="s">
        <v>87</v>
      </c>
      <c r="M683" s="3"/>
      <c r="N683" s="356" t="e" cm="1">
        <f t="array" ref="N683">_xlfn.IFS(I683="AEX",H683/400,I683="RP",H683/200)</f>
        <v>#N/A</v>
      </c>
      <c r="P683" s="75" t="e">
        <f t="shared" si="151"/>
        <v>#DIV/0!</v>
      </c>
      <c r="Q683" s="3" t="e" cm="1">
        <f t="array" ref="Q683">_xlfn.IFS(P683&lt;200, "10", P683&lt;400, "12", P683&lt;600, "14", P683&gt;600, "16")</f>
        <v>#DIV/0!</v>
      </c>
      <c r="R683" s="75">
        <f t="shared" si="152"/>
        <v>0</v>
      </c>
      <c r="S683" s="75" t="e">
        <f t="shared" si="149"/>
        <v>#DIV/0!</v>
      </c>
      <c r="U683" s="306" t="e">
        <f t="shared" si="150"/>
        <v>#DIV/0!</v>
      </c>
    </row>
    <row r="684" spans="4:21" x14ac:dyDescent="0.35">
      <c r="D684" s="3"/>
      <c r="G684" s="3" t="s">
        <v>87</v>
      </c>
      <c r="M684" s="3"/>
      <c r="N684" s="356" t="e" cm="1">
        <f t="array" ref="N684">_xlfn.IFS(I684="AEX",H684/400,I684="RP",H684/200)</f>
        <v>#N/A</v>
      </c>
      <c r="P684" s="75" t="e">
        <f t="shared" si="151"/>
        <v>#DIV/0!</v>
      </c>
      <c r="Q684" s="3" t="e" cm="1">
        <f t="array" ref="Q684">_xlfn.IFS(P684&lt;200, "10", P684&lt;400, "12", P684&lt;600, "14", P684&gt;600, "16")</f>
        <v>#DIV/0!</v>
      </c>
      <c r="R684" s="75">
        <f t="shared" si="152"/>
        <v>0</v>
      </c>
      <c r="S684" s="75" t="e">
        <f t="shared" si="149"/>
        <v>#DIV/0!</v>
      </c>
      <c r="U684" s="306" t="e">
        <f t="shared" si="150"/>
        <v>#DIV/0!</v>
      </c>
    </row>
    <row r="685" spans="4:21" x14ac:dyDescent="0.35">
      <c r="D685" s="3"/>
      <c r="G685" s="3" t="s">
        <v>87</v>
      </c>
      <c r="M685" s="3"/>
      <c r="N685" s="356" t="e" cm="1">
        <f t="array" ref="N685">_xlfn.IFS(I685="AEX",H685/400,I685="RP",H685/200)</f>
        <v>#N/A</v>
      </c>
      <c r="P685" s="75" t="e">
        <f t="shared" si="151"/>
        <v>#DIV/0!</v>
      </c>
      <c r="Q685" s="3" t="e" cm="1">
        <f t="array" ref="Q685">_xlfn.IFS(P685&lt;200, "10", P685&lt;400, "12", P685&lt;600, "14", P685&gt;600, "16")</f>
        <v>#DIV/0!</v>
      </c>
      <c r="R685" s="75">
        <f t="shared" si="152"/>
        <v>0</v>
      </c>
      <c r="S685" s="75" t="e">
        <f t="shared" si="149"/>
        <v>#DIV/0!</v>
      </c>
      <c r="U685" s="306" t="e">
        <f t="shared" si="150"/>
        <v>#DIV/0!</v>
      </c>
    </row>
    <row r="686" spans="4:21" x14ac:dyDescent="0.35">
      <c r="D686" s="3"/>
      <c r="G686" s="3" t="s">
        <v>87</v>
      </c>
      <c r="M686" s="3"/>
      <c r="N686" s="356" t="e" cm="1">
        <f t="array" ref="N686">_xlfn.IFS(I686="AEX",H686/400,I686="RP",H686/200)</f>
        <v>#N/A</v>
      </c>
      <c r="P686" s="75" t="e">
        <f t="shared" si="151"/>
        <v>#DIV/0!</v>
      </c>
      <c r="Q686" s="3" t="e" cm="1">
        <f t="array" ref="Q686">_xlfn.IFS(P686&lt;200, "10", P686&lt;400, "12", P686&lt;600, "14", P686&gt;600, "16")</f>
        <v>#DIV/0!</v>
      </c>
      <c r="R686" s="75">
        <f t="shared" si="152"/>
        <v>0</v>
      </c>
      <c r="S686" s="75" t="e">
        <f t="shared" si="149"/>
        <v>#DIV/0!</v>
      </c>
      <c r="U686" s="306" t="e">
        <f t="shared" si="150"/>
        <v>#DIV/0!</v>
      </c>
    </row>
    <row r="687" spans="4:21" x14ac:dyDescent="0.35">
      <c r="D687" s="3"/>
      <c r="G687" s="3" t="s">
        <v>87</v>
      </c>
      <c r="M687" s="3"/>
      <c r="N687" s="356" t="e" cm="1">
        <f t="array" ref="N687">_xlfn.IFS(I687="AEX",H687/400,I687="RP",H687/200)</f>
        <v>#N/A</v>
      </c>
      <c r="P687" s="75" t="e">
        <f t="shared" si="151"/>
        <v>#DIV/0!</v>
      </c>
      <c r="Q687" s="3" t="e" cm="1">
        <f t="array" ref="Q687">_xlfn.IFS(P687&lt;200, "10", P687&lt;400, "12", P687&lt;600, "14", P687&gt;600, "16")</f>
        <v>#DIV/0!</v>
      </c>
      <c r="R687" s="75">
        <f t="shared" si="152"/>
        <v>0</v>
      </c>
      <c r="S687" s="75" t="e">
        <f t="shared" si="149"/>
        <v>#DIV/0!</v>
      </c>
      <c r="U687" s="306" t="e">
        <f t="shared" si="150"/>
        <v>#DIV/0!</v>
      </c>
    </row>
    <row r="688" spans="4:21" x14ac:dyDescent="0.35">
      <c r="D688" s="3"/>
      <c r="G688" s="3" t="s">
        <v>87</v>
      </c>
      <c r="M688" s="3"/>
      <c r="N688" s="356" t="e" cm="1">
        <f t="array" ref="N688">_xlfn.IFS(I688="AEX",H688/400,I688="RP",H688/200)</f>
        <v>#N/A</v>
      </c>
      <c r="P688" s="75" t="e">
        <f t="shared" si="151"/>
        <v>#DIV/0!</v>
      </c>
      <c r="Q688" s="3" t="e" cm="1">
        <f t="array" ref="Q688">_xlfn.IFS(P688&lt;200, "10", P688&lt;400, "12", P688&lt;600, "14", P688&gt;600, "16")</f>
        <v>#DIV/0!</v>
      </c>
      <c r="R688" s="75">
        <f t="shared" si="152"/>
        <v>0</v>
      </c>
      <c r="S688" s="75" t="e">
        <f t="shared" si="149"/>
        <v>#DIV/0!</v>
      </c>
      <c r="U688" s="306" t="e">
        <f t="shared" si="150"/>
        <v>#DIV/0!</v>
      </c>
    </row>
    <row r="689" spans="4:21" x14ac:dyDescent="0.35">
      <c r="D689" s="3"/>
      <c r="G689" s="3" t="s">
        <v>87</v>
      </c>
      <c r="M689" s="3"/>
      <c r="N689" s="356" t="e" cm="1">
        <f t="array" ref="N689">_xlfn.IFS(I689="AEX",H689/400,I689="RP",H689/200)</f>
        <v>#N/A</v>
      </c>
      <c r="P689" s="75" t="e">
        <f t="shared" si="151"/>
        <v>#DIV/0!</v>
      </c>
      <c r="Q689" s="3" t="e" cm="1">
        <f t="array" ref="Q689">_xlfn.IFS(P689&lt;200, "10", P689&lt;400, "12", P689&lt;600, "14", P689&gt;600, "16")</f>
        <v>#DIV/0!</v>
      </c>
      <c r="R689" s="75">
        <f t="shared" si="152"/>
        <v>0</v>
      </c>
      <c r="S689" s="75" t="e">
        <f t="shared" si="149"/>
        <v>#DIV/0!</v>
      </c>
      <c r="U689" s="306" t="e">
        <f t="shared" si="150"/>
        <v>#DIV/0!</v>
      </c>
    </row>
    <row r="690" spans="4:21" x14ac:dyDescent="0.35">
      <c r="D690" s="3"/>
      <c r="G690" s="3" t="s">
        <v>87</v>
      </c>
      <c r="M690" s="3"/>
      <c r="N690" s="356" t="e" cm="1">
        <f t="array" ref="N690">_xlfn.IFS(I690="AEX",H690/400,I690="RP",H690/200)</f>
        <v>#N/A</v>
      </c>
      <c r="P690" s="75" t="e">
        <f t="shared" si="151"/>
        <v>#DIV/0!</v>
      </c>
      <c r="Q690" s="3" t="e" cm="1">
        <f t="array" ref="Q690">_xlfn.IFS(P690&lt;200, "10", P690&lt;400, "12", P690&lt;600, "14", P690&gt;600, "16")</f>
        <v>#DIV/0!</v>
      </c>
      <c r="R690" s="75">
        <f t="shared" si="152"/>
        <v>0</v>
      </c>
      <c r="S690" s="75" t="e">
        <f t="shared" si="149"/>
        <v>#DIV/0!</v>
      </c>
      <c r="U690" s="306" t="e">
        <f t="shared" si="150"/>
        <v>#DIV/0!</v>
      </c>
    </row>
    <row r="691" spans="4:21" x14ac:dyDescent="0.35">
      <c r="D691" s="3"/>
      <c r="G691" s="3" t="s">
        <v>87</v>
      </c>
      <c r="M691" s="3"/>
      <c r="N691" s="356" t="e" cm="1">
        <f t="array" ref="N691">_xlfn.IFS(I691="AEX",H691/400,I691="RP",H691/200)</f>
        <v>#N/A</v>
      </c>
      <c r="P691" s="75" t="e">
        <f t="shared" si="151"/>
        <v>#DIV/0!</v>
      </c>
      <c r="Q691" s="3" t="e" cm="1">
        <f t="array" ref="Q691">_xlfn.IFS(P691&lt;200, "10", P691&lt;400, "12", P691&lt;600, "14", P691&gt;600, "16")</f>
        <v>#DIV/0!</v>
      </c>
      <c r="R691" s="75">
        <f t="shared" si="152"/>
        <v>0</v>
      </c>
      <c r="S691" s="75" t="e">
        <f t="shared" ref="S691:S754" si="153">R691/O691</f>
        <v>#DIV/0!</v>
      </c>
      <c r="U691" s="306" t="e">
        <f t="shared" si="150"/>
        <v>#DIV/0!</v>
      </c>
    </row>
    <row r="692" spans="4:21" x14ac:dyDescent="0.35">
      <c r="D692" s="3"/>
      <c r="G692" s="3" t="s">
        <v>87</v>
      </c>
      <c r="M692" s="3"/>
      <c r="N692" s="356" t="e" cm="1">
        <f t="array" ref="N692">_xlfn.IFS(I692="AEX",H692/400,I692="RP",H692/200)</f>
        <v>#N/A</v>
      </c>
      <c r="P692" s="75" t="e">
        <f t="shared" si="151"/>
        <v>#DIV/0!</v>
      </c>
      <c r="Q692" s="3" t="e" cm="1">
        <f t="array" ref="Q692">_xlfn.IFS(P692&lt;200, "10", P692&lt;400, "12", P692&lt;600, "14", P692&gt;600, "16")</f>
        <v>#DIV/0!</v>
      </c>
      <c r="R692" s="75">
        <f t="shared" si="152"/>
        <v>0</v>
      </c>
      <c r="S692" s="75" t="e">
        <f t="shared" si="153"/>
        <v>#DIV/0!</v>
      </c>
      <c r="U692" s="306" t="e">
        <f t="shared" si="150"/>
        <v>#DIV/0!</v>
      </c>
    </row>
    <row r="693" spans="4:21" x14ac:dyDescent="0.35">
      <c r="D693" s="3"/>
      <c r="G693" s="3" t="s">
        <v>87</v>
      </c>
      <c r="M693" s="3"/>
      <c r="N693" s="356" t="e" cm="1">
        <f t="array" ref="N693">_xlfn.IFS(I693="AEX",H693/400,I693="RP",H693/200)</f>
        <v>#N/A</v>
      </c>
      <c r="P693" s="75" t="e">
        <f t="shared" si="151"/>
        <v>#DIV/0!</v>
      </c>
      <c r="Q693" s="3" t="e" cm="1">
        <f t="array" ref="Q693">_xlfn.IFS(P693&lt;200, "10", P693&lt;400, "12", P693&lt;600, "14", P693&gt;600, "16")</f>
        <v>#DIV/0!</v>
      </c>
      <c r="R693" s="75">
        <f t="shared" si="152"/>
        <v>0</v>
      </c>
      <c r="S693" s="75" t="e">
        <f t="shared" si="153"/>
        <v>#DIV/0!</v>
      </c>
      <c r="U693" s="306" t="e">
        <f t="shared" si="150"/>
        <v>#DIV/0!</v>
      </c>
    </row>
    <row r="694" spans="4:21" x14ac:dyDescent="0.35">
      <c r="D694" s="3"/>
      <c r="G694" s="3" t="s">
        <v>87</v>
      </c>
      <c r="M694" s="3"/>
      <c r="N694" s="356" t="e" cm="1">
        <f t="array" ref="N694">_xlfn.IFS(I694="AEX",H694/400,I694="RP",H694/200)</f>
        <v>#N/A</v>
      </c>
      <c r="P694" s="75" t="e">
        <f t="shared" si="151"/>
        <v>#DIV/0!</v>
      </c>
      <c r="Q694" s="3" t="e" cm="1">
        <f t="array" ref="Q694">_xlfn.IFS(P694&lt;200, "10", P694&lt;400, "12", P694&lt;600, "14", P694&gt;600, "16")</f>
        <v>#DIV/0!</v>
      </c>
      <c r="R694" s="75">
        <f t="shared" si="152"/>
        <v>0</v>
      </c>
      <c r="S694" s="75" t="e">
        <f t="shared" si="153"/>
        <v>#DIV/0!</v>
      </c>
      <c r="U694" s="306" t="e">
        <f t="shared" si="150"/>
        <v>#DIV/0!</v>
      </c>
    </row>
    <row r="695" spans="4:21" x14ac:dyDescent="0.35">
      <c r="D695" s="3"/>
      <c r="G695" s="3" t="s">
        <v>87</v>
      </c>
      <c r="M695" s="3"/>
      <c r="N695" s="356" t="e" cm="1">
        <f t="array" ref="N695">_xlfn.IFS(I695="AEX",H695/400,I695="RP",H695/200)</f>
        <v>#N/A</v>
      </c>
      <c r="P695" s="75" t="e">
        <f t="shared" si="151"/>
        <v>#DIV/0!</v>
      </c>
      <c r="Q695" s="3" t="e" cm="1">
        <f t="array" ref="Q695">_xlfn.IFS(P695&lt;200, "10", P695&lt;400, "12", P695&lt;600, "14", P695&gt;600, "16")</f>
        <v>#DIV/0!</v>
      </c>
      <c r="R695" s="75">
        <f t="shared" si="152"/>
        <v>0</v>
      </c>
      <c r="S695" s="75" t="e">
        <f t="shared" si="153"/>
        <v>#DIV/0!</v>
      </c>
      <c r="U695" s="306" t="e">
        <f t="shared" si="150"/>
        <v>#DIV/0!</v>
      </c>
    </row>
    <row r="696" spans="4:21" x14ac:dyDescent="0.35">
      <c r="D696" s="3"/>
      <c r="G696" s="3" t="s">
        <v>87</v>
      </c>
      <c r="M696" s="3"/>
      <c r="N696" s="356" t="e" cm="1">
        <f t="array" ref="N696">_xlfn.IFS(I696="AEX",H696/400,I696="RP",H696/200)</f>
        <v>#N/A</v>
      </c>
      <c r="P696" s="75" t="e">
        <f t="shared" si="151"/>
        <v>#DIV/0!</v>
      </c>
      <c r="Q696" s="3" t="e" cm="1">
        <f t="array" ref="Q696">_xlfn.IFS(P696&lt;200, "10", P696&lt;400, "12", P696&lt;600, "14", P696&gt;600, "16")</f>
        <v>#DIV/0!</v>
      </c>
      <c r="R696" s="75">
        <f t="shared" si="152"/>
        <v>0</v>
      </c>
      <c r="S696" s="75" t="e">
        <f t="shared" si="153"/>
        <v>#DIV/0!</v>
      </c>
      <c r="U696" s="306" t="e">
        <f t="shared" si="150"/>
        <v>#DIV/0!</v>
      </c>
    </row>
    <row r="697" spans="4:21" x14ac:dyDescent="0.35">
      <c r="D697" s="3"/>
      <c r="G697" s="3" t="s">
        <v>87</v>
      </c>
      <c r="M697" s="3"/>
      <c r="N697" s="356" t="e" cm="1">
        <f t="array" ref="N697">_xlfn.IFS(I697="AEX",H697/400,I697="RP",H697/200)</f>
        <v>#N/A</v>
      </c>
      <c r="P697" s="75" t="e">
        <f t="shared" si="151"/>
        <v>#DIV/0!</v>
      </c>
      <c r="Q697" s="3" t="e" cm="1">
        <f t="array" ref="Q697">_xlfn.IFS(P697&lt;200, "10", P697&lt;400, "12", P697&lt;600, "14", P697&gt;600, "16")</f>
        <v>#DIV/0!</v>
      </c>
      <c r="R697" s="75">
        <f t="shared" si="152"/>
        <v>0</v>
      </c>
      <c r="S697" s="75" t="e">
        <f t="shared" si="153"/>
        <v>#DIV/0!</v>
      </c>
      <c r="U697" s="306" t="e">
        <f t="shared" si="150"/>
        <v>#DIV/0!</v>
      </c>
    </row>
    <row r="698" spans="4:21" x14ac:dyDescent="0.35">
      <c r="D698" s="3"/>
      <c r="G698" s="3" t="s">
        <v>87</v>
      </c>
      <c r="M698" s="3"/>
      <c r="N698" s="356" t="e" cm="1">
        <f t="array" ref="N698">_xlfn.IFS(I698="AEX",H698/400,I698="RP",H698/200)</f>
        <v>#N/A</v>
      </c>
      <c r="P698" s="75" t="e">
        <f t="shared" si="151"/>
        <v>#DIV/0!</v>
      </c>
      <c r="Q698" s="3" t="e" cm="1">
        <f t="array" ref="Q698">_xlfn.IFS(P698&lt;200, "10", P698&lt;400, "12", P698&lt;600, "14", P698&gt;600, "16")</f>
        <v>#DIV/0!</v>
      </c>
      <c r="R698" s="75">
        <f t="shared" si="152"/>
        <v>0</v>
      </c>
      <c r="S698" s="75" t="e">
        <f t="shared" si="153"/>
        <v>#DIV/0!</v>
      </c>
      <c r="U698" s="306" t="e">
        <f t="shared" si="150"/>
        <v>#DIV/0!</v>
      </c>
    </row>
    <row r="699" spans="4:21" x14ac:dyDescent="0.35">
      <c r="D699" s="3"/>
      <c r="G699" s="3" t="s">
        <v>87</v>
      </c>
      <c r="M699" s="3"/>
      <c r="N699" s="356" t="e" cm="1">
        <f t="array" ref="N699">_xlfn.IFS(I699="AEX",H699/400,I699="RP",H699/200)</f>
        <v>#N/A</v>
      </c>
      <c r="P699" s="75" t="e">
        <f t="shared" si="151"/>
        <v>#DIV/0!</v>
      </c>
      <c r="Q699" s="3" t="e" cm="1">
        <f t="array" ref="Q699">_xlfn.IFS(P699&lt;200, "10", P699&lt;400, "12", P699&lt;600, "14", P699&gt;600, "16")</f>
        <v>#DIV/0!</v>
      </c>
      <c r="R699" s="75">
        <f t="shared" si="152"/>
        <v>0</v>
      </c>
      <c r="S699" s="75" t="e">
        <f t="shared" si="153"/>
        <v>#DIV/0!</v>
      </c>
      <c r="U699" s="306" t="e">
        <f t="shared" si="150"/>
        <v>#DIV/0!</v>
      </c>
    </row>
    <row r="700" spans="4:21" x14ac:dyDescent="0.35">
      <c r="D700" s="3"/>
      <c r="G700" s="3" t="s">
        <v>87</v>
      </c>
      <c r="M700" s="3"/>
      <c r="N700" s="356" t="e" cm="1">
        <f t="array" ref="N700">_xlfn.IFS(I700="AEX",H700/400,I700="RP",H700/200)</f>
        <v>#N/A</v>
      </c>
      <c r="P700" s="75" t="e">
        <f t="shared" si="151"/>
        <v>#DIV/0!</v>
      </c>
      <c r="Q700" s="3" t="e" cm="1">
        <f t="array" ref="Q700">_xlfn.IFS(P700&lt;200, "10", P700&lt;400, "12", P700&lt;600, "14", P700&gt;600, "16")</f>
        <v>#DIV/0!</v>
      </c>
      <c r="R700" s="75">
        <f t="shared" si="152"/>
        <v>0</v>
      </c>
      <c r="S700" s="75" t="e">
        <f t="shared" si="153"/>
        <v>#DIV/0!</v>
      </c>
      <c r="U700" s="306" t="e">
        <f t="shared" si="150"/>
        <v>#DIV/0!</v>
      </c>
    </row>
    <row r="701" spans="4:21" x14ac:dyDescent="0.35">
      <c r="D701" s="3"/>
      <c r="G701" s="3" t="s">
        <v>87</v>
      </c>
      <c r="M701" s="3"/>
      <c r="N701" s="356" t="e" cm="1">
        <f t="array" ref="N701">_xlfn.IFS(I701="AEX",H701/400,I701="RP",H701/200)</f>
        <v>#N/A</v>
      </c>
      <c r="P701" s="75" t="e">
        <f t="shared" si="151"/>
        <v>#DIV/0!</v>
      </c>
      <c r="Q701" s="3" t="e" cm="1">
        <f t="array" ref="Q701">_xlfn.IFS(P701&lt;200, "10", P701&lt;400, "12", P701&lt;600, "14", P701&gt;600, "16")</f>
        <v>#DIV/0!</v>
      </c>
      <c r="R701" s="75">
        <f t="shared" si="152"/>
        <v>0</v>
      </c>
      <c r="S701" s="75" t="e">
        <f t="shared" si="153"/>
        <v>#DIV/0!</v>
      </c>
      <c r="U701" s="306" t="e">
        <f t="shared" si="150"/>
        <v>#DIV/0!</v>
      </c>
    </row>
    <row r="702" spans="4:21" x14ac:dyDescent="0.35">
      <c r="D702" s="3"/>
      <c r="G702" s="3" t="s">
        <v>87</v>
      </c>
      <c r="M702" s="3"/>
      <c r="N702" s="356" t="e" cm="1">
        <f t="array" ref="N702">_xlfn.IFS(I702="AEX",H702/400,I702="RP",H702/200)</f>
        <v>#N/A</v>
      </c>
      <c r="P702" s="75" t="e">
        <f t="shared" si="151"/>
        <v>#DIV/0!</v>
      </c>
      <c r="Q702" s="3" t="e" cm="1">
        <f t="array" ref="Q702">_xlfn.IFS(P702&lt;200, "10", P702&lt;400, "12", P702&lt;600, "14", P702&gt;600, "16")</f>
        <v>#DIV/0!</v>
      </c>
      <c r="R702" s="75">
        <f t="shared" si="152"/>
        <v>0</v>
      </c>
      <c r="S702" s="75" t="e">
        <f t="shared" si="153"/>
        <v>#DIV/0!</v>
      </c>
      <c r="U702" s="306" t="e">
        <f t="shared" si="150"/>
        <v>#DIV/0!</v>
      </c>
    </row>
    <row r="703" spans="4:21" x14ac:dyDescent="0.35">
      <c r="D703" s="3"/>
      <c r="G703" s="3" t="s">
        <v>87</v>
      </c>
      <c r="M703" s="3"/>
      <c r="N703" s="356" t="e" cm="1">
        <f t="array" ref="N703">_xlfn.IFS(I703="AEX",H703/400,I703="RP",H703/200)</f>
        <v>#N/A</v>
      </c>
      <c r="P703" s="75" t="e">
        <f t="shared" si="151"/>
        <v>#DIV/0!</v>
      </c>
      <c r="Q703" s="3" t="e" cm="1">
        <f t="array" ref="Q703">_xlfn.IFS(P703&lt;200, "10", P703&lt;400, "12", P703&lt;600, "14", P703&gt;600, "16")</f>
        <v>#DIV/0!</v>
      </c>
      <c r="R703" s="75">
        <f t="shared" si="152"/>
        <v>0</v>
      </c>
      <c r="S703" s="75" t="e">
        <f t="shared" si="153"/>
        <v>#DIV/0!</v>
      </c>
      <c r="U703" s="306" t="e">
        <f t="shared" si="150"/>
        <v>#DIV/0!</v>
      </c>
    </row>
    <row r="704" spans="4:21" x14ac:dyDescent="0.35">
      <c r="D704" s="3"/>
      <c r="G704" s="3" t="s">
        <v>87</v>
      </c>
      <c r="M704" s="3"/>
      <c r="N704" s="356" t="e" cm="1">
        <f t="array" ref="N704">_xlfn.IFS(I704="AEX",H704/400,I704="RP",H704/200)</f>
        <v>#N/A</v>
      </c>
      <c r="P704" s="75" t="e">
        <f t="shared" si="151"/>
        <v>#DIV/0!</v>
      </c>
      <c r="Q704" s="3" t="e" cm="1">
        <f t="array" ref="Q704">_xlfn.IFS(P704&lt;200, "10", P704&lt;400, "12", P704&lt;600, "14", P704&gt;600, "16")</f>
        <v>#DIV/0!</v>
      </c>
      <c r="R704" s="75">
        <f t="shared" si="152"/>
        <v>0</v>
      </c>
      <c r="S704" s="75" t="e">
        <f t="shared" si="153"/>
        <v>#DIV/0!</v>
      </c>
      <c r="U704" s="306" t="e">
        <f t="shared" si="150"/>
        <v>#DIV/0!</v>
      </c>
    </row>
    <row r="705" spans="4:21" x14ac:dyDescent="0.35">
      <c r="D705" s="3"/>
      <c r="G705" s="3" t="s">
        <v>87</v>
      </c>
      <c r="M705" s="3"/>
      <c r="N705" s="356" t="e" cm="1">
        <f t="array" ref="N705">_xlfn.IFS(I705="AEX",H705/400,I705="RP",H705/200)</f>
        <v>#N/A</v>
      </c>
      <c r="P705" s="75" t="e">
        <f t="shared" si="151"/>
        <v>#DIV/0!</v>
      </c>
      <c r="Q705" s="3" t="e" cm="1">
        <f t="array" ref="Q705">_xlfn.IFS(P705&lt;200, "10", P705&lt;400, "12", P705&lt;600, "14", P705&gt;600, "16")</f>
        <v>#DIV/0!</v>
      </c>
      <c r="R705" s="75">
        <f t="shared" si="152"/>
        <v>0</v>
      </c>
      <c r="S705" s="75" t="e">
        <f t="shared" si="153"/>
        <v>#DIV/0!</v>
      </c>
      <c r="U705" s="306" t="e">
        <f t="shared" si="150"/>
        <v>#DIV/0!</v>
      </c>
    </row>
    <row r="706" spans="4:21" x14ac:dyDescent="0.35">
      <c r="D706" s="3"/>
      <c r="G706" s="3" t="s">
        <v>87</v>
      </c>
      <c r="M706" s="3"/>
      <c r="N706" s="356" t="e" cm="1">
        <f t="array" ref="N706">_xlfn.IFS(I706="AEX",H706/400,I706="RP",H706/200)</f>
        <v>#N/A</v>
      </c>
      <c r="P706" s="75" t="e">
        <f t="shared" si="151"/>
        <v>#DIV/0!</v>
      </c>
      <c r="Q706" s="3" t="e" cm="1">
        <f t="array" ref="Q706">_xlfn.IFS(P706&lt;200, "10", P706&lt;400, "12", P706&lt;600, "14", P706&gt;600, "16")</f>
        <v>#DIV/0!</v>
      </c>
      <c r="R706" s="75">
        <f t="shared" si="152"/>
        <v>0</v>
      </c>
      <c r="S706" s="75" t="e">
        <f t="shared" si="153"/>
        <v>#DIV/0!</v>
      </c>
      <c r="U706" s="306" t="e">
        <f t="shared" ref="U706:U769" si="154">T706/H706*100</f>
        <v>#DIV/0!</v>
      </c>
    </row>
    <row r="707" spans="4:21" x14ac:dyDescent="0.35">
      <c r="D707" s="3"/>
      <c r="G707" s="3" t="s">
        <v>87</v>
      </c>
      <c r="M707" s="3"/>
      <c r="N707" s="356" t="e" cm="1">
        <f t="array" ref="N707">_xlfn.IFS(I707="AEX",H707/400,I707="RP",H707/200)</f>
        <v>#N/A</v>
      </c>
      <c r="P707" s="75" t="e">
        <f t="shared" si="151"/>
        <v>#DIV/0!</v>
      </c>
      <c r="Q707" s="3" t="e" cm="1">
        <f t="array" ref="Q707">_xlfn.IFS(P707&lt;200, "10", P707&lt;400, "12", P707&lt;600, "14", P707&gt;600, "16")</f>
        <v>#DIV/0!</v>
      </c>
      <c r="R707" s="75">
        <f t="shared" si="152"/>
        <v>0</v>
      </c>
      <c r="S707" s="75" t="e">
        <f t="shared" si="153"/>
        <v>#DIV/0!</v>
      </c>
      <c r="U707" s="306" t="e">
        <f t="shared" si="154"/>
        <v>#DIV/0!</v>
      </c>
    </row>
    <row r="708" spans="4:21" x14ac:dyDescent="0.35">
      <c r="D708" s="3"/>
      <c r="G708" s="3" t="s">
        <v>87</v>
      </c>
      <c r="M708" s="3"/>
      <c r="N708" s="356" t="e" cm="1">
        <f t="array" ref="N708">_xlfn.IFS(I708="AEX",H708/400,I708="RP",H708/200)</f>
        <v>#N/A</v>
      </c>
      <c r="P708" s="75" t="e">
        <f t="shared" si="151"/>
        <v>#DIV/0!</v>
      </c>
      <c r="Q708" s="3" t="e" cm="1">
        <f t="array" ref="Q708">_xlfn.IFS(P708&lt;200, "10", P708&lt;400, "12", P708&lt;600, "14", P708&gt;600, "16")</f>
        <v>#DIV/0!</v>
      </c>
      <c r="R708" s="75">
        <f t="shared" si="152"/>
        <v>0</v>
      </c>
      <c r="S708" s="75" t="e">
        <f t="shared" si="153"/>
        <v>#DIV/0!</v>
      </c>
      <c r="U708" s="306" t="e">
        <f t="shared" si="154"/>
        <v>#DIV/0!</v>
      </c>
    </row>
    <row r="709" spans="4:21" x14ac:dyDescent="0.35">
      <c r="D709" s="3"/>
      <c r="G709" s="3" t="s">
        <v>87</v>
      </c>
      <c r="M709" s="3"/>
      <c r="N709" s="356" t="e" cm="1">
        <f t="array" ref="N709">_xlfn.IFS(I709="AEX",H709/400,I709="RP",H709/200)</f>
        <v>#N/A</v>
      </c>
      <c r="P709" s="75" t="e">
        <f t="shared" si="151"/>
        <v>#DIV/0!</v>
      </c>
      <c r="Q709" s="3" t="e" cm="1">
        <f t="array" ref="Q709">_xlfn.IFS(P709&lt;200, "10", P709&lt;400, "12", P709&lt;600, "14", P709&gt;600, "16")</f>
        <v>#DIV/0!</v>
      </c>
      <c r="R709" s="75">
        <f t="shared" si="152"/>
        <v>0</v>
      </c>
      <c r="S709" s="75" t="e">
        <f t="shared" si="153"/>
        <v>#DIV/0!</v>
      </c>
      <c r="U709" s="306" t="e">
        <f t="shared" si="154"/>
        <v>#DIV/0!</v>
      </c>
    </row>
    <row r="710" spans="4:21" x14ac:dyDescent="0.35">
      <c r="D710" s="3"/>
      <c r="G710" s="3" t="s">
        <v>87</v>
      </c>
      <c r="M710" s="3"/>
      <c r="N710" s="356" t="e" cm="1">
        <f t="array" ref="N710">_xlfn.IFS(I710="AEX",H710/400,I710="RP",H710/200)</f>
        <v>#N/A</v>
      </c>
      <c r="P710" s="75" t="e">
        <f t="shared" si="151"/>
        <v>#DIV/0!</v>
      </c>
      <c r="Q710" s="3" t="e" cm="1">
        <f t="array" ref="Q710">_xlfn.IFS(P710&lt;200, "10", P710&lt;400, "12", P710&lt;600, "14", P710&gt;600, "16")</f>
        <v>#DIV/0!</v>
      </c>
      <c r="R710" s="75">
        <f t="shared" si="152"/>
        <v>0</v>
      </c>
      <c r="S710" s="75" t="e">
        <f t="shared" si="153"/>
        <v>#DIV/0!</v>
      </c>
      <c r="U710" s="306" t="e">
        <f t="shared" si="154"/>
        <v>#DIV/0!</v>
      </c>
    </row>
    <row r="711" spans="4:21" x14ac:dyDescent="0.35">
      <c r="D711" s="3"/>
      <c r="G711" s="3" t="s">
        <v>87</v>
      </c>
      <c r="M711" s="3"/>
      <c r="N711" s="356" t="e" cm="1">
        <f t="array" ref="N711">_xlfn.IFS(I711="AEX",H711/400,I711="RP",H711/200)</f>
        <v>#N/A</v>
      </c>
      <c r="P711" s="75" t="e">
        <f t="shared" si="151"/>
        <v>#DIV/0!</v>
      </c>
      <c r="Q711" s="3" t="e" cm="1">
        <f t="array" ref="Q711">_xlfn.IFS(P711&lt;200, "10", P711&lt;400, "12", P711&lt;600, "14", P711&gt;600, "16")</f>
        <v>#DIV/0!</v>
      </c>
      <c r="R711" s="75">
        <f t="shared" si="152"/>
        <v>0</v>
      </c>
      <c r="S711" s="75" t="e">
        <f t="shared" si="153"/>
        <v>#DIV/0!</v>
      </c>
      <c r="U711" s="306" t="e">
        <f t="shared" si="154"/>
        <v>#DIV/0!</v>
      </c>
    </row>
    <row r="712" spans="4:21" x14ac:dyDescent="0.35">
      <c r="D712" s="3"/>
      <c r="G712" s="3" t="s">
        <v>87</v>
      </c>
      <c r="M712" s="3"/>
      <c r="N712" s="356" t="e" cm="1">
        <f t="array" ref="N712">_xlfn.IFS(I712="AEX",H712/400,I712="RP",H712/200)</f>
        <v>#N/A</v>
      </c>
      <c r="P712" s="75" t="e">
        <f t="shared" si="151"/>
        <v>#DIV/0!</v>
      </c>
      <c r="Q712" s="3" t="e" cm="1">
        <f t="array" ref="Q712">_xlfn.IFS(P712&lt;200, "10", P712&lt;400, "12", P712&lt;600, "14", P712&gt;600, "16")</f>
        <v>#DIV/0!</v>
      </c>
      <c r="R712" s="75">
        <f t="shared" si="152"/>
        <v>0</v>
      </c>
      <c r="S712" s="75" t="e">
        <f t="shared" si="153"/>
        <v>#DIV/0!</v>
      </c>
      <c r="U712" s="306" t="e">
        <f t="shared" si="154"/>
        <v>#DIV/0!</v>
      </c>
    </row>
    <row r="713" spans="4:21" x14ac:dyDescent="0.35">
      <c r="D713" s="3"/>
      <c r="G713" s="3" t="s">
        <v>87</v>
      </c>
      <c r="M713" s="3"/>
      <c r="N713" s="356" t="e" cm="1">
        <f t="array" ref="N713">_xlfn.IFS(I713="AEX",H713/400,I713="RP",H713/200)</f>
        <v>#N/A</v>
      </c>
      <c r="P713" s="75" t="e">
        <f t="shared" si="151"/>
        <v>#DIV/0!</v>
      </c>
      <c r="Q713" s="3" t="e" cm="1">
        <f t="array" ref="Q713">_xlfn.IFS(P713&lt;200, "10", P713&lt;400, "12", P713&lt;600, "14", P713&gt;600, "16")</f>
        <v>#DIV/0!</v>
      </c>
      <c r="R713" s="75">
        <f t="shared" si="152"/>
        <v>0</v>
      </c>
      <c r="S713" s="75" t="e">
        <f t="shared" si="153"/>
        <v>#DIV/0!</v>
      </c>
      <c r="U713" s="306" t="e">
        <f t="shared" si="154"/>
        <v>#DIV/0!</v>
      </c>
    </row>
    <row r="714" spans="4:21" x14ac:dyDescent="0.35">
      <c r="D714" s="3"/>
      <c r="G714" s="3" t="s">
        <v>87</v>
      </c>
      <c r="M714" s="3"/>
      <c r="N714" s="356" t="e" cm="1">
        <f t="array" ref="N714">_xlfn.IFS(I714="AEX",H714/400,I714="RP",H714/200)</f>
        <v>#N/A</v>
      </c>
      <c r="P714" s="75" t="e">
        <f t="shared" si="151"/>
        <v>#DIV/0!</v>
      </c>
      <c r="Q714" s="3" t="e" cm="1">
        <f t="array" ref="Q714">_xlfn.IFS(P714&lt;200, "10", P714&lt;400, "12", P714&lt;600, "14", P714&gt;600, "16")</f>
        <v>#DIV/0!</v>
      </c>
      <c r="R714" s="75">
        <f t="shared" si="152"/>
        <v>0</v>
      </c>
      <c r="S714" s="75" t="e">
        <f t="shared" si="153"/>
        <v>#DIV/0!</v>
      </c>
      <c r="U714" s="306" t="e">
        <f t="shared" si="154"/>
        <v>#DIV/0!</v>
      </c>
    </row>
    <row r="715" spans="4:21" x14ac:dyDescent="0.35">
      <c r="D715" s="3"/>
      <c r="G715" s="3" t="s">
        <v>87</v>
      </c>
      <c r="M715" s="3"/>
      <c r="N715" s="356" t="e" cm="1">
        <f t="array" ref="N715">_xlfn.IFS(I715="AEX",H715/400,I715="RP",H715/200)</f>
        <v>#N/A</v>
      </c>
      <c r="P715" s="75" t="e">
        <f t="shared" si="151"/>
        <v>#DIV/0!</v>
      </c>
      <c r="Q715" s="3" t="e" cm="1">
        <f t="array" ref="Q715">_xlfn.IFS(P715&lt;200, "10", P715&lt;400, "12", P715&lt;600, "14", P715&gt;600, "16")</f>
        <v>#DIV/0!</v>
      </c>
      <c r="R715" s="75">
        <f t="shared" si="152"/>
        <v>0</v>
      </c>
      <c r="S715" s="75" t="e">
        <f t="shared" si="153"/>
        <v>#DIV/0!</v>
      </c>
      <c r="U715" s="306" t="e">
        <f t="shared" si="154"/>
        <v>#DIV/0!</v>
      </c>
    </row>
    <row r="716" spans="4:21" x14ac:dyDescent="0.35">
      <c r="D716" s="3"/>
      <c r="G716" s="3" t="s">
        <v>87</v>
      </c>
      <c r="M716" s="3"/>
      <c r="N716" s="356" t="e" cm="1">
        <f t="array" ref="N716">_xlfn.IFS(I716="AEX",H716/400,I716="RP",H716/200)</f>
        <v>#N/A</v>
      </c>
      <c r="P716" s="75" t="e">
        <f t="shared" si="151"/>
        <v>#DIV/0!</v>
      </c>
      <c r="Q716" s="3" t="e" cm="1">
        <f t="array" ref="Q716">_xlfn.IFS(P716&lt;200, "10", P716&lt;400, "12", P716&lt;600, "14", P716&gt;600, "16")</f>
        <v>#DIV/0!</v>
      </c>
      <c r="R716" s="75">
        <f t="shared" si="152"/>
        <v>0</v>
      </c>
      <c r="S716" s="75" t="e">
        <f t="shared" si="153"/>
        <v>#DIV/0!</v>
      </c>
      <c r="U716" s="306" t="e">
        <f t="shared" si="154"/>
        <v>#DIV/0!</v>
      </c>
    </row>
    <row r="717" spans="4:21" x14ac:dyDescent="0.35">
      <c r="D717" s="3"/>
      <c r="G717" s="3" t="s">
        <v>87</v>
      </c>
      <c r="M717" s="3"/>
      <c r="N717" s="356" t="e" cm="1">
        <f t="array" ref="N717">_xlfn.IFS(I717="AEX",H717/400,I717="RP",H717/200)</f>
        <v>#N/A</v>
      </c>
      <c r="P717" s="75" t="e">
        <f t="shared" si="151"/>
        <v>#DIV/0!</v>
      </c>
      <c r="Q717" s="3" t="e" cm="1">
        <f t="array" ref="Q717">_xlfn.IFS(P717&lt;200, "10", P717&lt;400, "12", P717&lt;600, "14", P717&gt;600, "16")</f>
        <v>#DIV/0!</v>
      </c>
      <c r="R717" s="75">
        <f t="shared" si="152"/>
        <v>0</v>
      </c>
      <c r="S717" s="75" t="e">
        <f t="shared" si="153"/>
        <v>#DIV/0!</v>
      </c>
      <c r="U717" s="306" t="e">
        <f t="shared" si="154"/>
        <v>#DIV/0!</v>
      </c>
    </row>
    <row r="718" spans="4:21" x14ac:dyDescent="0.35">
      <c r="D718" s="3"/>
      <c r="G718" s="3" t="s">
        <v>87</v>
      </c>
      <c r="M718" s="3"/>
      <c r="N718" s="356" t="e" cm="1">
        <f t="array" ref="N718">_xlfn.IFS(I718="AEX",H718/400,I718="RP",H718/200)</f>
        <v>#N/A</v>
      </c>
      <c r="P718" s="75" t="e">
        <f t="shared" si="151"/>
        <v>#DIV/0!</v>
      </c>
      <c r="Q718" s="3" t="e" cm="1">
        <f t="array" ref="Q718">_xlfn.IFS(P718&lt;200, "10", P718&lt;400, "12", P718&lt;600, "14", P718&gt;600, "16")</f>
        <v>#DIV/0!</v>
      </c>
      <c r="R718" s="75">
        <f t="shared" si="152"/>
        <v>0</v>
      </c>
      <c r="S718" s="75" t="e">
        <f t="shared" si="153"/>
        <v>#DIV/0!</v>
      </c>
      <c r="U718" s="306" t="e">
        <f t="shared" si="154"/>
        <v>#DIV/0!</v>
      </c>
    </row>
    <row r="719" spans="4:21" x14ac:dyDescent="0.35">
      <c r="D719" s="3"/>
      <c r="G719" s="3" t="s">
        <v>87</v>
      </c>
      <c r="M719" s="3"/>
      <c r="N719" s="356" t="e" cm="1">
        <f t="array" ref="N719">_xlfn.IFS(I719="AEX",H719/400,I719="RP",H719/200)</f>
        <v>#N/A</v>
      </c>
      <c r="P719" s="75" t="e">
        <f t="shared" si="151"/>
        <v>#DIV/0!</v>
      </c>
      <c r="Q719" s="3" t="e" cm="1">
        <f t="array" ref="Q719">_xlfn.IFS(P719&lt;200, "10", P719&lt;400, "12", P719&lt;600, "14", P719&gt;600, "16")</f>
        <v>#DIV/0!</v>
      </c>
      <c r="R719" s="75">
        <f t="shared" si="152"/>
        <v>0</v>
      </c>
      <c r="S719" s="75" t="e">
        <f t="shared" si="153"/>
        <v>#DIV/0!</v>
      </c>
      <c r="U719" s="306" t="e">
        <f t="shared" si="154"/>
        <v>#DIV/0!</v>
      </c>
    </row>
    <row r="720" spans="4:21" x14ac:dyDescent="0.35">
      <c r="D720" s="3"/>
      <c r="G720" s="3" t="s">
        <v>87</v>
      </c>
      <c r="M720" s="3"/>
      <c r="N720" s="356" t="e" cm="1">
        <f t="array" ref="N720">_xlfn.IFS(I720="AEX",H720/400,I720="RP",H720/200)</f>
        <v>#N/A</v>
      </c>
      <c r="P720" s="75" t="e">
        <f t="shared" si="151"/>
        <v>#DIV/0!</v>
      </c>
      <c r="Q720" s="3" t="e" cm="1">
        <f t="array" ref="Q720">_xlfn.IFS(P720&lt;200, "10", P720&lt;400, "12", P720&lt;600, "14", P720&gt;600, "16")</f>
        <v>#DIV/0!</v>
      </c>
      <c r="R720" s="75">
        <f t="shared" si="152"/>
        <v>0</v>
      </c>
      <c r="S720" s="75" t="e">
        <f t="shared" si="153"/>
        <v>#DIV/0!</v>
      </c>
      <c r="U720" s="306" t="e">
        <f t="shared" si="154"/>
        <v>#DIV/0!</v>
      </c>
    </row>
    <row r="721" spans="4:21" x14ac:dyDescent="0.35">
      <c r="D721" s="3"/>
      <c r="G721" s="3" t="s">
        <v>87</v>
      </c>
      <c r="M721" s="3"/>
      <c r="N721" s="356" t="e" cm="1">
        <f t="array" ref="N721">_xlfn.IFS(I721="AEX",H721/400,I721="RP",H721/200)</f>
        <v>#N/A</v>
      </c>
      <c r="P721" s="75" t="e">
        <f t="shared" si="151"/>
        <v>#DIV/0!</v>
      </c>
      <c r="Q721" s="3" t="e" cm="1">
        <f t="array" ref="Q721">_xlfn.IFS(P721&lt;200, "10", P721&lt;400, "12", P721&lt;600, "14", P721&gt;600, "16")</f>
        <v>#DIV/0!</v>
      </c>
      <c r="R721" s="75">
        <f t="shared" si="152"/>
        <v>0</v>
      </c>
      <c r="S721" s="75" t="e">
        <f t="shared" si="153"/>
        <v>#DIV/0!</v>
      </c>
      <c r="U721" s="306" t="e">
        <f t="shared" si="154"/>
        <v>#DIV/0!</v>
      </c>
    </row>
    <row r="722" spans="4:21" x14ac:dyDescent="0.35">
      <c r="D722" s="3"/>
      <c r="G722" s="3" t="s">
        <v>87</v>
      </c>
      <c r="M722" s="3"/>
      <c r="N722" s="356" t="e" cm="1">
        <f t="array" ref="N722">_xlfn.IFS(I722="AEX",H722/400,I722="RP",H722/200)</f>
        <v>#N/A</v>
      </c>
      <c r="P722" s="75" t="e">
        <f t="shared" si="151"/>
        <v>#DIV/0!</v>
      </c>
      <c r="Q722" s="3" t="e" cm="1">
        <f t="array" ref="Q722">_xlfn.IFS(P722&lt;200, "10", P722&lt;400, "12", P722&lt;600, "14", P722&gt;600, "16")</f>
        <v>#DIV/0!</v>
      </c>
      <c r="R722" s="75">
        <f t="shared" si="152"/>
        <v>0</v>
      </c>
      <c r="S722" s="75" t="e">
        <f t="shared" si="153"/>
        <v>#DIV/0!</v>
      </c>
      <c r="U722" s="306" t="e">
        <f t="shared" si="154"/>
        <v>#DIV/0!</v>
      </c>
    </row>
    <row r="723" spans="4:21" x14ac:dyDescent="0.35">
      <c r="D723" s="3"/>
      <c r="G723" s="3" t="s">
        <v>87</v>
      </c>
      <c r="M723" s="3"/>
      <c r="N723" s="356" t="e" cm="1">
        <f t="array" ref="N723">_xlfn.IFS(I723="AEX",H723/400,I723="RP",H723/200)</f>
        <v>#N/A</v>
      </c>
      <c r="P723" s="75" t="e">
        <f t="shared" si="151"/>
        <v>#DIV/0!</v>
      </c>
      <c r="Q723" s="3" t="e" cm="1">
        <f t="array" ref="Q723">_xlfn.IFS(P723&lt;200, "10", P723&lt;400, "12", P723&lt;600, "14", P723&gt;600, "16")</f>
        <v>#DIV/0!</v>
      </c>
      <c r="R723" s="75">
        <f t="shared" si="152"/>
        <v>0</v>
      </c>
      <c r="S723" s="75" t="e">
        <f t="shared" si="153"/>
        <v>#DIV/0!</v>
      </c>
      <c r="U723" s="306" t="e">
        <f t="shared" si="154"/>
        <v>#DIV/0!</v>
      </c>
    </row>
    <row r="724" spans="4:21" x14ac:dyDescent="0.35">
      <c r="D724" s="3"/>
      <c r="G724" s="3" t="s">
        <v>87</v>
      </c>
      <c r="M724" s="3"/>
      <c r="N724" s="356" t="e" cm="1">
        <f t="array" ref="N724">_xlfn.IFS(I724="AEX",H724/400,I724="RP",H724/200)</f>
        <v>#N/A</v>
      </c>
      <c r="P724" s="75" t="e">
        <f t="shared" si="151"/>
        <v>#DIV/0!</v>
      </c>
      <c r="Q724" s="3" t="e" cm="1">
        <f t="array" ref="Q724">_xlfn.IFS(P724&lt;200, "10", P724&lt;400, "12", P724&lt;600, "14", P724&gt;600, "16")</f>
        <v>#DIV/0!</v>
      </c>
      <c r="R724" s="75">
        <f t="shared" si="152"/>
        <v>0</v>
      </c>
      <c r="S724" s="75" t="e">
        <f t="shared" si="153"/>
        <v>#DIV/0!</v>
      </c>
      <c r="U724" s="306" t="e">
        <f t="shared" si="154"/>
        <v>#DIV/0!</v>
      </c>
    </row>
    <row r="725" spans="4:21" x14ac:dyDescent="0.35">
      <c r="D725" s="3"/>
      <c r="G725" s="3" t="s">
        <v>87</v>
      </c>
      <c r="M725" s="3"/>
      <c r="N725" s="356" t="e" cm="1">
        <f t="array" ref="N725">_xlfn.IFS(I725="AEX",H725/400,I725="RP",H725/200)</f>
        <v>#N/A</v>
      </c>
      <c r="P725" s="75" t="e">
        <f t="shared" si="151"/>
        <v>#DIV/0!</v>
      </c>
      <c r="Q725" s="3" t="e" cm="1">
        <f t="array" ref="Q725">_xlfn.IFS(P725&lt;200, "10", P725&lt;400, "12", P725&lt;600, "14", P725&gt;600, "16")</f>
        <v>#DIV/0!</v>
      </c>
      <c r="R725" s="75">
        <f t="shared" si="152"/>
        <v>0</v>
      </c>
      <c r="S725" s="75" t="e">
        <f t="shared" si="153"/>
        <v>#DIV/0!</v>
      </c>
      <c r="U725" s="306" t="e">
        <f t="shared" si="154"/>
        <v>#DIV/0!</v>
      </c>
    </row>
    <row r="726" spans="4:21" x14ac:dyDescent="0.35">
      <c r="D726" s="3"/>
      <c r="G726" s="3" t="s">
        <v>87</v>
      </c>
      <c r="M726" s="3"/>
      <c r="N726" s="356" t="e" cm="1">
        <f t="array" ref="N726">_xlfn.IFS(I726="AEX",H726/400,I726="RP",H726/200)</f>
        <v>#N/A</v>
      </c>
      <c r="P726" s="75" t="e">
        <f t="shared" si="151"/>
        <v>#DIV/0!</v>
      </c>
      <c r="Q726" s="3" t="e" cm="1">
        <f t="array" ref="Q726">_xlfn.IFS(P726&lt;200, "10", P726&lt;400, "12", P726&lt;600, "14", P726&gt;600, "16")</f>
        <v>#DIV/0!</v>
      </c>
      <c r="R726" s="75">
        <f t="shared" si="152"/>
        <v>0</v>
      </c>
      <c r="S726" s="75" t="e">
        <f t="shared" si="153"/>
        <v>#DIV/0!</v>
      </c>
      <c r="U726" s="306" t="e">
        <f t="shared" si="154"/>
        <v>#DIV/0!</v>
      </c>
    </row>
    <row r="727" spans="4:21" x14ac:dyDescent="0.35">
      <c r="D727" s="3"/>
      <c r="G727" s="3" t="s">
        <v>87</v>
      </c>
      <c r="M727" s="3"/>
      <c r="N727" s="356" t="e" cm="1">
        <f t="array" ref="N727">_xlfn.IFS(I727="AEX",H727/400,I727="RP",H727/200)</f>
        <v>#N/A</v>
      </c>
      <c r="P727" s="75" t="e">
        <f t="shared" si="151"/>
        <v>#DIV/0!</v>
      </c>
      <c r="Q727" s="3" t="e" cm="1">
        <f t="array" ref="Q727">_xlfn.IFS(P727&lt;200, "10", P727&lt;400, "12", P727&lt;600, "14", P727&gt;600, "16")</f>
        <v>#DIV/0!</v>
      </c>
      <c r="R727" s="75">
        <f t="shared" si="152"/>
        <v>0</v>
      </c>
      <c r="S727" s="75" t="e">
        <f t="shared" si="153"/>
        <v>#DIV/0!</v>
      </c>
      <c r="U727" s="306" t="e">
        <f t="shared" si="154"/>
        <v>#DIV/0!</v>
      </c>
    </row>
    <row r="728" spans="4:21" x14ac:dyDescent="0.35">
      <c r="D728" s="3"/>
      <c r="G728" s="3" t="s">
        <v>87</v>
      </c>
      <c r="M728" s="3"/>
      <c r="N728" s="356" t="e" cm="1">
        <f t="array" ref="N728">_xlfn.IFS(I728="AEX",H728/400,I728="RP",H728/200)</f>
        <v>#N/A</v>
      </c>
      <c r="P728" s="75" t="e">
        <f t="shared" si="151"/>
        <v>#DIV/0!</v>
      </c>
      <c r="Q728" s="3" t="e" cm="1">
        <f t="array" ref="Q728">_xlfn.IFS(P728&lt;200, "10", P728&lt;400, "12", P728&lt;600, "14", P728&gt;600, "16")</f>
        <v>#DIV/0!</v>
      </c>
      <c r="R728" s="75">
        <f t="shared" si="152"/>
        <v>0</v>
      </c>
      <c r="S728" s="75" t="e">
        <f t="shared" si="153"/>
        <v>#DIV/0!</v>
      </c>
      <c r="U728" s="306" t="e">
        <f t="shared" si="154"/>
        <v>#DIV/0!</v>
      </c>
    </row>
    <row r="729" spans="4:21" x14ac:dyDescent="0.35">
      <c r="D729" s="3"/>
      <c r="G729" s="3" t="s">
        <v>87</v>
      </c>
      <c r="M729" s="3"/>
      <c r="N729" s="356" t="e" cm="1">
        <f t="array" ref="N729">_xlfn.IFS(I729="AEX",H729/400,I729="RP",H729/200)</f>
        <v>#N/A</v>
      </c>
      <c r="P729" s="75" t="e">
        <f t="shared" si="151"/>
        <v>#DIV/0!</v>
      </c>
      <c r="Q729" s="3" t="e" cm="1">
        <f t="array" ref="Q729">_xlfn.IFS(P729&lt;200, "10", P729&lt;400, "12", P729&lt;600, "14", P729&gt;600, "16")</f>
        <v>#DIV/0!</v>
      </c>
      <c r="R729" s="75">
        <f t="shared" si="152"/>
        <v>0</v>
      </c>
      <c r="S729" s="75" t="e">
        <f t="shared" si="153"/>
        <v>#DIV/0!</v>
      </c>
      <c r="U729" s="306" t="e">
        <f t="shared" si="154"/>
        <v>#DIV/0!</v>
      </c>
    </row>
    <row r="730" spans="4:21" x14ac:dyDescent="0.35">
      <c r="D730" s="3"/>
      <c r="G730" s="3" t="s">
        <v>87</v>
      </c>
      <c r="M730" s="3"/>
      <c r="N730" s="356" t="e" cm="1">
        <f t="array" ref="N730">_xlfn.IFS(I730="AEX",H730/400,I730="RP",H730/200)</f>
        <v>#N/A</v>
      </c>
      <c r="P730" s="75" t="e">
        <f t="shared" si="151"/>
        <v>#DIV/0!</v>
      </c>
      <c r="Q730" s="3" t="e" cm="1">
        <f t="array" ref="Q730">_xlfn.IFS(P730&lt;200, "10", P730&lt;400, "12", P730&lt;600, "14", P730&gt;600, "16")</f>
        <v>#DIV/0!</v>
      </c>
      <c r="R730" s="75">
        <f t="shared" si="152"/>
        <v>0</v>
      </c>
      <c r="S730" s="75" t="e">
        <f t="shared" si="153"/>
        <v>#DIV/0!</v>
      </c>
      <c r="U730" s="306" t="e">
        <f t="shared" si="154"/>
        <v>#DIV/0!</v>
      </c>
    </row>
    <row r="731" spans="4:21" x14ac:dyDescent="0.35">
      <c r="D731" s="3"/>
      <c r="G731" s="3" t="s">
        <v>87</v>
      </c>
      <c r="M731" s="3"/>
      <c r="N731" s="356" t="e" cm="1">
        <f t="array" ref="N731">_xlfn.IFS(I731="AEX",H731/400,I731="RP",H731/200)</f>
        <v>#N/A</v>
      </c>
      <c r="P731" s="75" t="e">
        <f t="shared" si="151"/>
        <v>#DIV/0!</v>
      </c>
      <c r="Q731" s="3" t="e" cm="1">
        <f t="array" ref="Q731">_xlfn.IFS(P731&lt;200, "10", P731&lt;400, "12", P731&lt;600, "14", P731&gt;600, "16")</f>
        <v>#DIV/0!</v>
      </c>
      <c r="R731" s="75">
        <f t="shared" si="152"/>
        <v>0</v>
      </c>
      <c r="S731" s="75" t="e">
        <f t="shared" si="153"/>
        <v>#DIV/0!</v>
      </c>
      <c r="U731" s="306" t="e">
        <f t="shared" si="154"/>
        <v>#DIV/0!</v>
      </c>
    </row>
    <row r="732" spans="4:21" x14ac:dyDescent="0.35">
      <c r="D732" s="3"/>
      <c r="G732" s="3" t="s">
        <v>87</v>
      </c>
      <c r="M732" s="3"/>
      <c r="N732" s="356" t="e" cm="1">
        <f t="array" ref="N732">_xlfn.IFS(I732="AEX",H732/400,I732="RP",H732/200)</f>
        <v>#N/A</v>
      </c>
      <c r="P732" s="75" t="e">
        <f t="shared" si="151"/>
        <v>#DIV/0!</v>
      </c>
      <c r="Q732" s="3" t="e" cm="1">
        <f t="array" ref="Q732">_xlfn.IFS(P732&lt;200, "10", P732&lt;400, "12", P732&lt;600, "14", P732&gt;600, "16")</f>
        <v>#DIV/0!</v>
      </c>
      <c r="R732" s="75">
        <f t="shared" si="152"/>
        <v>0</v>
      </c>
      <c r="S732" s="75" t="e">
        <f t="shared" si="153"/>
        <v>#DIV/0!</v>
      </c>
      <c r="U732" s="306" t="e">
        <f t="shared" si="154"/>
        <v>#DIV/0!</v>
      </c>
    </row>
    <row r="733" spans="4:21" x14ac:dyDescent="0.35">
      <c r="D733" s="3"/>
      <c r="G733" s="3" t="s">
        <v>87</v>
      </c>
      <c r="M733" s="3"/>
      <c r="N733" s="356" t="e" cm="1">
        <f t="array" ref="N733">_xlfn.IFS(I733="AEX",H733/400,I733="RP",H733/200)</f>
        <v>#N/A</v>
      </c>
      <c r="P733" s="75" t="e">
        <f t="shared" si="151"/>
        <v>#DIV/0!</v>
      </c>
      <c r="Q733" s="3" t="e" cm="1">
        <f t="array" ref="Q733">_xlfn.IFS(P733&lt;200, "10", P733&lt;400, "12", P733&lt;600, "14", P733&gt;600, "16")</f>
        <v>#DIV/0!</v>
      </c>
      <c r="R733" s="75">
        <f t="shared" si="152"/>
        <v>0</v>
      </c>
      <c r="S733" s="75" t="e">
        <f t="shared" si="153"/>
        <v>#DIV/0!</v>
      </c>
      <c r="U733" s="306" t="e">
        <f t="shared" si="154"/>
        <v>#DIV/0!</v>
      </c>
    </row>
    <row r="734" spans="4:21" x14ac:dyDescent="0.35">
      <c r="D734" s="3"/>
      <c r="G734" s="3" t="s">
        <v>87</v>
      </c>
      <c r="M734" s="3"/>
      <c r="N734" s="356" t="e" cm="1">
        <f t="array" ref="N734">_xlfn.IFS(I734="AEX",H734/400,I734="RP",H734/200)</f>
        <v>#N/A</v>
      </c>
      <c r="P734" s="75" t="e">
        <f t="shared" si="151"/>
        <v>#DIV/0!</v>
      </c>
      <c r="Q734" s="3" t="e" cm="1">
        <f t="array" ref="Q734">_xlfn.IFS(P734&lt;200, "10", P734&lt;400, "12", P734&lt;600, "14", P734&gt;600, "16")</f>
        <v>#DIV/0!</v>
      </c>
      <c r="R734" s="75">
        <f t="shared" si="152"/>
        <v>0</v>
      </c>
      <c r="S734" s="75" t="e">
        <f t="shared" si="153"/>
        <v>#DIV/0!</v>
      </c>
      <c r="U734" s="306" t="e">
        <f t="shared" si="154"/>
        <v>#DIV/0!</v>
      </c>
    </row>
    <row r="735" spans="4:21" x14ac:dyDescent="0.35">
      <c r="D735" s="3"/>
      <c r="G735" s="3" t="s">
        <v>87</v>
      </c>
      <c r="M735" s="3"/>
      <c r="N735" s="356" t="e" cm="1">
        <f t="array" ref="N735">_xlfn.IFS(I735="AEX",H735/400,I735="RP",H735/200)</f>
        <v>#N/A</v>
      </c>
      <c r="P735" s="75" t="e">
        <f t="shared" si="151"/>
        <v>#DIV/0!</v>
      </c>
      <c r="Q735" s="3" t="e" cm="1">
        <f t="array" ref="Q735">_xlfn.IFS(P735&lt;200, "10", P735&lt;400, "12", P735&lt;600, "14", P735&gt;600, "16")</f>
        <v>#DIV/0!</v>
      </c>
      <c r="R735" s="75">
        <f t="shared" si="152"/>
        <v>0</v>
      </c>
      <c r="S735" s="75" t="e">
        <f t="shared" si="153"/>
        <v>#DIV/0!</v>
      </c>
      <c r="U735" s="306" t="e">
        <f t="shared" si="154"/>
        <v>#DIV/0!</v>
      </c>
    </row>
    <row r="736" spans="4:21" x14ac:dyDescent="0.35">
      <c r="D736" s="3"/>
      <c r="G736" s="3" t="s">
        <v>87</v>
      </c>
      <c r="M736" s="3"/>
      <c r="N736" s="356" t="e" cm="1">
        <f t="array" ref="N736">_xlfn.IFS(I736="AEX",H736/400,I736="RP",H736/200)</f>
        <v>#N/A</v>
      </c>
      <c r="P736" s="75" t="e">
        <f t="shared" si="151"/>
        <v>#DIV/0!</v>
      </c>
      <c r="Q736" s="3" t="e" cm="1">
        <f t="array" ref="Q736">_xlfn.IFS(P736&lt;200, "10", P736&lt;400, "12", P736&lt;600, "14", P736&gt;600, "16")</f>
        <v>#DIV/0!</v>
      </c>
      <c r="R736" s="75">
        <f t="shared" si="152"/>
        <v>0</v>
      </c>
      <c r="S736" s="75" t="e">
        <f t="shared" si="153"/>
        <v>#DIV/0!</v>
      </c>
      <c r="U736" s="306" t="e">
        <f t="shared" si="154"/>
        <v>#DIV/0!</v>
      </c>
    </row>
    <row r="737" spans="4:21" x14ac:dyDescent="0.35">
      <c r="D737" s="3"/>
      <c r="G737" s="3" t="s">
        <v>87</v>
      </c>
      <c r="M737" s="3"/>
      <c r="N737" s="356" t="e" cm="1">
        <f t="array" ref="N737">_xlfn.IFS(I737="AEX",H737/400,I737="RP",H737/200)</f>
        <v>#N/A</v>
      </c>
      <c r="P737" s="75" t="e">
        <f t="shared" si="151"/>
        <v>#DIV/0!</v>
      </c>
      <c r="Q737" s="3" t="e" cm="1">
        <f t="array" ref="Q737">_xlfn.IFS(P737&lt;200, "10", P737&lt;400, "12", P737&lt;600, "14", P737&gt;600, "16")</f>
        <v>#DIV/0!</v>
      </c>
      <c r="R737" s="75">
        <f t="shared" si="152"/>
        <v>0</v>
      </c>
      <c r="S737" s="75" t="e">
        <f t="shared" si="153"/>
        <v>#DIV/0!</v>
      </c>
      <c r="U737" s="306" t="e">
        <f t="shared" si="154"/>
        <v>#DIV/0!</v>
      </c>
    </row>
    <row r="738" spans="4:21" x14ac:dyDescent="0.35">
      <c r="D738" s="3"/>
      <c r="G738" s="3" t="s">
        <v>87</v>
      </c>
      <c r="M738" s="3"/>
      <c r="N738" s="356" t="e" cm="1">
        <f t="array" ref="N738">_xlfn.IFS(I738="AEX",H738/400,I738="RP",H738/200)</f>
        <v>#N/A</v>
      </c>
      <c r="P738" s="75" t="e">
        <f t="shared" si="151"/>
        <v>#DIV/0!</v>
      </c>
      <c r="Q738" s="3" t="e" cm="1">
        <f t="array" ref="Q738">_xlfn.IFS(P738&lt;200, "10", P738&lt;400, "12", P738&lt;600, "14", P738&gt;600, "16")</f>
        <v>#DIV/0!</v>
      </c>
      <c r="R738" s="75">
        <f t="shared" si="152"/>
        <v>0</v>
      </c>
      <c r="S738" s="75" t="e">
        <f t="shared" si="153"/>
        <v>#DIV/0!</v>
      </c>
      <c r="U738" s="306" t="e">
        <f t="shared" si="154"/>
        <v>#DIV/0!</v>
      </c>
    </row>
    <row r="739" spans="4:21" x14ac:dyDescent="0.35">
      <c r="D739" s="3"/>
      <c r="G739" s="3" t="s">
        <v>87</v>
      </c>
      <c r="M739" s="3"/>
      <c r="N739" s="356" t="e" cm="1">
        <f t="array" ref="N739">_xlfn.IFS(I739="AEX",H739/400,I739="RP",H739/200)</f>
        <v>#N/A</v>
      </c>
      <c r="P739" s="75" t="e">
        <f t="shared" si="151"/>
        <v>#DIV/0!</v>
      </c>
      <c r="Q739" s="3" t="e" cm="1">
        <f t="array" ref="Q739">_xlfn.IFS(P739&lt;200, "10", P739&lt;400, "12", P739&lt;600, "14", P739&gt;600, "16")</f>
        <v>#DIV/0!</v>
      </c>
      <c r="R739" s="75">
        <f t="shared" si="152"/>
        <v>0</v>
      </c>
      <c r="S739" s="75" t="e">
        <f t="shared" si="153"/>
        <v>#DIV/0!</v>
      </c>
      <c r="U739" s="306" t="e">
        <f t="shared" si="154"/>
        <v>#DIV/0!</v>
      </c>
    </row>
    <row r="740" spans="4:21" x14ac:dyDescent="0.35">
      <c r="D740" s="3"/>
      <c r="G740" s="3" t="s">
        <v>87</v>
      </c>
      <c r="M740" s="3"/>
      <c r="N740" s="356" t="e" cm="1">
        <f t="array" ref="N740">_xlfn.IFS(I740="AEX",H740/400,I740="RP",H740/200)</f>
        <v>#N/A</v>
      </c>
      <c r="P740" s="75" t="e">
        <f t="shared" si="151"/>
        <v>#DIV/0!</v>
      </c>
      <c r="Q740" s="3" t="e" cm="1">
        <f t="array" ref="Q740">_xlfn.IFS(P740&lt;200, "10", P740&lt;400, "12", P740&lt;600, "14", P740&gt;600, "16")</f>
        <v>#DIV/0!</v>
      </c>
      <c r="R740" s="75">
        <f t="shared" si="152"/>
        <v>0</v>
      </c>
      <c r="S740" s="75" t="e">
        <f t="shared" si="153"/>
        <v>#DIV/0!</v>
      </c>
      <c r="U740" s="306" t="e">
        <f t="shared" si="154"/>
        <v>#DIV/0!</v>
      </c>
    </row>
    <row r="741" spans="4:21" x14ac:dyDescent="0.35">
      <c r="D741" s="3"/>
      <c r="G741" s="3" t="s">
        <v>87</v>
      </c>
      <c r="M741" s="3"/>
      <c r="N741" s="356" t="e" cm="1">
        <f t="array" ref="N741">_xlfn.IFS(I741="AEX",H741/400,I741="RP",H741/200)</f>
        <v>#N/A</v>
      </c>
      <c r="P741" s="75" t="e">
        <f t="shared" si="151"/>
        <v>#DIV/0!</v>
      </c>
      <c r="Q741" s="3" t="e" cm="1">
        <f t="array" ref="Q741">_xlfn.IFS(P741&lt;200, "10", P741&lt;400, "12", P741&lt;600, "14", P741&gt;600, "16")</f>
        <v>#DIV/0!</v>
      </c>
      <c r="R741" s="75">
        <f t="shared" si="152"/>
        <v>0</v>
      </c>
      <c r="S741" s="75" t="e">
        <f t="shared" si="153"/>
        <v>#DIV/0!</v>
      </c>
      <c r="U741" s="306" t="e">
        <f t="shared" si="154"/>
        <v>#DIV/0!</v>
      </c>
    </row>
    <row r="742" spans="4:21" x14ac:dyDescent="0.35">
      <c r="D742" s="3"/>
      <c r="G742" s="3" t="s">
        <v>87</v>
      </c>
      <c r="M742" s="3"/>
      <c r="N742" s="356" t="e" cm="1">
        <f t="array" ref="N742">_xlfn.IFS(I742="AEX",H742/400,I742="RP",H742/200)</f>
        <v>#N/A</v>
      </c>
      <c r="P742" s="75" t="e">
        <f t="shared" si="151"/>
        <v>#DIV/0!</v>
      </c>
      <c r="Q742" s="3" t="e" cm="1">
        <f t="array" ref="Q742">_xlfn.IFS(P742&lt;200, "10", P742&lt;400, "12", P742&lt;600, "14", P742&gt;600, "16")</f>
        <v>#DIV/0!</v>
      </c>
      <c r="R742" s="75">
        <f t="shared" si="152"/>
        <v>0</v>
      </c>
      <c r="S742" s="75" t="e">
        <f t="shared" si="153"/>
        <v>#DIV/0!</v>
      </c>
      <c r="U742" s="306" t="e">
        <f t="shared" si="154"/>
        <v>#DIV/0!</v>
      </c>
    </row>
    <row r="743" spans="4:21" x14ac:dyDescent="0.35">
      <c r="D743" s="3"/>
      <c r="G743" s="3" t="s">
        <v>87</v>
      </c>
      <c r="M743" s="3"/>
      <c r="N743" s="356" t="e" cm="1">
        <f t="array" ref="N743">_xlfn.IFS(I743="AEX",H743/400,I743="RP",H743/200)</f>
        <v>#N/A</v>
      </c>
      <c r="P743" s="75" t="e">
        <f t="shared" si="151"/>
        <v>#DIV/0!</v>
      </c>
      <c r="Q743" s="3" t="e" cm="1">
        <f t="array" ref="Q743">_xlfn.IFS(P743&lt;200, "10", P743&lt;400, "12", P743&lt;600, "14", P743&gt;600, "16")</f>
        <v>#DIV/0!</v>
      </c>
      <c r="R743" s="75">
        <f t="shared" si="152"/>
        <v>0</v>
      </c>
      <c r="S743" s="75" t="e">
        <f t="shared" si="153"/>
        <v>#DIV/0!</v>
      </c>
      <c r="U743" s="306" t="e">
        <f t="shared" si="154"/>
        <v>#DIV/0!</v>
      </c>
    </row>
    <row r="744" spans="4:21" x14ac:dyDescent="0.35">
      <c r="D744" s="3"/>
      <c r="G744" s="3" t="s">
        <v>87</v>
      </c>
      <c r="M744" s="3"/>
      <c r="N744" s="356" t="e" cm="1">
        <f t="array" ref="N744">_xlfn.IFS(I744="AEX",H744/400,I744="RP",H744/200)</f>
        <v>#N/A</v>
      </c>
      <c r="P744" s="75" t="e">
        <f t="shared" si="151"/>
        <v>#DIV/0!</v>
      </c>
      <c r="Q744" s="3" t="e" cm="1">
        <f t="array" ref="Q744">_xlfn.IFS(P744&lt;200, "10", P744&lt;400, "12", P744&lt;600, "14", P744&gt;600, "16")</f>
        <v>#DIV/0!</v>
      </c>
      <c r="R744" s="75">
        <f t="shared" si="152"/>
        <v>0</v>
      </c>
      <c r="S744" s="75" t="e">
        <f t="shared" si="153"/>
        <v>#DIV/0!</v>
      </c>
      <c r="U744" s="306" t="e">
        <f t="shared" si="154"/>
        <v>#DIV/0!</v>
      </c>
    </row>
    <row r="745" spans="4:21" x14ac:dyDescent="0.35">
      <c r="D745" s="3"/>
      <c r="G745" s="3" t="s">
        <v>87</v>
      </c>
      <c r="M745" s="3"/>
      <c r="N745" s="356" t="e" cm="1">
        <f t="array" ref="N745">_xlfn.IFS(I745="AEX",H745/400,I745="RP",H745/200)</f>
        <v>#N/A</v>
      </c>
      <c r="P745" s="75" t="e">
        <f t="shared" si="151"/>
        <v>#DIV/0!</v>
      </c>
      <c r="Q745" s="3" t="e" cm="1">
        <f t="array" ref="Q745">_xlfn.IFS(P745&lt;200, "10", P745&lt;400, "12", P745&lt;600, "14", P745&gt;600, "16")</f>
        <v>#DIV/0!</v>
      </c>
      <c r="R745" s="75">
        <f t="shared" si="152"/>
        <v>0</v>
      </c>
      <c r="S745" s="75" t="e">
        <f t="shared" si="153"/>
        <v>#DIV/0!</v>
      </c>
      <c r="U745" s="306" t="e">
        <f t="shared" si="154"/>
        <v>#DIV/0!</v>
      </c>
    </row>
    <row r="746" spans="4:21" x14ac:dyDescent="0.35">
      <c r="D746" s="3"/>
      <c r="G746" s="3" t="s">
        <v>87</v>
      </c>
      <c r="M746" s="3"/>
      <c r="N746" s="356" t="e" cm="1">
        <f t="array" ref="N746">_xlfn.IFS(I746="AEX",H746/400,I746="RP",H746/200)</f>
        <v>#N/A</v>
      </c>
      <c r="P746" s="75" t="e">
        <f t="shared" ref="P746:P809" si="155">H746/O746</f>
        <v>#DIV/0!</v>
      </c>
      <c r="Q746" s="3" t="e" cm="1">
        <f t="array" ref="Q746">_xlfn.IFS(P746&lt;200, "10", P746&lt;400, "12", P746&lt;600, "14", P746&gt;600, "16")</f>
        <v>#DIV/0!</v>
      </c>
      <c r="R746" s="75">
        <f t="shared" ref="R746:R809" si="156">IF(I746="AEX",H746*0.3/400,H746*0.3/200)</f>
        <v>0</v>
      </c>
      <c r="S746" s="75" t="e">
        <f t="shared" si="153"/>
        <v>#DIV/0!</v>
      </c>
      <c r="U746" s="306" t="e">
        <f t="shared" si="154"/>
        <v>#DIV/0!</v>
      </c>
    </row>
    <row r="747" spans="4:21" x14ac:dyDescent="0.35">
      <c r="D747" s="3"/>
      <c r="G747" s="3" t="s">
        <v>87</v>
      </c>
      <c r="M747" s="3"/>
      <c r="N747" s="356" t="e" cm="1">
        <f t="array" ref="N747">_xlfn.IFS(I747="AEX",H747/400,I747="RP",H747/200)</f>
        <v>#N/A</v>
      </c>
      <c r="P747" s="75" t="e">
        <f t="shared" si="155"/>
        <v>#DIV/0!</v>
      </c>
      <c r="Q747" s="3" t="e" cm="1">
        <f t="array" ref="Q747">_xlfn.IFS(P747&lt;200, "10", P747&lt;400, "12", P747&lt;600, "14", P747&gt;600, "16")</f>
        <v>#DIV/0!</v>
      </c>
      <c r="R747" s="75">
        <f t="shared" si="156"/>
        <v>0</v>
      </c>
      <c r="S747" s="75" t="e">
        <f t="shared" si="153"/>
        <v>#DIV/0!</v>
      </c>
      <c r="U747" s="306" t="e">
        <f t="shared" si="154"/>
        <v>#DIV/0!</v>
      </c>
    </row>
    <row r="748" spans="4:21" x14ac:dyDescent="0.35">
      <c r="D748" s="3"/>
      <c r="G748" s="3" t="s">
        <v>87</v>
      </c>
      <c r="M748" s="3"/>
      <c r="N748" s="356" t="e" cm="1">
        <f t="array" ref="N748">_xlfn.IFS(I748="AEX",H748/400,I748="RP",H748/200)</f>
        <v>#N/A</v>
      </c>
      <c r="P748" s="75" t="e">
        <f t="shared" si="155"/>
        <v>#DIV/0!</v>
      </c>
      <c r="Q748" s="3" t="e" cm="1">
        <f t="array" ref="Q748">_xlfn.IFS(P748&lt;200, "10", P748&lt;400, "12", P748&lt;600, "14", P748&gt;600, "16")</f>
        <v>#DIV/0!</v>
      </c>
      <c r="R748" s="75">
        <f t="shared" si="156"/>
        <v>0</v>
      </c>
      <c r="S748" s="75" t="e">
        <f t="shared" si="153"/>
        <v>#DIV/0!</v>
      </c>
      <c r="U748" s="306" t="e">
        <f t="shared" si="154"/>
        <v>#DIV/0!</v>
      </c>
    </row>
    <row r="749" spans="4:21" x14ac:dyDescent="0.35">
      <c r="D749" s="3"/>
      <c r="G749" s="3" t="s">
        <v>87</v>
      </c>
      <c r="M749" s="3"/>
      <c r="N749" s="356" t="e" cm="1">
        <f t="array" ref="N749">_xlfn.IFS(I749="AEX",H749/400,I749="RP",H749/200)</f>
        <v>#N/A</v>
      </c>
      <c r="P749" s="75" t="e">
        <f t="shared" si="155"/>
        <v>#DIV/0!</v>
      </c>
      <c r="Q749" s="3" t="e" cm="1">
        <f t="array" ref="Q749">_xlfn.IFS(P749&lt;200, "10", P749&lt;400, "12", P749&lt;600, "14", P749&gt;600, "16")</f>
        <v>#DIV/0!</v>
      </c>
      <c r="R749" s="75">
        <f t="shared" si="156"/>
        <v>0</v>
      </c>
      <c r="S749" s="75" t="e">
        <f t="shared" si="153"/>
        <v>#DIV/0!</v>
      </c>
      <c r="U749" s="306" t="e">
        <f t="shared" si="154"/>
        <v>#DIV/0!</v>
      </c>
    </row>
    <row r="750" spans="4:21" x14ac:dyDescent="0.35">
      <c r="D750" s="3"/>
      <c r="G750" s="3" t="s">
        <v>87</v>
      </c>
      <c r="M750" s="3"/>
      <c r="N750" s="356" t="e" cm="1">
        <f t="array" ref="N750">_xlfn.IFS(I750="AEX",H750/400,I750="RP",H750/200)</f>
        <v>#N/A</v>
      </c>
      <c r="P750" s="75" t="e">
        <f t="shared" si="155"/>
        <v>#DIV/0!</v>
      </c>
      <c r="Q750" s="3" t="e" cm="1">
        <f t="array" ref="Q750">_xlfn.IFS(P750&lt;200, "10", P750&lt;400, "12", P750&lt;600, "14", P750&gt;600, "16")</f>
        <v>#DIV/0!</v>
      </c>
      <c r="R750" s="75">
        <f t="shared" si="156"/>
        <v>0</v>
      </c>
      <c r="S750" s="75" t="e">
        <f t="shared" si="153"/>
        <v>#DIV/0!</v>
      </c>
      <c r="U750" s="306" t="e">
        <f t="shared" si="154"/>
        <v>#DIV/0!</v>
      </c>
    </row>
    <row r="751" spans="4:21" x14ac:dyDescent="0.35">
      <c r="D751" s="3"/>
      <c r="G751" s="3" t="s">
        <v>87</v>
      </c>
      <c r="M751" s="3"/>
      <c r="N751" s="356" t="e" cm="1">
        <f t="array" ref="N751">_xlfn.IFS(I751="AEX",H751/400,I751="RP",H751/200)</f>
        <v>#N/A</v>
      </c>
      <c r="P751" s="75" t="e">
        <f t="shared" si="155"/>
        <v>#DIV/0!</v>
      </c>
      <c r="Q751" s="3" t="e" cm="1">
        <f t="array" ref="Q751">_xlfn.IFS(P751&lt;200, "10", P751&lt;400, "12", P751&lt;600, "14", P751&gt;600, "16")</f>
        <v>#DIV/0!</v>
      </c>
      <c r="R751" s="75">
        <f t="shared" si="156"/>
        <v>0</v>
      </c>
      <c r="S751" s="75" t="e">
        <f t="shared" si="153"/>
        <v>#DIV/0!</v>
      </c>
      <c r="U751" s="306" t="e">
        <f t="shared" si="154"/>
        <v>#DIV/0!</v>
      </c>
    </row>
    <row r="752" spans="4:21" x14ac:dyDescent="0.35">
      <c r="D752" s="3"/>
      <c r="G752" s="3" t="s">
        <v>87</v>
      </c>
      <c r="M752" s="3"/>
      <c r="N752" s="356" t="e" cm="1">
        <f t="array" ref="N752">_xlfn.IFS(I752="AEX",H752/400,I752="RP",H752/200)</f>
        <v>#N/A</v>
      </c>
      <c r="P752" s="75" t="e">
        <f t="shared" si="155"/>
        <v>#DIV/0!</v>
      </c>
      <c r="Q752" s="3" t="e" cm="1">
        <f t="array" ref="Q752">_xlfn.IFS(P752&lt;200, "10", P752&lt;400, "12", P752&lt;600, "14", P752&gt;600, "16")</f>
        <v>#DIV/0!</v>
      </c>
      <c r="R752" s="75">
        <f t="shared" si="156"/>
        <v>0</v>
      </c>
      <c r="S752" s="75" t="e">
        <f t="shared" si="153"/>
        <v>#DIV/0!</v>
      </c>
      <c r="U752" s="306" t="e">
        <f t="shared" si="154"/>
        <v>#DIV/0!</v>
      </c>
    </row>
    <row r="753" spans="4:21" x14ac:dyDescent="0.35">
      <c r="D753" s="3"/>
      <c r="G753" s="3" t="s">
        <v>87</v>
      </c>
      <c r="M753" s="3"/>
      <c r="N753" s="356" t="e" cm="1">
        <f t="array" ref="N753">_xlfn.IFS(I753="AEX",H753/400,I753="RP",H753/200)</f>
        <v>#N/A</v>
      </c>
      <c r="P753" s="75" t="e">
        <f t="shared" si="155"/>
        <v>#DIV/0!</v>
      </c>
      <c r="Q753" s="3" t="e" cm="1">
        <f t="array" ref="Q753">_xlfn.IFS(P753&lt;200, "10", P753&lt;400, "12", P753&lt;600, "14", P753&gt;600, "16")</f>
        <v>#DIV/0!</v>
      </c>
      <c r="R753" s="75">
        <f t="shared" si="156"/>
        <v>0</v>
      </c>
      <c r="S753" s="75" t="e">
        <f t="shared" si="153"/>
        <v>#DIV/0!</v>
      </c>
      <c r="U753" s="306" t="e">
        <f t="shared" si="154"/>
        <v>#DIV/0!</v>
      </c>
    </row>
    <row r="754" spans="4:21" x14ac:dyDescent="0.35">
      <c r="D754" s="3"/>
      <c r="G754" s="3" t="s">
        <v>87</v>
      </c>
      <c r="M754" s="3"/>
      <c r="N754" s="356" t="e" cm="1">
        <f t="array" ref="N754">_xlfn.IFS(I754="AEX",H754/400,I754="RP",H754/200)</f>
        <v>#N/A</v>
      </c>
      <c r="P754" s="75" t="e">
        <f t="shared" si="155"/>
        <v>#DIV/0!</v>
      </c>
      <c r="Q754" s="3" t="e" cm="1">
        <f t="array" ref="Q754">_xlfn.IFS(P754&lt;200, "10", P754&lt;400, "12", P754&lt;600, "14", P754&gt;600, "16")</f>
        <v>#DIV/0!</v>
      </c>
      <c r="R754" s="75">
        <f t="shared" si="156"/>
        <v>0</v>
      </c>
      <c r="S754" s="75" t="e">
        <f t="shared" si="153"/>
        <v>#DIV/0!</v>
      </c>
      <c r="U754" s="306" t="e">
        <f t="shared" si="154"/>
        <v>#DIV/0!</v>
      </c>
    </row>
    <row r="755" spans="4:21" x14ac:dyDescent="0.35">
      <c r="D755" s="3"/>
      <c r="G755" s="3" t="s">
        <v>87</v>
      </c>
      <c r="M755" s="3"/>
      <c r="N755" s="356" t="e" cm="1">
        <f t="array" ref="N755">_xlfn.IFS(I755="AEX",H755/400,I755="RP",H755/200)</f>
        <v>#N/A</v>
      </c>
      <c r="P755" s="75" t="e">
        <f t="shared" si="155"/>
        <v>#DIV/0!</v>
      </c>
      <c r="Q755" s="3" t="e" cm="1">
        <f t="array" ref="Q755">_xlfn.IFS(P755&lt;200, "10", P755&lt;400, "12", P755&lt;600, "14", P755&gt;600, "16")</f>
        <v>#DIV/0!</v>
      </c>
      <c r="R755" s="75">
        <f t="shared" si="156"/>
        <v>0</v>
      </c>
      <c r="S755" s="75" t="e">
        <f t="shared" ref="S755:S818" si="157">R755/O755</f>
        <v>#DIV/0!</v>
      </c>
      <c r="U755" s="306" t="e">
        <f t="shared" si="154"/>
        <v>#DIV/0!</v>
      </c>
    </row>
    <row r="756" spans="4:21" x14ac:dyDescent="0.35">
      <c r="D756" s="3"/>
      <c r="G756" s="3" t="s">
        <v>87</v>
      </c>
      <c r="M756" s="3"/>
      <c r="N756" s="356" t="e" cm="1">
        <f t="array" ref="N756">_xlfn.IFS(I756="AEX",H756/400,I756="RP",H756/200)</f>
        <v>#N/A</v>
      </c>
      <c r="P756" s="75" t="e">
        <f t="shared" si="155"/>
        <v>#DIV/0!</v>
      </c>
      <c r="Q756" s="3" t="e" cm="1">
        <f t="array" ref="Q756">_xlfn.IFS(P756&lt;200, "10", P756&lt;400, "12", P756&lt;600, "14", P756&gt;600, "16")</f>
        <v>#DIV/0!</v>
      </c>
      <c r="R756" s="75">
        <f t="shared" si="156"/>
        <v>0</v>
      </c>
      <c r="S756" s="75" t="e">
        <f t="shared" si="157"/>
        <v>#DIV/0!</v>
      </c>
      <c r="U756" s="306" t="e">
        <f t="shared" si="154"/>
        <v>#DIV/0!</v>
      </c>
    </row>
    <row r="757" spans="4:21" x14ac:dyDescent="0.35">
      <c r="D757" s="3"/>
      <c r="G757" s="3" t="s">
        <v>87</v>
      </c>
      <c r="M757" s="3"/>
      <c r="N757" s="356" t="e" cm="1">
        <f t="array" ref="N757">_xlfn.IFS(I757="AEX",H757/400,I757="RP",H757/200)</f>
        <v>#N/A</v>
      </c>
      <c r="P757" s="75" t="e">
        <f t="shared" si="155"/>
        <v>#DIV/0!</v>
      </c>
      <c r="Q757" s="3" t="e" cm="1">
        <f t="array" ref="Q757">_xlfn.IFS(P757&lt;200, "10", P757&lt;400, "12", P757&lt;600, "14", P757&gt;600, "16")</f>
        <v>#DIV/0!</v>
      </c>
      <c r="R757" s="75">
        <f t="shared" si="156"/>
        <v>0</v>
      </c>
      <c r="S757" s="75" t="e">
        <f t="shared" si="157"/>
        <v>#DIV/0!</v>
      </c>
      <c r="U757" s="306" t="e">
        <f t="shared" si="154"/>
        <v>#DIV/0!</v>
      </c>
    </row>
    <row r="758" spans="4:21" x14ac:dyDescent="0.35">
      <c r="D758" s="3"/>
      <c r="G758" s="3" t="s">
        <v>87</v>
      </c>
      <c r="M758" s="3"/>
      <c r="N758" s="356" t="e" cm="1">
        <f t="array" ref="N758">_xlfn.IFS(I758="AEX",H758/400,I758="RP",H758/200)</f>
        <v>#N/A</v>
      </c>
      <c r="P758" s="75" t="e">
        <f t="shared" si="155"/>
        <v>#DIV/0!</v>
      </c>
      <c r="Q758" s="3" t="e" cm="1">
        <f t="array" ref="Q758">_xlfn.IFS(P758&lt;200, "10", P758&lt;400, "12", P758&lt;600, "14", P758&gt;600, "16")</f>
        <v>#DIV/0!</v>
      </c>
      <c r="R758" s="75">
        <f t="shared" si="156"/>
        <v>0</v>
      </c>
      <c r="S758" s="75" t="e">
        <f t="shared" si="157"/>
        <v>#DIV/0!</v>
      </c>
      <c r="U758" s="306" t="e">
        <f t="shared" si="154"/>
        <v>#DIV/0!</v>
      </c>
    </row>
    <row r="759" spans="4:21" x14ac:dyDescent="0.35">
      <c r="D759" s="3"/>
      <c r="G759" s="3" t="s">
        <v>87</v>
      </c>
      <c r="M759" s="3"/>
      <c r="N759" s="356" t="e" cm="1">
        <f t="array" ref="N759">_xlfn.IFS(I759="AEX",H759/400,I759="RP",H759/200)</f>
        <v>#N/A</v>
      </c>
      <c r="P759" s="75" t="e">
        <f t="shared" si="155"/>
        <v>#DIV/0!</v>
      </c>
      <c r="Q759" s="3" t="e" cm="1">
        <f t="array" ref="Q759">_xlfn.IFS(P759&lt;200, "10", P759&lt;400, "12", P759&lt;600, "14", P759&gt;600, "16")</f>
        <v>#DIV/0!</v>
      </c>
      <c r="R759" s="75">
        <f t="shared" si="156"/>
        <v>0</v>
      </c>
      <c r="S759" s="75" t="e">
        <f t="shared" si="157"/>
        <v>#DIV/0!</v>
      </c>
      <c r="U759" s="306" t="e">
        <f t="shared" si="154"/>
        <v>#DIV/0!</v>
      </c>
    </row>
    <row r="760" spans="4:21" x14ac:dyDescent="0.35">
      <c r="D760" s="3"/>
      <c r="G760" s="3" t="s">
        <v>87</v>
      </c>
      <c r="M760" s="3"/>
      <c r="N760" s="356" t="e" cm="1">
        <f t="array" ref="N760">_xlfn.IFS(I760="AEX",H760/400,I760="RP",H760/200)</f>
        <v>#N/A</v>
      </c>
      <c r="P760" s="75" t="e">
        <f t="shared" si="155"/>
        <v>#DIV/0!</v>
      </c>
      <c r="Q760" s="3" t="e" cm="1">
        <f t="array" ref="Q760">_xlfn.IFS(P760&lt;200, "10", P760&lt;400, "12", P760&lt;600, "14", P760&gt;600, "16")</f>
        <v>#DIV/0!</v>
      </c>
      <c r="R760" s="75">
        <f t="shared" si="156"/>
        <v>0</v>
      </c>
      <c r="S760" s="75" t="e">
        <f t="shared" si="157"/>
        <v>#DIV/0!</v>
      </c>
      <c r="U760" s="306" t="e">
        <f t="shared" si="154"/>
        <v>#DIV/0!</v>
      </c>
    </row>
    <row r="761" spans="4:21" x14ac:dyDescent="0.35">
      <c r="D761" s="3"/>
      <c r="G761" s="3" t="s">
        <v>87</v>
      </c>
      <c r="M761" s="3"/>
      <c r="N761" s="356" t="e" cm="1">
        <f t="array" ref="N761">_xlfn.IFS(I761="AEX",H761/400,I761="RP",H761/200)</f>
        <v>#N/A</v>
      </c>
      <c r="P761" s="75" t="e">
        <f t="shared" si="155"/>
        <v>#DIV/0!</v>
      </c>
      <c r="Q761" s="3" t="e" cm="1">
        <f t="array" ref="Q761">_xlfn.IFS(P761&lt;200, "10", P761&lt;400, "12", P761&lt;600, "14", P761&gt;600, "16")</f>
        <v>#DIV/0!</v>
      </c>
      <c r="R761" s="75">
        <f t="shared" si="156"/>
        <v>0</v>
      </c>
      <c r="S761" s="75" t="e">
        <f t="shared" si="157"/>
        <v>#DIV/0!</v>
      </c>
      <c r="U761" s="306" t="e">
        <f t="shared" si="154"/>
        <v>#DIV/0!</v>
      </c>
    </row>
    <row r="762" spans="4:21" x14ac:dyDescent="0.35">
      <c r="D762" s="3"/>
      <c r="G762" s="3" t="s">
        <v>87</v>
      </c>
      <c r="M762" s="3"/>
      <c r="N762" s="356" t="e" cm="1">
        <f t="array" ref="N762">_xlfn.IFS(I762="AEX",H762/400,I762="RP",H762/200)</f>
        <v>#N/A</v>
      </c>
      <c r="P762" s="75" t="e">
        <f t="shared" si="155"/>
        <v>#DIV/0!</v>
      </c>
      <c r="Q762" s="3" t="e" cm="1">
        <f t="array" ref="Q762">_xlfn.IFS(P762&lt;200, "10", P762&lt;400, "12", P762&lt;600, "14", P762&gt;600, "16")</f>
        <v>#DIV/0!</v>
      </c>
      <c r="R762" s="75">
        <f t="shared" si="156"/>
        <v>0</v>
      </c>
      <c r="S762" s="75" t="e">
        <f t="shared" si="157"/>
        <v>#DIV/0!</v>
      </c>
      <c r="U762" s="306" t="e">
        <f t="shared" si="154"/>
        <v>#DIV/0!</v>
      </c>
    </row>
    <row r="763" spans="4:21" x14ac:dyDescent="0.35">
      <c r="D763" s="3"/>
      <c r="G763" s="3" t="s">
        <v>87</v>
      </c>
      <c r="M763" s="3"/>
      <c r="N763" s="356" t="e" cm="1">
        <f t="array" ref="N763">_xlfn.IFS(I763="AEX",H763/400,I763="RP",H763/200)</f>
        <v>#N/A</v>
      </c>
      <c r="P763" s="75" t="e">
        <f t="shared" si="155"/>
        <v>#DIV/0!</v>
      </c>
      <c r="Q763" s="3" t="e" cm="1">
        <f t="array" ref="Q763">_xlfn.IFS(P763&lt;200, "10", P763&lt;400, "12", P763&lt;600, "14", P763&gt;600, "16")</f>
        <v>#DIV/0!</v>
      </c>
      <c r="R763" s="75">
        <f t="shared" si="156"/>
        <v>0</v>
      </c>
      <c r="S763" s="75" t="e">
        <f t="shared" si="157"/>
        <v>#DIV/0!</v>
      </c>
      <c r="U763" s="306" t="e">
        <f t="shared" si="154"/>
        <v>#DIV/0!</v>
      </c>
    </row>
    <row r="764" spans="4:21" x14ac:dyDescent="0.35">
      <c r="D764" s="3"/>
      <c r="G764" s="3" t="s">
        <v>87</v>
      </c>
      <c r="M764" s="3"/>
      <c r="N764" s="356" t="e" cm="1">
        <f t="array" ref="N764">_xlfn.IFS(I764="AEX",H764/400,I764="RP",H764/200)</f>
        <v>#N/A</v>
      </c>
      <c r="P764" s="75" t="e">
        <f t="shared" si="155"/>
        <v>#DIV/0!</v>
      </c>
      <c r="Q764" s="3" t="e" cm="1">
        <f t="array" ref="Q764">_xlfn.IFS(P764&lt;200, "10", P764&lt;400, "12", P764&lt;600, "14", P764&gt;600, "16")</f>
        <v>#DIV/0!</v>
      </c>
      <c r="R764" s="75">
        <f t="shared" si="156"/>
        <v>0</v>
      </c>
      <c r="S764" s="75" t="e">
        <f t="shared" si="157"/>
        <v>#DIV/0!</v>
      </c>
      <c r="U764" s="306" t="e">
        <f t="shared" si="154"/>
        <v>#DIV/0!</v>
      </c>
    </row>
    <row r="765" spans="4:21" x14ac:dyDescent="0.35">
      <c r="D765" s="3"/>
      <c r="G765" s="3" t="s">
        <v>87</v>
      </c>
      <c r="M765" s="3"/>
      <c r="N765" s="356" t="e" cm="1">
        <f t="array" ref="N765">_xlfn.IFS(I765="AEX",H765/400,I765="RP",H765/200)</f>
        <v>#N/A</v>
      </c>
      <c r="P765" s="75" t="e">
        <f t="shared" si="155"/>
        <v>#DIV/0!</v>
      </c>
      <c r="Q765" s="3" t="e" cm="1">
        <f t="array" ref="Q765">_xlfn.IFS(P765&lt;200, "10", P765&lt;400, "12", P765&lt;600, "14", P765&gt;600, "16")</f>
        <v>#DIV/0!</v>
      </c>
      <c r="R765" s="75">
        <f t="shared" si="156"/>
        <v>0</v>
      </c>
      <c r="S765" s="75" t="e">
        <f t="shared" si="157"/>
        <v>#DIV/0!</v>
      </c>
      <c r="U765" s="306" t="e">
        <f t="shared" si="154"/>
        <v>#DIV/0!</v>
      </c>
    </row>
    <row r="766" spans="4:21" x14ac:dyDescent="0.35">
      <c r="D766" s="3"/>
      <c r="G766" s="3" t="s">
        <v>87</v>
      </c>
      <c r="M766" s="3"/>
      <c r="N766" s="356" t="e" cm="1">
        <f t="array" ref="N766">_xlfn.IFS(I766="AEX",H766/400,I766="RP",H766/200)</f>
        <v>#N/A</v>
      </c>
      <c r="P766" s="75" t="e">
        <f t="shared" si="155"/>
        <v>#DIV/0!</v>
      </c>
      <c r="Q766" s="3" t="e" cm="1">
        <f t="array" ref="Q766">_xlfn.IFS(P766&lt;200, "10", P766&lt;400, "12", P766&lt;600, "14", P766&gt;600, "16")</f>
        <v>#DIV/0!</v>
      </c>
      <c r="R766" s="75">
        <f t="shared" si="156"/>
        <v>0</v>
      </c>
      <c r="S766" s="75" t="e">
        <f t="shared" si="157"/>
        <v>#DIV/0!</v>
      </c>
      <c r="U766" s="306" t="e">
        <f t="shared" si="154"/>
        <v>#DIV/0!</v>
      </c>
    </row>
    <row r="767" spans="4:21" x14ac:dyDescent="0.35">
      <c r="D767" s="3"/>
      <c r="G767" s="3" t="s">
        <v>87</v>
      </c>
      <c r="M767" s="3"/>
      <c r="N767" s="356" t="e" cm="1">
        <f t="array" ref="N767">_xlfn.IFS(I767="AEX",H767/400,I767="RP",H767/200)</f>
        <v>#N/A</v>
      </c>
      <c r="P767" s="75" t="e">
        <f t="shared" si="155"/>
        <v>#DIV/0!</v>
      </c>
      <c r="Q767" s="3" t="e" cm="1">
        <f t="array" ref="Q767">_xlfn.IFS(P767&lt;200, "10", P767&lt;400, "12", P767&lt;600, "14", P767&gt;600, "16")</f>
        <v>#DIV/0!</v>
      </c>
      <c r="R767" s="75">
        <f t="shared" si="156"/>
        <v>0</v>
      </c>
      <c r="S767" s="75" t="e">
        <f t="shared" si="157"/>
        <v>#DIV/0!</v>
      </c>
      <c r="U767" s="306" t="e">
        <f t="shared" si="154"/>
        <v>#DIV/0!</v>
      </c>
    </row>
    <row r="768" spans="4:21" x14ac:dyDescent="0.35">
      <c r="D768" s="3"/>
      <c r="G768" s="3" t="s">
        <v>87</v>
      </c>
      <c r="M768" s="3"/>
      <c r="N768" s="356" t="e" cm="1">
        <f t="array" ref="N768">_xlfn.IFS(I768="AEX",H768/400,I768="RP",H768/200)</f>
        <v>#N/A</v>
      </c>
      <c r="P768" s="75" t="e">
        <f t="shared" si="155"/>
        <v>#DIV/0!</v>
      </c>
      <c r="Q768" s="3" t="e" cm="1">
        <f t="array" ref="Q768">_xlfn.IFS(P768&lt;200, "10", P768&lt;400, "12", P768&lt;600, "14", P768&gt;600, "16")</f>
        <v>#DIV/0!</v>
      </c>
      <c r="R768" s="75">
        <f t="shared" si="156"/>
        <v>0</v>
      </c>
      <c r="S768" s="75" t="e">
        <f t="shared" si="157"/>
        <v>#DIV/0!</v>
      </c>
      <c r="U768" s="306" t="e">
        <f t="shared" si="154"/>
        <v>#DIV/0!</v>
      </c>
    </row>
    <row r="769" spans="4:21" x14ac:dyDescent="0.35">
      <c r="D769" s="3"/>
      <c r="G769" s="3" t="s">
        <v>87</v>
      </c>
      <c r="M769" s="3"/>
      <c r="N769" s="356" t="e" cm="1">
        <f t="array" ref="N769">_xlfn.IFS(I769="AEX",H769/400,I769="RP",H769/200)</f>
        <v>#N/A</v>
      </c>
      <c r="P769" s="75" t="e">
        <f t="shared" si="155"/>
        <v>#DIV/0!</v>
      </c>
      <c r="Q769" s="3" t="e" cm="1">
        <f t="array" ref="Q769">_xlfn.IFS(P769&lt;200, "10", P769&lt;400, "12", P769&lt;600, "14", P769&gt;600, "16")</f>
        <v>#DIV/0!</v>
      </c>
      <c r="R769" s="75">
        <f t="shared" si="156"/>
        <v>0</v>
      </c>
      <c r="S769" s="75" t="e">
        <f t="shared" si="157"/>
        <v>#DIV/0!</v>
      </c>
      <c r="U769" s="306" t="e">
        <f t="shared" si="154"/>
        <v>#DIV/0!</v>
      </c>
    </row>
    <row r="770" spans="4:21" x14ac:dyDescent="0.35">
      <c r="D770" s="3"/>
      <c r="G770" s="3" t="s">
        <v>87</v>
      </c>
      <c r="M770" s="3"/>
      <c r="N770" s="356" t="e" cm="1">
        <f t="array" ref="N770">_xlfn.IFS(I770="AEX",H770/400,I770="RP",H770/200)</f>
        <v>#N/A</v>
      </c>
      <c r="P770" s="75" t="e">
        <f t="shared" si="155"/>
        <v>#DIV/0!</v>
      </c>
      <c r="Q770" s="3" t="e" cm="1">
        <f t="array" ref="Q770">_xlfn.IFS(P770&lt;200, "10", P770&lt;400, "12", P770&lt;600, "14", P770&gt;600, "16")</f>
        <v>#DIV/0!</v>
      </c>
      <c r="R770" s="75">
        <f t="shared" si="156"/>
        <v>0</v>
      </c>
      <c r="S770" s="75" t="e">
        <f t="shared" si="157"/>
        <v>#DIV/0!</v>
      </c>
      <c r="U770" s="306" t="e">
        <f t="shared" ref="U770:U833" si="158">T770/H770*100</f>
        <v>#DIV/0!</v>
      </c>
    </row>
    <row r="771" spans="4:21" x14ac:dyDescent="0.35">
      <c r="D771" s="3"/>
      <c r="G771" s="3" t="s">
        <v>87</v>
      </c>
      <c r="M771" s="3"/>
      <c r="N771" s="356" t="e" cm="1">
        <f t="array" ref="N771">_xlfn.IFS(I771="AEX",H771/400,I771="RP",H771/200)</f>
        <v>#N/A</v>
      </c>
      <c r="P771" s="75" t="e">
        <f t="shared" si="155"/>
        <v>#DIV/0!</v>
      </c>
      <c r="Q771" s="3" t="e" cm="1">
        <f t="array" ref="Q771">_xlfn.IFS(P771&lt;200, "10", P771&lt;400, "12", P771&lt;600, "14", P771&gt;600, "16")</f>
        <v>#DIV/0!</v>
      </c>
      <c r="R771" s="75">
        <f t="shared" si="156"/>
        <v>0</v>
      </c>
      <c r="S771" s="75" t="e">
        <f t="shared" si="157"/>
        <v>#DIV/0!</v>
      </c>
      <c r="U771" s="306" t="e">
        <f t="shared" si="158"/>
        <v>#DIV/0!</v>
      </c>
    </row>
    <row r="772" spans="4:21" x14ac:dyDescent="0.35">
      <c r="D772" s="3"/>
      <c r="G772" s="3" t="s">
        <v>87</v>
      </c>
      <c r="M772" s="3"/>
      <c r="N772" s="356" t="e" cm="1">
        <f t="array" ref="N772">_xlfn.IFS(I772="AEX",H772/400,I772="RP",H772/200)</f>
        <v>#N/A</v>
      </c>
      <c r="P772" s="75" t="e">
        <f t="shared" si="155"/>
        <v>#DIV/0!</v>
      </c>
      <c r="Q772" s="3" t="e" cm="1">
        <f t="array" ref="Q772">_xlfn.IFS(P772&lt;200, "10", P772&lt;400, "12", P772&lt;600, "14", P772&gt;600, "16")</f>
        <v>#DIV/0!</v>
      </c>
      <c r="R772" s="75">
        <f t="shared" si="156"/>
        <v>0</v>
      </c>
      <c r="S772" s="75" t="e">
        <f t="shared" si="157"/>
        <v>#DIV/0!</v>
      </c>
      <c r="U772" s="306" t="e">
        <f t="shared" si="158"/>
        <v>#DIV/0!</v>
      </c>
    </row>
    <row r="773" spans="4:21" x14ac:dyDescent="0.35">
      <c r="D773" s="3"/>
      <c r="G773" s="3" t="s">
        <v>87</v>
      </c>
      <c r="M773" s="3"/>
      <c r="N773" s="356" t="e" cm="1">
        <f t="array" ref="N773">_xlfn.IFS(I773="AEX",H773/400,I773="RP",H773/200)</f>
        <v>#N/A</v>
      </c>
      <c r="P773" s="75" t="e">
        <f t="shared" si="155"/>
        <v>#DIV/0!</v>
      </c>
      <c r="Q773" s="3" t="e" cm="1">
        <f t="array" ref="Q773">_xlfn.IFS(P773&lt;200, "10", P773&lt;400, "12", P773&lt;600, "14", P773&gt;600, "16")</f>
        <v>#DIV/0!</v>
      </c>
      <c r="R773" s="75">
        <f t="shared" si="156"/>
        <v>0</v>
      </c>
      <c r="S773" s="75" t="e">
        <f t="shared" si="157"/>
        <v>#DIV/0!</v>
      </c>
      <c r="U773" s="306" t="e">
        <f t="shared" si="158"/>
        <v>#DIV/0!</v>
      </c>
    </row>
    <row r="774" spans="4:21" x14ac:dyDescent="0.35">
      <c r="D774" s="3"/>
      <c r="G774" s="3" t="s">
        <v>87</v>
      </c>
      <c r="M774" s="3"/>
      <c r="N774" s="356" t="e" cm="1">
        <f t="array" ref="N774">_xlfn.IFS(I774="AEX",H774/400,I774="RP",H774/200)</f>
        <v>#N/A</v>
      </c>
      <c r="P774" s="75" t="e">
        <f t="shared" si="155"/>
        <v>#DIV/0!</v>
      </c>
      <c r="Q774" s="3" t="e" cm="1">
        <f t="array" ref="Q774">_xlfn.IFS(P774&lt;200, "10", P774&lt;400, "12", P774&lt;600, "14", P774&gt;600, "16")</f>
        <v>#DIV/0!</v>
      </c>
      <c r="R774" s="75">
        <f t="shared" si="156"/>
        <v>0</v>
      </c>
      <c r="S774" s="75" t="e">
        <f t="shared" si="157"/>
        <v>#DIV/0!</v>
      </c>
      <c r="U774" s="306" t="e">
        <f t="shared" si="158"/>
        <v>#DIV/0!</v>
      </c>
    </row>
    <row r="775" spans="4:21" x14ac:dyDescent="0.35">
      <c r="D775" s="3"/>
      <c r="G775" s="3" t="s">
        <v>87</v>
      </c>
      <c r="M775" s="3"/>
      <c r="N775" s="356" t="e" cm="1">
        <f t="array" ref="N775">_xlfn.IFS(I775="AEX",H775/400,I775="RP",H775/200)</f>
        <v>#N/A</v>
      </c>
      <c r="P775" s="75" t="e">
        <f t="shared" si="155"/>
        <v>#DIV/0!</v>
      </c>
      <c r="Q775" s="3" t="e" cm="1">
        <f t="array" ref="Q775">_xlfn.IFS(P775&lt;200, "10", P775&lt;400, "12", P775&lt;600, "14", P775&gt;600, "16")</f>
        <v>#DIV/0!</v>
      </c>
      <c r="R775" s="75">
        <f t="shared" si="156"/>
        <v>0</v>
      </c>
      <c r="S775" s="75" t="e">
        <f t="shared" si="157"/>
        <v>#DIV/0!</v>
      </c>
      <c r="U775" s="306" t="e">
        <f t="shared" si="158"/>
        <v>#DIV/0!</v>
      </c>
    </row>
    <row r="776" spans="4:21" x14ac:dyDescent="0.35">
      <c r="D776" s="3"/>
      <c r="G776" s="3" t="s">
        <v>87</v>
      </c>
      <c r="M776" s="3"/>
      <c r="N776" s="356" t="e" cm="1">
        <f t="array" ref="N776">_xlfn.IFS(I776="AEX",H776/400,I776="RP",H776/200)</f>
        <v>#N/A</v>
      </c>
      <c r="P776" s="75" t="e">
        <f t="shared" si="155"/>
        <v>#DIV/0!</v>
      </c>
      <c r="Q776" s="3" t="e" cm="1">
        <f t="array" ref="Q776">_xlfn.IFS(P776&lt;200, "10", P776&lt;400, "12", P776&lt;600, "14", P776&gt;600, "16")</f>
        <v>#DIV/0!</v>
      </c>
      <c r="R776" s="75">
        <f t="shared" si="156"/>
        <v>0</v>
      </c>
      <c r="S776" s="75" t="e">
        <f t="shared" si="157"/>
        <v>#DIV/0!</v>
      </c>
      <c r="U776" s="306" t="e">
        <f t="shared" si="158"/>
        <v>#DIV/0!</v>
      </c>
    </row>
    <row r="777" spans="4:21" x14ac:dyDescent="0.35">
      <c r="D777" s="3"/>
      <c r="G777" s="3" t="s">
        <v>87</v>
      </c>
      <c r="M777" s="3"/>
      <c r="N777" s="356" t="e" cm="1">
        <f t="array" ref="N777">_xlfn.IFS(I777="AEX",H777/400,I777="RP",H777/200)</f>
        <v>#N/A</v>
      </c>
      <c r="P777" s="75" t="e">
        <f t="shared" si="155"/>
        <v>#DIV/0!</v>
      </c>
      <c r="Q777" s="3" t="e" cm="1">
        <f t="array" ref="Q777">_xlfn.IFS(P777&lt;200, "10", P777&lt;400, "12", P777&lt;600, "14", P777&gt;600, "16")</f>
        <v>#DIV/0!</v>
      </c>
      <c r="R777" s="75">
        <f t="shared" si="156"/>
        <v>0</v>
      </c>
      <c r="S777" s="75" t="e">
        <f t="shared" si="157"/>
        <v>#DIV/0!</v>
      </c>
      <c r="U777" s="306" t="e">
        <f t="shared" si="158"/>
        <v>#DIV/0!</v>
      </c>
    </row>
    <row r="778" spans="4:21" x14ac:dyDescent="0.35">
      <c r="D778" s="3"/>
      <c r="G778" s="3" t="s">
        <v>87</v>
      </c>
      <c r="M778" s="3"/>
      <c r="N778" s="356" t="e" cm="1">
        <f t="array" ref="N778">_xlfn.IFS(I778="AEX",H778/400,I778="RP",H778/200)</f>
        <v>#N/A</v>
      </c>
      <c r="P778" s="75" t="e">
        <f t="shared" si="155"/>
        <v>#DIV/0!</v>
      </c>
      <c r="Q778" s="3" t="e" cm="1">
        <f t="array" ref="Q778">_xlfn.IFS(P778&lt;200, "10", P778&lt;400, "12", P778&lt;600, "14", P778&gt;600, "16")</f>
        <v>#DIV/0!</v>
      </c>
      <c r="R778" s="75">
        <f t="shared" si="156"/>
        <v>0</v>
      </c>
      <c r="S778" s="75" t="e">
        <f t="shared" si="157"/>
        <v>#DIV/0!</v>
      </c>
      <c r="U778" s="306" t="e">
        <f t="shared" si="158"/>
        <v>#DIV/0!</v>
      </c>
    </row>
    <row r="779" spans="4:21" x14ac:dyDescent="0.35">
      <c r="D779" s="3"/>
      <c r="G779" s="3" t="s">
        <v>87</v>
      </c>
      <c r="M779" s="3"/>
      <c r="N779" s="356" t="e" cm="1">
        <f t="array" ref="N779">_xlfn.IFS(I779="AEX",H779/400,I779="RP",H779/200)</f>
        <v>#N/A</v>
      </c>
      <c r="P779" s="75" t="e">
        <f t="shared" si="155"/>
        <v>#DIV/0!</v>
      </c>
      <c r="Q779" s="3" t="e" cm="1">
        <f t="array" ref="Q779">_xlfn.IFS(P779&lt;200, "10", P779&lt;400, "12", P779&lt;600, "14", P779&gt;600, "16")</f>
        <v>#DIV/0!</v>
      </c>
      <c r="R779" s="75">
        <f t="shared" si="156"/>
        <v>0</v>
      </c>
      <c r="S779" s="75" t="e">
        <f t="shared" si="157"/>
        <v>#DIV/0!</v>
      </c>
      <c r="U779" s="306" t="e">
        <f t="shared" si="158"/>
        <v>#DIV/0!</v>
      </c>
    </row>
    <row r="780" spans="4:21" x14ac:dyDescent="0.35">
      <c r="D780" s="3"/>
      <c r="G780" s="3" t="s">
        <v>87</v>
      </c>
      <c r="M780" s="3"/>
      <c r="N780" s="356" t="e" cm="1">
        <f t="array" ref="N780">_xlfn.IFS(I780="AEX",H780/400,I780="RP",H780/200)</f>
        <v>#N/A</v>
      </c>
      <c r="P780" s="75" t="e">
        <f t="shared" si="155"/>
        <v>#DIV/0!</v>
      </c>
      <c r="Q780" s="3" t="e" cm="1">
        <f t="array" ref="Q780">_xlfn.IFS(P780&lt;200, "10", P780&lt;400, "12", P780&lt;600, "14", P780&gt;600, "16")</f>
        <v>#DIV/0!</v>
      </c>
      <c r="R780" s="75">
        <f t="shared" si="156"/>
        <v>0</v>
      </c>
      <c r="S780" s="75" t="e">
        <f t="shared" si="157"/>
        <v>#DIV/0!</v>
      </c>
      <c r="U780" s="306" t="e">
        <f t="shared" si="158"/>
        <v>#DIV/0!</v>
      </c>
    </row>
    <row r="781" spans="4:21" x14ac:dyDescent="0.35">
      <c r="D781" s="3"/>
      <c r="G781" s="3" t="s">
        <v>87</v>
      </c>
      <c r="M781" s="3"/>
      <c r="N781" s="356" t="e" cm="1">
        <f t="array" ref="N781">_xlfn.IFS(I781="AEX",H781/400,I781="RP",H781/200)</f>
        <v>#N/A</v>
      </c>
      <c r="P781" s="75" t="e">
        <f t="shared" si="155"/>
        <v>#DIV/0!</v>
      </c>
      <c r="Q781" s="3" t="e" cm="1">
        <f t="array" ref="Q781">_xlfn.IFS(P781&lt;200, "10", P781&lt;400, "12", P781&lt;600, "14", P781&gt;600, "16")</f>
        <v>#DIV/0!</v>
      </c>
      <c r="R781" s="75">
        <f t="shared" si="156"/>
        <v>0</v>
      </c>
      <c r="S781" s="75" t="e">
        <f t="shared" si="157"/>
        <v>#DIV/0!</v>
      </c>
      <c r="U781" s="306" t="e">
        <f t="shared" si="158"/>
        <v>#DIV/0!</v>
      </c>
    </row>
    <row r="782" spans="4:21" x14ac:dyDescent="0.35">
      <c r="D782" s="3"/>
      <c r="G782" s="3" t="s">
        <v>87</v>
      </c>
      <c r="M782" s="3"/>
      <c r="N782" s="356" t="e" cm="1">
        <f t="array" ref="N782">_xlfn.IFS(I782="AEX",H782/400,I782="RP",H782/200)</f>
        <v>#N/A</v>
      </c>
      <c r="P782" s="75" t="e">
        <f t="shared" si="155"/>
        <v>#DIV/0!</v>
      </c>
      <c r="Q782" s="3" t="e" cm="1">
        <f t="array" ref="Q782">_xlfn.IFS(P782&lt;200, "10", P782&lt;400, "12", P782&lt;600, "14", P782&gt;600, "16")</f>
        <v>#DIV/0!</v>
      </c>
      <c r="R782" s="75">
        <f t="shared" si="156"/>
        <v>0</v>
      </c>
      <c r="S782" s="75" t="e">
        <f t="shared" si="157"/>
        <v>#DIV/0!</v>
      </c>
      <c r="U782" s="306" t="e">
        <f t="shared" si="158"/>
        <v>#DIV/0!</v>
      </c>
    </row>
    <row r="783" spans="4:21" x14ac:dyDescent="0.35">
      <c r="D783" s="3"/>
      <c r="G783" s="3" t="s">
        <v>87</v>
      </c>
      <c r="M783" s="3"/>
      <c r="N783" s="356" t="e" cm="1">
        <f t="array" ref="N783">_xlfn.IFS(I783="AEX",H783/400,I783="RP",H783/200)</f>
        <v>#N/A</v>
      </c>
      <c r="P783" s="75" t="e">
        <f t="shared" si="155"/>
        <v>#DIV/0!</v>
      </c>
      <c r="Q783" s="3" t="e" cm="1">
        <f t="array" ref="Q783">_xlfn.IFS(P783&lt;200, "10", P783&lt;400, "12", P783&lt;600, "14", P783&gt;600, "16")</f>
        <v>#DIV/0!</v>
      </c>
      <c r="R783" s="75">
        <f t="shared" si="156"/>
        <v>0</v>
      </c>
      <c r="S783" s="75" t="e">
        <f t="shared" si="157"/>
        <v>#DIV/0!</v>
      </c>
      <c r="U783" s="306" t="e">
        <f t="shared" si="158"/>
        <v>#DIV/0!</v>
      </c>
    </row>
    <row r="784" spans="4:21" x14ac:dyDescent="0.35">
      <c r="D784" s="3"/>
      <c r="G784" s="3" t="s">
        <v>87</v>
      </c>
      <c r="M784" s="3"/>
      <c r="N784" s="356" t="e" cm="1">
        <f t="array" ref="N784">_xlfn.IFS(I784="AEX",H784/400,I784="RP",H784/200)</f>
        <v>#N/A</v>
      </c>
      <c r="P784" s="75" t="e">
        <f t="shared" si="155"/>
        <v>#DIV/0!</v>
      </c>
      <c r="Q784" s="3" t="e" cm="1">
        <f t="array" ref="Q784">_xlfn.IFS(P784&lt;200, "10", P784&lt;400, "12", P784&lt;600, "14", P784&gt;600, "16")</f>
        <v>#DIV/0!</v>
      </c>
      <c r="R784" s="75">
        <f t="shared" si="156"/>
        <v>0</v>
      </c>
      <c r="S784" s="75" t="e">
        <f t="shared" si="157"/>
        <v>#DIV/0!</v>
      </c>
      <c r="U784" s="306" t="e">
        <f t="shared" si="158"/>
        <v>#DIV/0!</v>
      </c>
    </row>
    <row r="785" spans="4:21" x14ac:dyDescent="0.35">
      <c r="D785" s="3"/>
      <c r="G785" s="3" t="s">
        <v>87</v>
      </c>
      <c r="M785" s="3"/>
      <c r="N785" s="356" t="e" cm="1">
        <f t="array" ref="N785">_xlfn.IFS(I785="AEX",H785/400,I785="RP",H785/200)</f>
        <v>#N/A</v>
      </c>
      <c r="P785" s="75" t="e">
        <f t="shared" si="155"/>
        <v>#DIV/0!</v>
      </c>
      <c r="Q785" s="3" t="e" cm="1">
        <f t="array" ref="Q785">_xlfn.IFS(P785&lt;200, "10", P785&lt;400, "12", P785&lt;600, "14", P785&gt;600, "16")</f>
        <v>#DIV/0!</v>
      </c>
      <c r="R785" s="75">
        <f t="shared" si="156"/>
        <v>0</v>
      </c>
      <c r="S785" s="75" t="e">
        <f t="shared" si="157"/>
        <v>#DIV/0!</v>
      </c>
      <c r="U785" s="306" t="e">
        <f t="shared" si="158"/>
        <v>#DIV/0!</v>
      </c>
    </row>
    <row r="786" spans="4:21" x14ac:dyDescent="0.35">
      <c r="D786" s="3"/>
      <c r="G786" s="3" t="s">
        <v>87</v>
      </c>
      <c r="M786" s="3"/>
      <c r="N786" s="356" t="e" cm="1">
        <f t="array" ref="N786">_xlfn.IFS(I786="AEX",H786/400,I786="RP",H786/200)</f>
        <v>#N/A</v>
      </c>
      <c r="P786" s="75" t="e">
        <f t="shared" si="155"/>
        <v>#DIV/0!</v>
      </c>
      <c r="Q786" s="3" t="e" cm="1">
        <f t="array" ref="Q786">_xlfn.IFS(P786&lt;200, "10", P786&lt;400, "12", P786&lt;600, "14", P786&gt;600, "16")</f>
        <v>#DIV/0!</v>
      </c>
      <c r="R786" s="75">
        <f t="shared" si="156"/>
        <v>0</v>
      </c>
      <c r="S786" s="75" t="e">
        <f t="shared" si="157"/>
        <v>#DIV/0!</v>
      </c>
      <c r="U786" s="306" t="e">
        <f t="shared" si="158"/>
        <v>#DIV/0!</v>
      </c>
    </row>
    <row r="787" spans="4:21" x14ac:dyDescent="0.35">
      <c r="D787" s="3"/>
      <c r="G787" s="3" t="s">
        <v>87</v>
      </c>
      <c r="M787" s="3"/>
      <c r="N787" s="356" t="e" cm="1">
        <f t="array" ref="N787">_xlfn.IFS(I787="AEX",H787/400,I787="RP",H787/200)</f>
        <v>#N/A</v>
      </c>
      <c r="P787" s="75" t="e">
        <f t="shared" si="155"/>
        <v>#DIV/0!</v>
      </c>
      <c r="Q787" s="3" t="e" cm="1">
        <f t="array" ref="Q787">_xlfn.IFS(P787&lt;200, "10", P787&lt;400, "12", P787&lt;600, "14", P787&gt;600, "16")</f>
        <v>#DIV/0!</v>
      </c>
      <c r="R787" s="75">
        <f t="shared" si="156"/>
        <v>0</v>
      </c>
      <c r="S787" s="75" t="e">
        <f t="shared" si="157"/>
        <v>#DIV/0!</v>
      </c>
      <c r="U787" s="306" t="e">
        <f t="shared" si="158"/>
        <v>#DIV/0!</v>
      </c>
    </row>
    <row r="788" spans="4:21" x14ac:dyDescent="0.35">
      <c r="D788" s="3"/>
      <c r="G788" s="3" t="s">
        <v>87</v>
      </c>
      <c r="M788" s="3"/>
      <c r="N788" s="356" t="e" cm="1">
        <f t="array" ref="N788">_xlfn.IFS(I788="AEX",H788/400,I788="RP",H788/200)</f>
        <v>#N/A</v>
      </c>
      <c r="P788" s="75" t="e">
        <f t="shared" si="155"/>
        <v>#DIV/0!</v>
      </c>
      <c r="Q788" s="3" t="e" cm="1">
        <f t="array" ref="Q788">_xlfn.IFS(P788&lt;200, "10", P788&lt;400, "12", P788&lt;600, "14", P788&gt;600, "16")</f>
        <v>#DIV/0!</v>
      </c>
      <c r="R788" s="75">
        <f t="shared" si="156"/>
        <v>0</v>
      </c>
      <c r="S788" s="75" t="e">
        <f t="shared" si="157"/>
        <v>#DIV/0!</v>
      </c>
      <c r="U788" s="306" t="e">
        <f t="shared" si="158"/>
        <v>#DIV/0!</v>
      </c>
    </row>
    <row r="789" spans="4:21" x14ac:dyDescent="0.35">
      <c r="D789" s="3"/>
      <c r="G789" s="3" t="s">
        <v>87</v>
      </c>
      <c r="M789" s="3"/>
      <c r="N789" s="356" t="e" cm="1">
        <f t="array" ref="N789">_xlfn.IFS(I789="AEX",H789/400,I789="RP",H789/200)</f>
        <v>#N/A</v>
      </c>
      <c r="P789" s="75" t="e">
        <f t="shared" si="155"/>
        <v>#DIV/0!</v>
      </c>
      <c r="Q789" s="3" t="e" cm="1">
        <f t="array" ref="Q789">_xlfn.IFS(P789&lt;200, "10", P789&lt;400, "12", P789&lt;600, "14", P789&gt;600, "16")</f>
        <v>#DIV/0!</v>
      </c>
      <c r="R789" s="75">
        <f t="shared" si="156"/>
        <v>0</v>
      </c>
      <c r="S789" s="75" t="e">
        <f t="shared" si="157"/>
        <v>#DIV/0!</v>
      </c>
      <c r="U789" s="306" t="e">
        <f t="shared" si="158"/>
        <v>#DIV/0!</v>
      </c>
    </row>
    <row r="790" spans="4:21" x14ac:dyDescent="0.35">
      <c r="D790" s="3"/>
      <c r="G790" s="3" t="s">
        <v>87</v>
      </c>
      <c r="M790" s="3"/>
      <c r="N790" s="356" t="e" cm="1">
        <f t="array" ref="N790">_xlfn.IFS(I790="AEX",H790/400,I790="RP",H790/200)</f>
        <v>#N/A</v>
      </c>
      <c r="P790" s="75" t="e">
        <f t="shared" si="155"/>
        <v>#DIV/0!</v>
      </c>
      <c r="Q790" s="3" t="e" cm="1">
        <f t="array" ref="Q790">_xlfn.IFS(P790&lt;200, "10", P790&lt;400, "12", P790&lt;600, "14", P790&gt;600, "16")</f>
        <v>#DIV/0!</v>
      </c>
      <c r="R790" s="75">
        <f t="shared" si="156"/>
        <v>0</v>
      </c>
      <c r="S790" s="75" t="e">
        <f t="shared" si="157"/>
        <v>#DIV/0!</v>
      </c>
      <c r="U790" s="306" t="e">
        <f t="shared" si="158"/>
        <v>#DIV/0!</v>
      </c>
    </row>
    <row r="791" spans="4:21" x14ac:dyDescent="0.35">
      <c r="D791" s="3"/>
      <c r="G791" s="3" t="s">
        <v>87</v>
      </c>
      <c r="M791" s="3"/>
      <c r="N791" s="356" t="e" cm="1">
        <f t="array" ref="N791">_xlfn.IFS(I791="AEX",H791/400,I791="RP",H791/200)</f>
        <v>#N/A</v>
      </c>
      <c r="P791" s="75" t="e">
        <f t="shared" si="155"/>
        <v>#DIV/0!</v>
      </c>
      <c r="Q791" s="3" t="e" cm="1">
        <f t="array" ref="Q791">_xlfn.IFS(P791&lt;200, "10", P791&lt;400, "12", P791&lt;600, "14", P791&gt;600, "16")</f>
        <v>#DIV/0!</v>
      </c>
      <c r="R791" s="75">
        <f t="shared" si="156"/>
        <v>0</v>
      </c>
      <c r="S791" s="75" t="e">
        <f t="shared" si="157"/>
        <v>#DIV/0!</v>
      </c>
      <c r="U791" s="306" t="e">
        <f t="shared" si="158"/>
        <v>#DIV/0!</v>
      </c>
    </row>
    <row r="792" spans="4:21" x14ac:dyDescent="0.35">
      <c r="D792" s="3"/>
      <c r="G792" s="3" t="s">
        <v>87</v>
      </c>
      <c r="M792" s="3"/>
      <c r="N792" s="356" t="e" cm="1">
        <f t="array" ref="N792">_xlfn.IFS(I792="AEX",H792/400,I792="RP",H792/200)</f>
        <v>#N/A</v>
      </c>
      <c r="P792" s="75" t="e">
        <f t="shared" si="155"/>
        <v>#DIV/0!</v>
      </c>
      <c r="Q792" s="3" t="e" cm="1">
        <f t="array" ref="Q792">_xlfn.IFS(P792&lt;200, "10", P792&lt;400, "12", P792&lt;600, "14", P792&gt;600, "16")</f>
        <v>#DIV/0!</v>
      </c>
      <c r="R792" s="75">
        <f t="shared" si="156"/>
        <v>0</v>
      </c>
      <c r="S792" s="75" t="e">
        <f t="shared" si="157"/>
        <v>#DIV/0!</v>
      </c>
      <c r="U792" s="306" t="e">
        <f t="shared" si="158"/>
        <v>#DIV/0!</v>
      </c>
    </row>
    <row r="793" spans="4:21" x14ac:dyDescent="0.35">
      <c r="D793" s="3"/>
      <c r="G793" s="3" t="s">
        <v>87</v>
      </c>
      <c r="M793" s="3"/>
      <c r="N793" s="356" t="e" cm="1">
        <f t="array" ref="N793">_xlfn.IFS(I793="AEX",H793/400,I793="RP",H793/200)</f>
        <v>#N/A</v>
      </c>
      <c r="P793" s="75" t="e">
        <f t="shared" si="155"/>
        <v>#DIV/0!</v>
      </c>
      <c r="Q793" s="3" t="e" cm="1">
        <f t="array" ref="Q793">_xlfn.IFS(P793&lt;200, "10", P793&lt;400, "12", P793&lt;600, "14", P793&gt;600, "16")</f>
        <v>#DIV/0!</v>
      </c>
      <c r="R793" s="75">
        <f t="shared" si="156"/>
        <v>0</v>
      </c>
      <c r="S793" s="75" t="e">
        <f t="shared" si="157"/>
        <v>#DIV/0!</v>
      </c>
      <c r="U793" s="306" t="e">
        <f t="shared" si="158"/>
        <v>#DIV/0!</v>
      </c>
    </row>
    <row r="794" spans="4:21" x14ac:dyDescent="0.35">
      <c r="D794" s="3"/>
      <c r="G794" s="3" t="s">
        <v>87</v>
      </c>
      <c r="M794" s="3"/>
      <c r="N794" s="356" t="e" cm="1">
        <f t="array" ref="N794">_xlfn.IFS(I794="AEX",H794/400,I794="RP",H794/200)</f>
        <v>#N/A</v>
      </c>
      <c r="P794" s="75" t="e">
        <f t="shared" si="155"/>
        <v>#DIV/0!</v>
      </c>
      <c r="Q794" s="3" t="e" cm="1">
        <f t="array" ref="Q794">_xlfn.IFS(P794&lt;200, "10", P794&lt;400, "12", P794&lt;600, "14", P794&gt;600, "16")</f>
        <v>#DIV/0!</v>
      </c>
      <c r="R794" s="75">
        <f t="shared" si="156"/>
        <v>0</v>
      </c>
      <c r="S794" s="75" t="e">
        <f t="shared" si="157"/>
        <v>#DIV/0!</v>
      </c>
      <c r="U794" s="306" t="e">
        <f t="shared" si="158"/>
        <v>#DIV/0!</v>
      </c>
    </row>
    <row r="795" spans="4:21" x14ac:dyDescent="0.35">
      <c r="D795" s="3"/>
      <c r="G795" s="3" t="s">
        <v>87</v>
      </c>
      <c r="M795" s="3"/>
      <c r="N795" s="356" t="e" cm="1">
        <f t="array" ref="N795">_xlfn.IFS(I795="AEX",H795/400,I795="RP",H795/200)</f>
        <v>#N/A</v>
      </c>
      <c r="P795" s="75" t="e">
        <f t="shared" si="155"/>
        <v>#DIV/0!</v>
      </c>
      <c r="Q795" s="3" t="e" cm="1">
        <f t="array" ref="Q795">_xlfn.IFS(P795&lt;200, "10", P795&lt;400, "12", P795&lt;600, "14", P795&gt;600, "16")</f>
        <v>#DIV/0!</v>
      </c>
      <c r="R795" s="75">
        <f t="shared" si="156"/>
        <v>0</v>
      </c>
      <c r="S795" s="75" t="e">
        <f t="shared" si="157"/>
        <v>#DIV/0!</v>
      </c>
      <c r="U795" s="306" t="e">
        <f t="shared" si="158"/>
        <v>#DIV/0!</v>
      </c>
    </row>
    <row r="796" spans="4:21" x14ac:dyDescent="0.35">
      <c r="D796" s="3"/>
      <c r="G796" s="3" t="s">
        <v>87</v>
      </c>
      <c r="M796" s="3"/>
      <c r="N796" s="356" t="e" cm="1">
        <f t="array" ref="N796">_xlfn.IFS(I796="AEX",H796/400,I796="RP",H796/200)</f>
        <v>#N/A</v>
      </c>
      <c r="P796" s="75" t="e">
        <f t="shared" si="155"/>
        <v>#DIV/0!</v>
      </c>
      <c r="Q796" s="3" t="e" cm="1">
        <f t="array" ref="Q796">_xlfn.IFS(P796&lt;200, "10", P796&lt;400, "12", P796&lt;600, "14", P796&gt;600, "16")</f>
        <v>#DIV/0!</v>
      </c>
      <c r="R796" s="75">
        <f t="shared" si="156"/>
        <v>0</v>
      </c>
      <c r="S796" s="75" t="e">
        <f t="shared" si="157"/>
        <v>#DIV/0!</v>
      </c>
      <c r="U796" s="306" t="e">
        <f t="shared" si="158"/>
        <v>#DIV/0!</v>
      </c>
    </row>
    <row r="797" spans="4:21" x14ac:dyDescent="0.35">
      <c r="D797" s="3"/>
      <c r="G797" s="3" t="s">
        <v>87</v>
      </c>
      <c r="M797" s="3"/>
      <c r="N797" s="356" t="e" cm="1">
        <f t="array" ref="N797">_xlfn.IFS(I797="AEX",H797/400,I797="RP",H797/200)</f>
        <v>#N/A</v>
      </c>
      <c r="P797" s="75" t="e">
        <f t="shared" si="155"/>
        <v>#DIV/0!</v>
      </c>
      <c r="Q797" s="3" t="e" cm="1">
        <f t="array" ref="Q797">_xlfn.IFS(P797&lt;200, "10", P797&lt;400, "12", P797&lt;600, "14", P797&gt;600, "16")</f>
        <v>#DIV/0!</v>
      </c>
      <c r="R797" s="75">
        <f t="shared" si="156"/>
        <v>0</v>
      </c>
      <c r="S797" s="75" t="e">
        <f t="shared" si="157"/>
        <v>#DIV/0!</v>
      </c>
      <c r="U797" s="306" t="e">
        <f t="shared" si="158"/>
        <v>#DIV/0!</v>
      </c>
    </row>
    <row r="798" spans="4:21" x14ac:dyDescent="0.35">
      <c r="D798" s="3"/>
      <c r="G798" s="3" t="s">
        <v>87</v>
      </c>
      <c r="M798" s="3"/>
      <c r="N798" s="356" t="e" cm="1">
        <f t="array" ref="N798">_xlfn.IFS(I798="AEX",H798/400,I798="RP",H798/200)</f>
        <v>#N/A</v>
      </c>
      <c r="P798" s="75" t="e">
        <f t="shared" si="155"/>
        <v>#DIV/0!</v>
      </c>
      <c r="Q798" s="3" t="e" cm="1">
        <f t="array" ref="Q798">_xlfn.IFS(P798&lt;200, "10", P798&lt;400, "12", P798&lt;600, "14", P798&gt;600, "16")</f>
        <v>#DIV/0!</v>
      </c>
      <c r="R798" s="75">
        <f t="shared" si="156"/>
        <v>0</v>
      </c>
      <c r="S798" s="75" t="e">
        <f t="shared" si="157"/>
        <v>#DIV/0!</v>
      </c>
      <c r="U798" s="306" t="e">
        <f t="shared" si="158"/>
        <v>#DIV/0!</v>
      </c>
    </row>
    <row r="799" spans="4:21" x14ac:dyDescent="0.35">
      <c r="D799" s="3"/>
      <c r="G799" s="3" t="s">
        <v>87</v>
      </c>
      <c r="M799" s="3"/>
      <c r="N799" s="356" t="e" cm="1">
        <f t="array" ref="N799">_xlfn.IFS(I799="AEX",H799/400,I799="RP",H799/200)</f>
        <v>#N/A</v>
      </c>
      <c r="P799" s="75" t="e">
        <f t="shared" si="155"/>
        <v>#DIV/0!</v>
      </c>
      <c r="Q799" s="3" t="e" cm="1">
        <f t="array" ref="Q799">_xlfn.IFS(P799&lt;200, "10", P799&lt;400, "12", P799&lt;600, "14", P799&gt;600, "16")</f>
        <v>#DIV/0!</v>
      </c>
      <c r="R799" s="75">
        <f t="shared" si="156"/>
        <v>0</v>
      </c>
      <c r="S799" s="75" t="e">
        <f t="shared" si="157"/>
        <v>#DIV/0!</v>
      </c>
      <c r="U799" s="306" t="e">
        <f t="shared" si="158"/>
        <v>#DIV/0!</v>
      </c>
    </row>
    <row r="800" spans="4:21" x14ac:dyDescent="0.35">
      <c r="D800" s="3"/>
      <c r="G800" s="3" t="s">
        <v>87</v>
      </c>
      <c r="M800" s="3"/>
      <c r="N800" s="356" t="e" cm="1">
        <f t="array" ref="N800">_xlfn.IFS(I800="AEX",H800/400,I800="RP",H800/200)</f>
        <v>#N/A</v>
      </c>
      <c r="P800" s="75" t="e">
        <f t="shared" si="155"/>
        <v>#DIV/0!</v>
      </c>
      <c r="Q800" s="3" t="e" cm="1">
        <f t="array" ref="Q800">_xlfn.IFS(P800&lt;200, "10", P800&lt;400, "12", P800&lt;600, "14", P800&gt;600, "16")</f>
        <v>#DIV/0!</v>
      </c>
      <c r="R800" s="75">
        <f t="shared" si="156"/>
        <v>0</v>
      </c>
      <c r="S800" s="75" t="e">
        <f t="shared" si="157"/>
        <v>#DIV/0!</v>
      </c>
      <c r="U800" s="306" t="e">
        <f t="shared" si="158"/>
        <v>#DIV/0!</v>
      </c>
    </row>
    <row r="801" spans="4:21" x14ac:dyDescent="0.35">
      <c r="D801" s="3"/>
      <c r="G801" s="3" t="s">
        <v>87</v>
      </c>
      <c r="M801" s="3"/>
      <c r="N801" s="356" t="e" cm="1">
        <f t="array" ref="N801">_xlfn.IFS(I801="AEX",H801/400,I801="RP",H801/200)</f>
        <v>#N/A</v>
      </c>
      <c r="P801" s="75" t="e">
        <f t="shared" si="155"/>
        <v>#DIV/0!</v>
      </c>
      <c r="Q801" s="3" t="e" cm="1">
        <f t="array" ref="Q801">_xlfn.IFS(P801&lt;200, "10", P801&lt;400, "12", P801&lt;600, "14", P801&gt;600, "16")</f>
        <v>#DIV/0!</v>
      </c>
      <c r="R801" s="75">
        <f t="shared" si="156"/>
        <v>0</v>
      </c>
      <c r="S801" s="75" t="e">
        <f t="shared" si="157"/>
        <v>#DIV/0!</v>
      </c>
      <c r="U801" s="306" t="e">
        <f t="shared" si="158"/>
        <v>#DIV/0!</v>
      </c>
    </row>
    <row r="802" spans="4:21" x14ac:dyDescent="0.35">
      <c r="D802" s="3"/>
      <c r="G802" s="3" t="s">
        <v>87</v>
      </c>
      <c r="M802" s="3"/>
      <c r="N802" s="356" t="e" cm="1">
        <f t="array" ref="N802">_xlfn.IFS(I802="AEX",H802/400,I802="RP",H802/200)</f>
        <v>#N/A</v>
      </c>
      <c r="P802" s="75" t="e">
        <f t="shared" si="155"/>
        <v>#DIV/0!</v>
      </c>
      <c r="Q802" s="3" t="e" cm="1">
        <f t="array" ref="Q802">_xlfn.IFS(P802&lt;200, "10", P802&lt;400, "12", P802&lt;600, "14", P802&gt;600, "16")</f>
        <v>#DIV/0!</v>
      </c>
      <c r="R802" s="75">
        <f t="shared" si="156"/>
        <v>0</v>
      </c>
      <c r="S802" s="75" t="e">
        <f t="shared" si="157"/>
        <v>#DIV/0!</v>
      </c>
      <c r="U802" s="306" t="e">
        <f t="shared" si="158"/>
        <v>#DIV/0!</v>
      </c>
    </row>
    <row r="803" spans="4:21" x14ac:dyDescent="0.35">
      <c r="D803" s="3"/>
      <c r="G803" s="3" t="s">
        <v>87</v>
      </c>
      <c r="M803" s="3"/>
      <c r="N803" s="356" t="e" cm="1">
        <f t="array" ref="N803">_xlfn.IFS(I803="AEX",H803/400,I803="RP",H803/200)</f>
        <v>#N/A</v>
      </c>
      <c r="P803" s="75" t="e">
        <f t="shared" si="155"/>
        <v>#DIV/0!</v>
      </c>
      <c r="Q803" s="3" t="e" cm="1">
        <f t="array" ref="Q803">_xlfn.IFS(P803&lt;200, "10", P803&lt;400, "12", P803&lt;600, "14", P803&gt;600, "16")</f>
        <v>#DIV/0!</v>
      </c>
      <c r="R803" s="75">
        <f t="shared" si="156"/>
        <v>0</v>
      </c>
      <c r="S803" s="75" t="e">
        <f t="shared" si="157"/>
        <v>#DIV/0!</v>
      </c>
      <c r="U803" s="306" t="e">
        <f t="shared" si="158"/>
        <v>#DIV/0!</v>
      </c>
    </row>
    <row r="804" spans="4:21" x14ac:dyDescent="0.35">
      <c r="D804" s="3"/>
      <c r="G804" s="3" t="s">
        <v>87</v>
      </c>
      <c r="M804" s="3"/>
      <c r="N804" s="356" t="e" cm="1">
        <f t="array" ref="N804">_xlfn.IFS(I804="AEX",H804/400,I804="RP",H804/200)</f>
        <v>#N/A</v>
      </c>
      <c r="P804" s="75" t="e">
        <f t="shared" si="155"/>
        <v>#DIV/0!</v>
      </c>
      <c r="Q804" s="3" t="e" cm="1">
        <f t="array" ref="Q804">_xlfn.IFS(P804&lt;200, "10", P804&lt;400, "12", P804&lt;600, "14", P804&gt;600, "16")</f>
        <v>#DIV/0!</v>
      </c>
      <c r="R804" s="75">
        <f t="shared" si="156"/>
        <v>0</v>
      </c>
      <c r="S804" s="75" t="e">
        <f t="shared" si="157"/>
        <v>#DIV/0!</v>
      </c>
      <c r="U804" s="306" t="e">
        <f t="shared" si="158"/>
        <v>#DIV/0!</v>
      </c>
    </row>
    <row r="805" spans="4:21" x14ac:dyDescent="0.35">
      <c r="D805" s="3"/>
      <c r="G805" s="3" t="s">
        <v>87</v>
      </c>
      <c r="M805" s="3"/>
      <c r="N805" s="356" t="e" cm="1">
        <f t="array" ref="N805">_xlfn.IFS(I805="AEX",H805/400,I805="RP",H805/200)</f>
        <v>#N/A</v>
      </c>
      <c r="P805" s="75" t="e">
        <f t="shared" si="155"/>
        <v>#DIV/0!</v>
      </c>
      <c r="Q805" s="3" t="e" cm="1">
        <f t="array" ref="Q805">_xlfn.IFS(P805&lt;200, "10", P805&lt;400, "12", P805&lt;600, "14", P805&gt;600, "16")</f>
        <v>#DIV/0!</v>
      </c>
      <c r="R805" s="75">
        <f t="shared" si="156"/>
        <v>0</v>
      </c>
      <c r="S805" s="75" t="e">
        <f t="shared" si="157"/>
        <v>#DIV/0!</v>
      </c>
      <c r="U805" s="306" t="e">
        <f t="shared" si="158"/>
        <v>#DIV/0!</v>
      </c>
    </row>
    <row r="806" spans="4:21" x14ac:dyDescent="0.35">
      <c r="D806" s="3"/>
      <c r="G806" s="3" t="s">
        <v>87</v>
      </c>
      <c r="M806" s="3"/>
      <c r="N806" s="356" t="e" cm="1">
        <f t="array" ref="N806">_xlfn.IFS(I806="AEX",H806/400,I806="RP",H806/200)</f>
        <v>#N/A</v>
      </c>
      <c r="P806" s="75" t="e">
        <f t="shared" si="155"/>
        <v>#DIV/0!</v>
      </c>
      <c r="Q806" s="3" t="e" cm="1">
        <f t="array" ref="Q806">_xlfn.IFS(P806&lt;200, "10", P806&lt;400, "12", P806&lt;600, "14", P806&gt;600, "16")</f>
        <v>#DIV/0!</v>
      </c>
      <c r="R806" s="75">
        <f t="shared" si="156"/>
        <v>0</v>
      </c>
      <c r="S806" s="75" t="e">
        <f t="shared" si="157"/>
        <v>#DIV/0!</v>
      </c>
      <c r="U806" s="306" t="e">
        <f t="shared" si="158"/>
        <v>#DIV/0!</v>
      </c>
    </row>
    <row r="807" spans="4:21" x14ac:dyDescent="0.35">
      <c r="D807" s="3"/>
      <c r="G807" s="3" t="s">
        <v>87</v>
      </c>
      <c r="M807" s="3"/>
      <c r="N807" s="356" t="e" cm="1">
        <f t="array" ref="N807">_xlfn.IFS(I807="AEX",H807/400,I807="RP",H807/200)</f>
        <v>#N/A</v>
      </c>
      <c r="P807" s="75" t="e">
        <f t="shared" si="155"/>
        <v>#DIV/0!</v>
      </c>
      <c r="Q807" s="3" t="e" cm="1">
        <f t="array" ref="Q807">_xlfn.IFS(P807&lt;200, "10", P807&lt;400, "12", P807&lt;600, "14", P807&gt;600, "16")</f>
        <v>#DIV/0!</v>
      </c>
      <c r="R807" s="75">
        <f t="shared" si="156"/>
        <v>0</v>
      </c>
      <c r="S807" s="75" t="e">
        <f t="shared" si="157"/>
        <v>#DIV/0!</v>
      </c>
      <c r="U807" s="306" t="e">
        <f t="shared" si="158"/>
        <v>#DIV/0!</v>
      </c>
    </row>
    <row r="808" spans="4:21" x14ac:dyDescent="0.35">
      <c r="D808" s="3"/>
      <c r="G808" s="3" t="s">
        <v>87</v>
      </c>
      <c r="M808" s="3"/>
      <c r="N808" s="356" t="e" cm="1">
        <f t="array" ref="N808">_xlfn.IFS(I808="AEX",H808/400,I808="RP",H808/200)</f>
        <v>#N/A</v>
      </c>
      <c r="P808" s="75" t="e">
        <f t="shared" si="155"/>
        <v>#DIV/0!</v>
      </c>
      <c r="Q808" s="3" t="e" cm="1">
        <f t="array" ref="Q808">_xlfn.IFS(P808&lt;200, "10", P808&lt;400, "12", P808&lt;600, "14", P808&gt;600, "16")</f>
        <v>#DIV/0!</v>
      </c>
      <c r="R808" s="75">
        <f t="shared" si="156"/>
        <v>0</v>
      </c>
      <c r="S808" s="75" t="e">
        <f t="shared" si="157"/>
        <v>#DIV/0!</v>
      </c>
      <c r="U808" s="306" t="e">
        <f t="shared" si="158"/>
        <v>#DIV/0!</v>
      </c>
    </row>
    <row r="809" spans="4:21" x14ac:dyDescent="0.35">
      <c r="D809" s="3"/>
      <c r="G809" s="3" t="s">
        <v>87</v>
      </c>
      <c r="M809" s="3"/>
      <c r="N809" s="356" t="e" cm="1">
        <f t="array" ref="N809">_xlfn.IFS(I809="AEX",H809/400,I809="RP",H809/200)</f>
        <v>#N/A</v>
      </c>
      <c r="P809" s="75" t="e">
        <f t="shared" si="155"/>
        <v>#DIV/0!</v>
      </c>
      <c r="Q809" s="3" t="e" cm="1">
        <f t="array" ref="Q809">_xlfn.IFS(P809&lt;200, "10", P809&lt;400, "12", P809&lt;600, "14", P809&gt;600, "16")</f>
        <v>#DIV/0!</v>
      </c>
      <c r="R809" s="75">
        <f t="shared" si="156"/>
        <v>0</v>
      </c>
      <c r="S809" s="75" t="e">
        <f t="shared" si="157"/>
        <v>#DIV/0!</v>
      </c>
      <c r="U809" s="306" t="e">
        <f t="shared" si="158"/>
        <v>#DIV/0!</v>
      </c>
    </row>
    <row r="810" spans="4:21" x14ac:dyDescent="0.35">
      <c r="D810" s="3"/>
      <c r="G810" s="3" t="s">
        <v>87</v>
      </c>
      <c r="M810" s="3"/>
      <c r="N810" s="356" t="e" cm="1">
        <f t="array" ref="N810">_xlfn.IFS(I810="AEX",H810/400,I810="RP",H810/200)</f>
        <v>#N/A</v>
      </c>
      <c r="P810" s="75" t="e">
        <f t="shared" ref="P810:P873" si="159">H810/O810</f>
        <v>#DIV/0!</v>
      </c>
      <c r="Q810" s="3" t="e" cm="1">
        <f t="array" ref="Q810">_xlfn.IFS(P810&lt;200, "10", P810&lt;400, "12", P810&lt;600, "14", P810&gt;600, "16")</f>
        <v>#DIV/0!</v>
      </c>
      <c r="R810" s="75">
        <f t="shared" ref="R810:R873" si="160">IF(I810="AEX",H810*0.3/400,H810*0.3/200)</f>
        <v>0</v>
      </c>
      <c r="S810" s="75" t="e">
        <f t="shared" si="157"/>
        <v>#DIV/0!</v>
      </c>
      <c r="U810" s="306" t="e">
        <f t="shared" si="158"/>
        <v>#DIV/0!</v>
      </c>
    </row>
    <row r="811" spans="4:21" x14ac:dyDescent="0.35">
      <c r="D811" s="3"/>
      <c r="G811" s="3" t="s">
        <v>87</v>
      </c>
      <c r="M811" s="3"/>
      <c r="N811" s="356" t="e" cm="1">
        <f t="array" ref="N811">_xlfn.IFS(I811="AEX",H811/400,I811="RP",H811/200)</f>
        <v>#N/A</v>
      </c>
      <c r="P811" s="75" t="e">
        <f t="shared" si="159"/>
        <v>#DIV/0!</v>
      </c>
      <c r="Q811" s="3" t="e" cm="1">
        <f t="array" ref="Q811">_xlfn.IFS(P811&lt;200, "10", P811&lt;400, "12", P811&lt;600, "14", P811&gt;600, "16")</f>
        <v>#DIV/0!</v>
      </c>
      <c r="R811" s="75">
        <f t="shared" si="160"/>
        <v>0</v>
      </c>
      <c r="S811" s="75" t="e">
        <f t="shared" si="157"/>
        <v>#DIV/0!</v>
      </c>
      <c r="U811" s="306" t="e">
        <f t="shared" si="158"/>
        <v>#DIV/0!</v>
      </c>
    </row>
    <row r="812" spans="4:21" x14ac:dyDescent="0.35">
      <c r="D812" s="3"/>
      <c r="G812" s="3" t="s">
        <v>87</v>
      </c>
      <c r="M812" s="3"/>
      <c r="N812" s="356" t="e" cm="1">
        <f t="array" ref="N812">_xlfn.IFS(I812="AEX",H812/400,I812="RP",H812/200)</f>
        <v>#N/A</v>
      </c>
      <c r="P812" s="75" t="e">
        <f t="shared" si="159"/>
        <v>#DIV/0!</v>
      </c>
      <c r="Q812" s="3" t="e" cm="1">
        <f t="array" ref="Q812">_xlfn.IFS(P812&lt;200, "10", P812&lt;400, "12", P812&lt;600, "14", P812&gt;600, "16")</f>
        <v>#DIV/0!</v>
      </c>
      <c r="R812" s="75">
        <f t="shared" si="160"/>
        <v>0</v>
      </c>
      <c r="S812" s="75" t="e">
        <f t="shared" si="157"/>
        <v>#DIV/0!</v>
      </c>
      <c r="U812" s="306" t="e">
        <f t="shared" si="158"/>
        <v>#DIV/0!</v>
      </c>
    </row>
    <row r="813" spans="4:21" x14ac:dyDescent="0.35">
      <c r="D813" s="3"/>
      <c r="G813" s="3" t="s">
        <v>87</v>
      </c>
      <c r="M813" s="3"/>
      <c r="N813" s="356" t="e" cm="1">
        <f t="array" ref="N813">_xlfn.IFS(I813="AEX",H813/400,I813="RP",H813/200)</f>
        <v>#N/A</v>
      </c>
      <c r="P813" s="75" t="e">
        <f t="shared" si="159"/>
        <v>#DIV/0!</v>
      </c>
      <c r="Q813" s="3" t="e" cm="1">
        <f t="array" ref="Q813">_xlfn.IFS(P813&lt;200, "10", P813&lt;400, "12", P813&lt;600, "14", P813&gt;600, "16")</f>
        <v>#DIV/0!</v>
      </c>
      <c r="R813" s="75">
        <f t="shared" si="160"/>
        <v>0</v>
      </c>
      <c r="S813" s="75" t="e">
        <f t="shared" si="157"/>
        <v>#DIV/0!</v>
      </c>
      <c r="U813" s="306" t="e">
        <f t="shared" si="158"/>
        <v>#DIV/0!</v>
      </c>
    </row>
    <row r="814" spans="4:21" x14ac:dyDescent="0.35">
      <c r="D814" s="3"/>
      <c r="G814" s="3" t="s">
        <v>87</v>
      </c>
      <c r="M814" s="3"/>
      <c r="N814" s="356" t="e" cm="1">
        <f t="array" ref="N814">_xlfn.IFS(I814="AEX",H814/400,I814="RP",H814/200)</f>
        <v>#N/A</v>
      </c>
      <c r="P814" s="75" t="e">
        <f t="shared" si="159"/>
        <v>#DIV/0!</v>
      </c>
      <c r="Q814" s="3" t="e" cm="1">
        <f t="array" ref="Q814">_xlfn.IFS(P814&lt;200, "10", P814&lt;400, "12", P814&lt;600, "14", P814&gt;600, "16")</f>
        <v>#DIV/0!</v>
      </c>
      <c r="R814" s="75">
        <f t="shared" si="160"/>
        <v>0</v>
      </c>
      <c r="S814" s="75" t="e">
        <f t="shared" si="157"/>
        <v>#DIV/0!</v>
      </c>
      <c r="U814" s="306" t="e">
        <f t="shared" si="158"/>
        <v>#DIV/0!</v>
      </c>
    </row>
    <row r="815" spans="4:21" x14ac:dyDescent="0.35">
      <c r="D815" s="3"/>
      <c r="G815" s="3" t="s">
        <v>87</v>
      </c>
      <c r="M815" s="3"/>
      <c r="N815" s="356" t="e" cm="1">
        <f t="array" ref="N815">_xlfn.IFS(I815="AEX",H815/400,I815="RP",H815/200)</f>
        <v>#N/A</v>
      </c>
      <c r="P815" s="75" t="e">
        <f t="shared" si="159"/>
        <v>#DIV/0!</v>
      </c>
      <c r="Q815" s="3" t="e" cm="1">
        <f t="array" ref="Q815">_xlfn.IFS(P815&lt;200, "10", P815&lt;400, "12", P815&lt;600, "14", P815&gt;600, "16")</f>
        <v>#DIV/0!</v>
      </c>
      <c r="R815" s="75">
        <f t="shared" si="160"/>
        <v>0</v>
      </c>
      <c r="S815" s="75" t="e">
        <f t="shared" si="157"/>
        <v>#DIV/0!</v>
      </c>
      <c r="U815" s="306" t="e">
        <f t="shared" si="158"/>
        <v>#DIV/0!</v>
      </c>
    </row>
    <row r="816" spans="4:21" x14ac:dyDescent="0.35">
      <c r="D816" s="3"/>
      <c r="G816" s="3" t="s">
        <v>87</v>
      </c>
      <c r="M816" s="3"/>
      <c r="N816" s="356" t="e" cm="1">
        <f t="array" ref="N816">_xlfn.IFS(I816="AEX",H816/400,I816="RP",H816/200)</f>
        <v>#N/A</v>
      </c>
      <c r="P816" s="75" t="e">
        <f t="shared" si="159"/>
        <v>#DIV/0!</v>
      </c>
      <c r="Q816" s="3" t="e" cm="1">
        <f t="array" ref="Q816">_xlfn.IFS(P816&lt;200, "10", P816&lt;400, "12", P816&lt;600, "14", P816&gt;600, "16")</f>
        <v>#DIV/0!</v>
      </c>
      <c r="R816" s="75">
        <f t="shared" si="160"/>
        <v>0</v>
      </c>
      <c r="S816" s="75" t="e">
        <f t="shared" si="157"/>
        <v>#DIV/0!</v>
      </c>
      <c r="U816" s="306" t="e">
        <f t="shared" si="158"/>
        <v>#DIV/0!</v>
      </c>
    </row>
    <row r="817" spans="4:21" x14ac:dyDescent="0.35">
      <c r="D817" s="3"/>
      <c r="G817" s="3" t="s">
        <v>87</v>
      </c>
      <c r="M817" s="3"/>
      <c r="N817" s="356" t="e" cm="1">
        <f t="array" ref="N817">_xlfn.IFS(I817="AEX",H817/400,I817="RP",H817/200)</f>
        <v>#N/A</v>
      </c>
      <c r="P817" s="75" t="e">
        <f t="shared" si="159"/>
        <v>#DIV/0!</v>
      </c>
      <c r="Q817" s="3" t="e" cm="1">
        <f t="array" ref="Q817">_xlfn.IFS(P817&lt;200, "10", P817&lt;400, "12", P817&lt;600, "14", P817&gt;600, "16")</f>
        <v>#DIV/0!</v>
      </c>
      <c r="R817" s="75">
        <f t="shared" si="160"/>
        <v>0</v>
      </c>
      <c r="S817" s="75" t="e">
        <f t="shared" si="157"/>
        <v>#DIV/0!</v>
      </c>
      <c r="U817" s="306" t="e">
        <f t="shared" si="158"/>
        <v>#DIV/0!</v>
      </c>
    </row>
    <row r="818" spans="4:21" x14ac:dyDescent="0.35">
      <c r="D818" s="3"/>
      <c r="G818" s="3" t="s">
        <v>87</v>
      </c>
      <c r="M818" s="3"/>
      <c r="N818" s="356" t="e" cm="1">
        <f t="array" ref="N818">_xlfn.IFS(I818="AEX",H818/400,I818="RP",H818/200)</f>
        <v>#N/A</v>
      </c>
      <c r="P818" s="75" t="e">
        <f t="shared" si="159"/>
        <v>#DIV/0!</v>
      </c>
      <c r="Q818" s="3" t="e" cm="1">
        <f t="array" ref="Q818">_xlfn.IFS(P818&lt;200, "10", P818&lt;400, "12", P818&lt;600, "14", P818&gt;600, "16")</f>
        <v>#DIV/0!</v>
      </c>
      <c r="R818" s="75">
        <f t="shared" si="160"/>
        <v>0</v>
      </c>
      <c r="S818" s="75" t="e">
        <f t="shared" si="157"/>
        <v>#DIV/0!</v>
      </c>
      <c r="U818" s="306" t="e">
        <f t="shared" si="158"/>
        <v>#DIV/0!</v>
      </c>
    </row>
    <row r="819" spans="4:21" x14ac:dyDescent="0.35">
      <c r="D819" s="3"/>
      <c r="G819" s="3" t="s">
        <v>87</v>
      </c>
      <c r="M819" s="3"/>
      <c r="N819" s="356" t="e" cm="1">
        <f t="array" ref="N819">_xlfn.IFS(I819="AEX",H819/400,I819="RP",H819/200)</f>
        <v>#N/A</v>
      </c>
      <c r="P819" s="75" t="e">
        <f t="shared" si="159"/>
        <v>#DIV/0!</v>
      </c>
      <c r="Q819" s="3" t="e" cm="1">
        <f t="array" ref="Q819">_xlfn.IFS(P819&lt;200, "10", P819&lt;400, "12", P819&lt;600, "14", P819&gt;600, "16")</f>
        <v>#DIV/0!</v>
      </c>
      <c r="R819" s="75">
        <f t="shared" si="160"/>
        <v>0</v>
      </c>
      <c r="S819" s="75" t="e">
        <f t="shared" ref="S819:S882" si="161">R819/O819</f>
        <v>#DIV/0!</v>
      </c>
      <c r="U819" s="306" t="e">
        <f t="shared" si="158"/>
        <v>#DIV/0!</v>
      </c>
    </row>
    <row r="820" spans="4:21" x14ac:dyDescent="0.35">
      <c r="D820" s="3"/>
      <c r="G820" s="3" t="s">
        <v>87</v>
      </c>
      <c r="M820" s="3"/>
      <c r="N820" s="356" t="e" cm="1">
        <f t="array" ref="N820">_xlfn.IFS(I820="AEX",H820/400,I820="RP",H820/200)</f>
        <v>#N/A</v>
      </c>
      <c r="P820" s="75" t="e">
        <f t="shared" si="159"/>
        <v>#DIV/0!</v>
      </c>
      <c r="Q820" s="3" t="e" cm="1">
        <f t="array" ref="Q820">_xlfn.IFS(P820&lt;200, "10", P820&lt;400, "12", P820&lt;600, "14", P820&gt;600, "16")</f>
        <v>#DIV/0!</v>
      </c>
      <c r="R820" s="75">
        <f t="shared" si="160"/>
        <v>0</v>
      </c>
      <c r="S820" s="75" t="e">
        <f t="shared" si="161"/>
        <v>#DIV/0!</v>
      </c>
      <c r="U820" s="306" t="e">
        <f t="shared" si="158"/>
        <v>#DIV/0!</v>
      </c>
    </row>
    <row r="821" spans="4:21" x14ac:dyDescent="0.35">
      <c r="D821" s="3"/>
      <c r="G821" s="3" t="s">
        <v>87</v>
      </c>
      <c r="M821" s="3"/>
      <c r="N821" s="356" t="e" cm="1">
        <f t="array" ref="N821">_xlfn.IFS(I821="AEX",H821/400,I821="RP",H821/200)</f>
        <v>#N/A</v>
      </c>
      <c r="P821" s="75" t="e">
        <f t="shared" si="159"/>
        <v>#DIV/0!</v>
      </c>
      <c r="Q821" s="3" t="e" cm="1">
        <f t="array" ref="Q821">_xlfn.IFS(P821&lt;200, "10", P821&lt;400, "12", P821&lt;600, "14", P821&gt;600, "16")</f>
        <v>#DIV/0!</v>
      </c>
      <c r="R821" s="75">
        <f t="shared" si="160"/>
        <v>0</v>
      </c>
      <c r="S821" s="75" t="e">
        <f t="shared" si="161"/>
        <v>#DIV/0!</v>
      </c>
      <c r="U821" s="306" t="e">
        <f t="shared" si="158"/>
        <v>#DIV/0!</v>
      </c>
    </row>
    <row r="822" spans="4:21" x14ac:dyDescent="0.35">
      <c r="D822" s="3"/>
      <c r="G822" s="3" t="s">
        <v>87</v>
      </c>
      <c r="M822" s="3"/>
      <c r="N822" s="356" t="e" cm="1">
        <f t="array" ref="N822">_xlfn.IFS(I822="AEX",H822/400,I822="RP",H822/200)</f>
        <v>#N/A</v>
      </c>
      <c r="P822" s="75" t="e">
        <f t="shared" si="159"/>
        <v>#DIV/0!</v>
      </c>
      <c r="Q822" s="3" t="e" cm="1">
        <f t="array" ref="Q822">_xlfn.IFS(P822&lt;200, "10", P822&lt;400, "12", P822&lt;600, "14", P822&gt;600, "16")</f>
        <v>#DIV/0!</v>
      </c>
      <c r="R822" s="75">
        <f t="shared" si="160"/>
        <v>0</v>
      </c>
      <c r="S822" s="75" t="e">
        <f t="shared" si="161"/>
        <v>#DIV/0!</v>
      </c>
      <c r="U822" s="306" t="e">
        <f t="shared" si="158"/>
        <v>#DIV/0!</v>
      </c>
    </row>
    <row r="823" spans="4:21" x14ac:dyDescent="0.35">
      <c r="D823" s="3"/>
      <c r="G823" s="3" t="s">
        <v>87</v>
      </c>
      <c r="M823" s="3"/>
      <c r="N823" s="356" t="e" cm="1">
        <f t="array" ref="N823">_xlfn.IFS(I823="AEX",H823/400,I823="RP",H823/200)</f>
        <v>#N/A</v>
      </c>
      <c r="P823" s="75" t="e">
        <f t="shared" si="159"/>
        <v>#DIV/0!</v>
      </c>
      <c r="Q823" s="3" t="e" cm="1">
        <f t="array" ref="Q823">_xlfn.IFS(P823&lt;200, "10", P823&lt;400, "12", P823&lt;600, "14", P823&gt;600, "16")</f>
        <v>#DIV/0!</v>
      </c>
      <c r="R823" s="75">
        <f t="shared" si="160"/>
        <v>0</v>
      </c>
      <c r="S823" s="75" t="e">
        <f t="shared" si="161"/>
        <v>#DIV/0!</v>
      </c>
      <c r="U823" s="306" t="e">
        <f t="shared" si="158"/>
        <v>#DIV/0!</v>
      </c>
    </row>
    <row r="824" spans="4:21" x14ac:dyDescent="0.35">
      <c r="D824" s="3"/>
      <c r="G824" s="3" t="s">
        <v>87</v>
      </c>
      <c r="M824" s="3"/>
      <c r="N824" s="356" t="e" cm="1">
        <f t="array" ref="N824">_xlfn.IFS(I824="AEX",H824/400,I824="RP",H824/200)</f>
        <v>#N/A</v>
      </c>
      <c r="P824" s="75" t="e">
        <f t="shared" si="159"/>
        <v>#DIV/0!</v>
      </c>
      <c r="Q824" s="3" t="e" cm="1">
        <f t="array" ref="Q824">_xlfn.IFS(P824&lt;200, "10", P824&lt;400, "12", P824&lt;600, "14", P824&gt;600, "16")</f>
        <v>#DIV/0!</v>
      </c>
      <c r="R824" s="75">
        <f t="shared" si="160"/>
        <v>0</v>
      </c>
      <c r="S824" s="75" t="e">
        <f t="shared" si="161"/>
        <v>#DIV/0!</v>
      </c>
      <c r="U824" s="306" t="e">
        <f t="shared" si="158"/>
        <v>#DIV/0!</v>
      </c>
    </row>
    <row r="825" spans="4:21" x14ac:dyDescent="0.35">
      <c r="D825" s="3"/>
      <c r="G825" s="3" t="s">
        <v>87</v>
      </c>
      <c r="M825" s="3"/>
      <c r="N825" s="356" t="e" cm="1">
        <f t="array" ref="N825">_xlfn.IFS(I825="AEX",H825/400,I825="RP",H825/200)</f>
        <v>#N/A</v>
      </c>
      <c r="P825" s="75" t="e">
        <f t="shared" si="159"/>
        <v>#DIV/0!</v>
      </c>
      <c r="Q825" s="3" t="e" cm="1">
        <f t="array" ref="Q825">_xlfn.IFS(P825&lt;200, "10", P825&lt;400, "12", P825&lt;600, "14", P825&gt;600, "16")</f>
        <v>#DIV/0!</v>
      </c>
      <c r="R825" s="75">
        <f t="shared" si="160"/>
        <v>0</v>
      </c>
      <c r="S825" s="75" t="e">
        <f t="shared" si="161"/>
        <v>#DIV/0!</v>
      </c>
      <c r="U825" s="306" t="e">
        <f t="shared" si="158"/>
        <v>#DIV/0!</v>
      </c>
    </row>
    <row r="826" spans="4:21" x14ac:dyDescent="0.35">
      <c r="D826" s="3"/>
      <c r="G826" s="3" t="s">
        <v>87</v>
      </c>
      <c r="M826" s="3"/>
      <c r="N826" s="356" t="e" cm="1">
        <f t="array" ref="N826">_xlfn.IFS(I826="AEX",H826/400,I826="RP",H826/200)</f>
        <v>#N/A</v>
      </c>
      <c r="P826" s="75" t="e">
        <f t="shared" si="159"/>
        <v>#DIV/0!</v>
      </c>
      <c r="Q826" s="3" t="e" cm="1">
        <f t="array" ref="Q826">_xlfn.IFS(P826&lt;200, "10", P826&lt;400, "12", P826&lt;600, "14", P826&gt;600, "16")</f>
        <v>#DIV/0!</v>
      </c>
      <c r="R826" s="75">
        <f t="shared" si="160"/>
        <v>0</v>
      </c>
      <c r="S826" s="75" t="e">
        <f t="shared" si="161"/>
        <v>#DIV/0!</v>
      </c>
      <c r="U826" s="306" t="e">
        <f t="shared" si="158"/>
        <v>#DIV/0!</v>
      </c>
    </row>
    <row r="827" spans="4:21" x14ac:dyDescent="0.35">
      <c r="D827" s="3"/>
      <c r="G827" s="3" t="s">
        <v>87</v>
      </c>
      <c r="M827" s="3"/>
      <c r="N827" s="356" t="e" cm="1">
        <f t="array" ref="N827">_xlfn.IFS(I827="AEX",H827/400,I827="RP",H827/200)</f>
        <v>#N/A</v>
      </c>
      <c r="P827" s="75" t="e">
        <f t="shared" si="159"/>
        <v>#DIV/0!</v>
      </c>
      <c r="Q827" s="3" t="e" cm="1">
        <f t="array" ref="Q827">_xlfn.IFS(P827&lt;200, "10", P827&lt;400, "12", P827&lt;600, "14", P827&gt;600, "16")</f>
        <v>#DIV/0!</v>
      </c>
      <c r="R827" s="75">
        <f t="shared" si="160"/>
        <v>0</v>
      </c>
      <c r="S827" s="75" t="e">
        <f t="shared" si="161"/>
        <v>#DIV/0!</v>
      </c>
      <c r="U827" s="306" t="e">
        <f t="shared" si="158"/>
        <v>#DIV/0!</v>
      </c>
    </row>
    <row r="828" spans="4:21" x14ac:dyDescent="0.35">
      <c r="D828" s="3"/>
      <c r="G828" s="3" t="s">
        <v>87</v>
      </c>
      <c r="M828" s="3"/>
      <c r="N828" s="356" t="e" cm="1">
        <f t="array" ref="N828">_xlfn.IFS(I828="AEX",H828/400,I828="RP",H828/200)</f>
        <v>#N/A</v>
      </c>
      <c r="P828" s="75" t="e">
        <f t="shared" si="159"/>
        <v>#DIV/0!</v>
      </c>
      <c r="Q828" s="3" t="e" cm="1">
        <f t="array" ref="Q828">_xlfn.IFS(P828&lt;200, "10", P828&lt;400, "12", P828&lt;600, "14", P828&gt;600, "16")</f>
        <v>#DIV/0!</v>
      </c>
      <c r="R828" s="75">
        <f t="shared" si="160"/>
        <v>0</v>
      </c>
      <c r="S828" s="75" t="e">
        <f t="shared" si="161"/>
        <v>#DIV/0!</v>
      </c>
      <c r="U828" s="306" t="e">
        <f t="shared" si="158"/>
        <v>#DIV/0!</v>
      </c>
    </row>
    <row r="829" spans="4:21" x14ac:dyDescent="0.35">
      <c r="D829" s="3"/>
      <c r="G829" s="3" t="s">
        <v>87</v>
      </c>
      <c r="M829" s="3"/>
      <c r="N829" s="356" t="e" cm="1">
        <f t="array" ref="N829">_xlfn.IFS(I829="AEX",H829/400,I829="RP",H829/200)</f>
        <v>#N/A</v>
      </c>
      <c r="P829" s="75" t="e">
        <f t="shared" si="159"/>
        <v>#DIV/0!</v>
      </c>
      <c r="Q829" s="3" t="e" cm="1">
        <f t="array" ref="Q829">_xlfn.IFS(P829&lt;200, "10", P829&lt;400, "12", P829&lt;600, "14", P829&gt;600, "16")</f>
        <v>#DIV/0!</v>
      </c>
      <c r="R829" s="75">
        <f t="shared" si="160"/>
        <v>0</v>
      </c>
      <c r="S829" s="75" t="e">
        <f t="shared" si="161"/>
        <v>#DIV/0!</v>
      </c>
      <c r="U829" s="306" t="e">
        <f t="shared" si="158"/>
        <v>#DIV/0!</v>
      </c>
    </row>
    <row r="830" spans="4:21" x14ac:dyDescent="0.35">
      <c r="D830" s="3"/>
      <c r="G830" s="3" t="s">
        <v>87</v>
      </c>
      <c r="M830" s="3"/>
      <c r="N830" s="356" t="e" cm="1">
        <f t="array" ref="N830">_xlfn.IFS(I830="AEX",H830/400,I830="RP",H830/200)</f>
        <v>#N/A</v>
      </c>
      <c r="P830" s="75" t="e">
        <f t="shared" si="159"/>
        <v>#DIV/0!</v>
      </c>
      <c r="Q830" s="3" t="e" cm="1">
        <f t="array" ref="Q830">_xlfn.IFS(P830&lt;200, "10", P830&lt;400, "12", P830&lt;600, "14", P830&gt;600, "16")</f>
        <v>#DIV/0!</v>
      </c>
      <c r="R830" s="75">
        <f t="shared" si="160"/>
        <v>0</v>
      </c>
      <c r="S830" s="75" t="e">
        <f t="shared" si="161"/>
        <v>#DIV/0!</v>
      </c>
      <c r="U830" s="306" t="e">
        <f t="shared" si="158"/>
        <v>#DIV/0!</v>
      </c>
    </row>
    <row r="831" spans="4:21" x14ac:dyDescent="0.35">
      <c r="D831" s="3"/>
      <c r="G831" s="3" t="s">
        <v>87</v>
      </c>
      <c r="M831" s="3"/>
      <c r="N831" s="356" t="e" cm="1">
        <f t="array" ref="N831">_xlfn.IFS(I831="AEX",H831/400,I831="RP",H831/200)</f>
        <v>#N/A</v>
      </c>
      <c r="P831" s="75" t="e">
        <f t="shared" si="159"/>
        <v>#DIV/0!</v>
      </c>
      <c r="Q831" s="3" t="e" cm="1">
        <f t="array" ref="Q831">_xlfn.IFS(P831&lt;200, "10", P831&lt;400, "12", P831&lt;600, "14", P831&gt;600, "16")</f>
        <v>#DIV/0!</v>
      </c>
      <c r="R831" s="75">
        <f t="shared" si="160"/>
        <v>0</v>
      </c>
      <c r="S831" s="75" t="e">
        <f t="shared" si="161"/>
        <v>#DIV/0!</v>
      </c>
      <c r="U831" s="306" t="e">
        <f t="shared" si="158"/>
        <v>#DIV/0!</v>
      </c>
    </row>
    <row r="832" spans="4:21" x14ac:dyDescent="0.35">
      <c r="D832" s="3"/>
      <c r="G832" s="3" t="s">
        <v>87</v>
      </c>
      <c r="M832" s="3"/>
      <c r="N832" s="356" t="e" cm="1">
        <f t="array" ref="N832">_xlfn.IFS(I832="AEX",H832/400,I832="RP",H832/200)</f>
        <v>#N/A</v>
      </c>
      <c r="P832" s="75" t="e">
        <f t="shared" si="159"/>
        <v>#DIV/0!</v>
      </c>
      <c r="Q832" s="3" t="e" cm="1">
        <f t="array" ref="Q832">_xlfn.IFS(P832&lt;200, "10", P832&lt;400, "12", P832&lt;600, "14", P832&gt;600, "16")</f>
        <v>#DIV/0!</v>
      </c>
      <c r="R832" s="75">
        <f t="shared" si="160"/>
        <v>0</v>
      </c>
      <c r="S832" s="75" t="e">
        <f t="shared" si="161"/>
        <v>#DIV/0!</v>
      </c>
      <c r="U832" s="306" t="e">
        <f t="shared" si="158"/>
        <v>#DIV/0!</v>
      </c>
    </row>
    <row r="833" spans="4:21" x14ac:dyDescent="0.35">
      <c r="D833" s="3"/>
      <c r="G833" s="3" t="s">
        <v>87</v>
      </c>
      <c r="M833" s="3"/>
      <c r="N833" s="356" t="e" cm="1">
        <f t="array" ref="N833">_xlfn.IFS(I833="AEX",H833/400,I833="RP",H833/200)</f>
        <v>#N/A</v>
      </c>
      <c r="P833" s="75" t="e">
        <f t="shared" si="159"/>
        <v>#DIV/0!</v>
      </c>
      <c r="Q833" s="3" t="e" cm="1">
        <f t="array" ref="Q833">_xlfn.IFS(P833&lt;200, "10", P833&lt;400, "12", P833&lt;600, "14", P833&gt;600, "16")</f>
        <v>#DIV/0!</v>
      </c>
      <c r="R833" s="75">
        <f t="shared" si="160"/>
        <v>0</v>
      </c>
      <c r="S833" s="75" t="e">
        <f t="shared" si="161"/>
        <v>#DIV/0!</v>
      </c>
      <c r="U833" s="306" t="e">
        <f t="shared" si="158"/>
        <v>#DIV/0!</v>
      </c>
    </row>
    <row r="834" spans="4:21" x14ac:dyDescent="0.35">
      <c r="D834" s="3"/>
      <c r="G834" s="3" t="s">
        <v>87</v>
      </c>
      <c r="M834" s="3"/>
      <c r="N834" s="356" t="e" cm="1">
        <f t="array" ref="N834">_xlfn.IFS(I834="AEX",H834/400,I834="RP",H834/200)</f>
        <v>#N/A</v>
      </c>
      <c r="P834" s="75" t="e">
        <f t="shared" si="159"/>
        <v>#DIV/0!</v>
      </c>
      <c r="Q834" s="3" t="e" cm="1">
        <f t="array" ref="Q834">_xlfn.IFS(P834&lt;200, "10", P834&lt;400, "12", P834&lt;600, "14", P834&gt;600, "16")</f>
        <v>#DIV/0!</v>
      </c>
      <c r="R834" s="75">
        <f t="shared" si="160"/>
        <v>0</v>
      </c>
      <c r="S834" s="75" t="e">
        <f t="shared" si="161"/>
        <v>#DIV/0!</v>
      </c>
      <c r="U834" s="306" t="e">
        <f t="shared" ref="U834:U897" si="162">T834/H834*100</f>
        <v>#DIV/0!</v>
      </c>
    </row>
    <row r="835" spans="4:21" x14ac:dyDescent="0.35">
      <c r="D835" s="3"/>
      <c r="G835" s="3" t="s">
        <v>87</v>
      </c>
      <c r="M835" s="3"/>
      <c r="N835" s="356" t="e" cm="1">
        <f t="array" ref="N835">_xlfn.IFS(I835="AEX",H835/400,I835="RP",H835/200)</f>
        <v>#N/A</v>
      </c>
      <c r="P835" s="75" t="e">
        <f t="shared" si="159"/>
        <v>#DIV/0!</v>
      </c>
      <c r="Q835" s="3" t="e" cm="1">
        <f t="array" ref="Q835">_xlfn.IFS(P835&lt;200, "10", P835&lt;400, "12", P835&lt;600, "14", P835&gt;600, "16")</f>
        <v>#DIV/0!</v>
      </c>
      <c r="R835" s="75">
        <f t="shared" si="160"/>
        <v>0</v>
      </c>
      <c r="S835" s="75" t="e">
        <f t="shared" si="161"/>
        <v>#DIV/0!</v>
      </c>
      <c r="U835" s="306" t="e">
        <f t="shared" si="162"/>
        <v>#DIV/0!</v>
      </c>
    </row>
    <row r="836" spans="4:21" x14ac:dyDescent="0.35">
      <c r="D836" s="3"/>
      <c r="G836" s="3" t="s">
        <v>87</v>
      </c>
      <c r="M836" s="3"/>
      <c r="N836" s="356" t="e" cm="1">
        <f t="array" ref="N836">_xlfn.IFS(I836="AEX",H836/400,I836="RP",H836/200)</f>
        <v>#N/A</v>
      </c>
      <c r="P836" s="75" t="e">
        <f t="shared" si="159"/>
        <v>#DIV/0!</v>
      </c>
      <c r="Q836" s="3" t="e" cm="1">
        <f t="array" ref="Q836">_xlfn.IFS(P836&lt;200, "10", P836&lt;400, "12", P836&lt;600, "14", P836&gt;600, "16")</f>
        <v>#DIV/0!</v>
      </c>
      <c r="R836" s="75">
        <f t="shared" si="160"/>
        <v>0</v>
      </c>
      <c r="S836" s="75" t="e">
        <f t="shared" si="161"/>
        <v>#DIV/0!</v>
      </c>
      <c r="U836" s="306" t="e">
        <f t="shared" si="162"/>
        <v>#DIV/0!</v>
      </c>
    </row>
    <row r="837" spans="4:21" x14ac:dyDescent="0.35">
      <c r="D837" s="3"/>
      <c r="G837" s="3" t="s">
        <v>87</v>
      </c>
      <c r="M837" s="3"/>
      <c r="N837" s="356" t="e" cm="1">
        <f t="array" ref="N837">_xlfn.IFS(I837="AEX",H837/400,I837="RP",H837/200)</f>
        <v>#N/A</v>
      </c>
      <c r="P837" s="75" t="e">
        <f t="shared" si="159"/>
        <v>#DIV/0!</v>
      </c>
      <c r="Q837" s="3" t="e" cm="1">
        <f t="array" ref="Q837">_xlfn.IFS(P837&lt;200, "10", P837&lt;400, "12", P837&lt;600, "14", P837&gt;600, "16")</f>
        <v>#DIV/0!</v>
      </c>
      <c r="R837" s="75">
        <f t="shared" si="160"/>
        <v>0</v>
      </c>
      <c r="S837" s="75" t="e">
        <f t="shared" si="161"/>
        <v>#DIV/0!</v>
      </c>
      <c r="U837" s="306" t="e">
        <f t="shared" si="162"/>
        <v>#DIV/0!</v>
      </c>
    </row>
    <row r="838" spans="4:21" x14ac:dyDescent="0.35">
      <c r="D838" s="3"/>
      <c r="G838" s="3" t="s">
        <v>87</v>
      </c>
      <c r="M838" s="3"/>
      <c r="N838" s="356" t="e" cm="1">
        <f t="array" ref="N838">_xlfn.IFS(I838="AEX",H838/400,I838="RP",H838/200)</f>
        <v>#N/A</v>
      </c>
      <c r="P838" s="75" t="e">
        <f t="shared" si="159"/>
        <v>#DIV/0!</v>
      </c>
      <c r="Q838" s="3" t="e" cm="1">
        <f t="array" ref="Q838">_xlfn.IFS(P838&lt;200, "10", P838&lt;400, "12", P838&lt;600, "14", P838&gt;600, "16")</f>
        <v>#DIV/0!</v>
      </c>
      <c r="R838" s="75">
        <f t="shared" si="160"/>
        <v>0</v>
      </c>
      <c r="S838" s="75" t="e">
        <f t="shared" si="161"/>
        <v>#DIV/0!</v>
      </c>
      <c r="U838" s="306" t="e">
        <f t="shared" si="162"/>
        <v>#DIV/0!</v>
      </c>
    </row>
    <row r="839" spans="4:21" x14ac:dyDescent="0.35">
      <c r="D839" s="3"/>
      <c r="G839" s="3" t="s">
        <v>87</v>
      </c>
      <c r="M839" s="3"/>
      <c r="N839" s="356" t="e" cm="1">
        <f t="array" ref="N839">_xlfn.IFS(I839="AEX",H839/400,I839="RP",H839/200)</f>
        <v>#N/A</v>
      </c>
      <c r="P839" s="75" t="e">
        <f t="shared" si="159"/>
        <v>#DIV/0!</v>
      </c>
      <c r="Q839" s="3" t="e" cm="1">
        <f t="array" ref="Q839">_xlfn.IFS(P839&lt;200, "10", P839&lt;400, "12", P839&lt;600, "14", P839&gt;600, "16")</f>
        <v>#DIV/0!</v>
      </c>
      <c r="R839" s="75">
        <f t="shared" si="160"/>
        <v>0</v>
      </c>
      <c r="S839" s="75" t="e">
        <f t="shared" si="161"/>
        <v>#DIV/0!</v>
      </c>
      <c r="U839" s="306" t="e">
        <f t="shared" si="162"/>
        <v>#DIV/0!</v>
      </c>
    </row>
    <row r="840" spans="4:21" x14ac:dyDescent="0.35">
      <c r="D840" s="3"/>
      <c r="G840" s="3" t="s">
        <v>87</v>
      </c>
      <c r="M840" s="3"/>
      <c r="N840" s="356" t="e" cm="1">
        <f t="array" ref="N840">_xlfn.IFS(I840="AEX",H840/400,I840="RP",H840/200)</f>
        <v>#N/A</v>
      </c>
      <c r="P840" s="75" t="e">
        <f t="shared" si="159"/>
        <v>#DIV/0!</v>
      </c>
      <c r="Q840" s="3" t="e" cm="1">
        <f t="array" ref="Q840">_xlfn.IFS(P840&lt;200, "10", P840&lt;400, "12", P840&lt;600, "14", P840&gt;600, "16")</f>
        <v>#DIV/0!</v>
      </c>
      <c r="R840" s="75">
        <f t="shared" si="160"/>
        <v>0</v>
      </c>
      <c r="S840" s="75" t="e">
        <f t="shared" si="161"/>
        <v>#DIV/0!</v>
      </c>
      <c r="U840" s="306" t="e">
        <f t="shared" si="162"/>
        <v>#DIV/0!</v>
      </c>
    </row>
    <row r="841" spans="4:21" x14ac:dyDescent="0.35">
      <c r="D841" s="3"/>
      <c r="G841" s="3" t="s">
        <v>87</v>
      </c>
      <c r="M841" s="3"/>
      <c r="N841" s="356" t="e" cm="1">
        <f t="array" ref="N841">_xlfn.IFS(I841="AEX",H841/400,I841="RP",H841/200)</f>
        <v>#N/A</v>
      </c>
      <c r="P841" s="75" t="e">
        <f t="shared" si="159"/>
        <v>#DIV/0!</v>
      </c>
      <c r="Q841" s="3" t="e" cm="1">
        <f t="array" ref="Q841">_xlfn.IFS(P841&lt;200, "10", P841&lt;400, "12", P841&lt;600, "14", P841&gt;600, "16")</f>
        <v>#DIV/0!</v>
      </c>
      <c r="R841" s="75">
        <f t="shared" si="160"/>
        <v>0</v>
      </c>
      <c r="S841" s="75" t="e">
        <f t="shared" si="161"/>
        <v>#DIV/0!</v>
      </c>
      <c r="U841" s="306" t="e">
        <f t="shared" si="162"/>
        <v>#DIV/0!</v>
      </c>
    </row>
    <row r="842" spans="4:21" x14ac:dyDescent="0.35">
      <c r="D842" s="3"/>
      <c r="G842" s="3" t="s">
        <v>87</v>
      </c>
      <c r="M842" s="3"/>
      <c r="N842" s="356" t="e" cm="1">
        <f t="array" ref="N842">_xlfn.IFS(I842="AEX",H842/400,I842="RP",H842/200)</f>
        <v>#N/A</v>
      </c>
      <c r="P842" s="75" t="e">
        <f t="shared" si="159"/>
        <v>#DIV/0!</v>
      </c>
      <c r="Q842" s="3" t="e" cm="1">
        <f t="array" ref="Q842">_xlfn.IFS(P842&lt;200, "10", P842&lt;400, "12", P842&lt;600, "14", P842&gt;600, "16")</f>
        <v>#DIV/0!</v>
      </c>
      <c r="R842" s="75">
        <f t="shared" si="160"/>
        <v>0</v>
      </c>
      <c r="S842" s="75" t="e">
        <f t="shared" si="161"/>
        <v>#DIV/0!</v>
      </c>
      <c r="U842" s="306" t="e">
        <f t="shared" si="162"/>
        <v>#DIV/0!</v>
      </c>
    </row>
    <row r="843" spans="4:21" x14ac:dyDescent="0.35">
      <c r="D843" s="3"/>
      <c r="G843" s="3" t="s">
        <v>87</v>
      </c>
      <c r="M843" s="3"/>
      <c r="N843" s="356" t="e" cm="1">
        <f t="array" ref="N843">_xlfn.IFS(I843="AEX",H843/400,I843="RP",H843/200)</f>
        <v>#N/A</v>
      </c>
      <c r="P843" s="75" t="e">
        <f t="shared" si="159"/>
        <v>#DIV/0!</v>
      </c>
      <c r="Q843" s="3" t="e" cm="1">
        <f t="array" ref="Q843">_xlfn.IFS(P843&lt;200, "10", P843&lt;400, "12", P843&lt;600, "14", P843&gt;600, "16")</f>
        <v>#DIV/0!</v>
      </c>
      <c r="R843" s="75">
        <f t="shared" si="160"/>
        <v>0</v>
      </c>
      <c r="S843" s="75" t="e">
        <f t="shared" si="161"/>
        <v>#DIV/0!</v>
      </c>
      <c r="U843" s="306" t="e">
        <f t="shared" si="162"/>
        <v>#DIV/0!</v>
      </c>
    </row>
    <row r="844" spans="4:21" x14ac:dyDescent="0.35">
      <c r="D844" s="3"/>
      <c r="G844" s="3" t="s">
        <v>87</v>
      </c>
      <c r="M844" s="3"/>
      <c r="N844" s="356" t="e" cm="1">
        <f t="array" ref="N844">_xlfn.IFS(I844="AEX",H844/400,I844="RP",H844/200)</f>
        <v>#N/A</v>
      </c>
      <c r="P844" s="75" t="e">
        <f t="shared" si="159"/>
        <v>#DIV/0!</v>
      </c>
      <c r="Q844" s="3" t="e" cm="1">
        <f t="array" ref="Q844">_xlfn.IFS(P844&lt;200, "10", P844&lt;400, "12", P844&lt;600, "14", P844&gt;600, "16")</f>
        <v>#DIV/0!</v>
      </c>
      <c r="R844" s="75">
        <f t="shared" si="160"/>
        <v>0</v>
      </c>
      <c r="S844" s="75" t="e">
        <f t="shared" si="161"/>
        <v>#DIV/0!</v>
      </c>
      <c r="U844" s="306" t="e">
        <f t="shared" si="162"/>
        <v>#DIV/0!</v>
      </c>
    </row>
    <row r="845" spans="4:21" x14ac:dyDescent="0.35">
      <c r="D845" s="3"/>
      <c r="G845" s="3" t="s">
        <v>87</v>
      </c>
      <c r="M845" s="3"/>
      <c r="N845" s="356" t="e" cm="1">
        <f t="array" ref="N845">_xlfn.IFS(I845="AEX",H845/400,I845="RP",H845/200)</f>
        <v>#N/A</v>
      </c>
      <c r="P845" s="75" t="e">
        <f t="shared" si="159"/>
        <v>#DIV/0!</v>
      </c>
      <c r="Q845" s="3" t="e" cm="1">
        <f t="array" ref="Q845">_xlfn.IFS(P845&lt;200, "10", P845&lt;400, "12", P845&lt;600, "14", P845&gt;600, "16")</f>
        <v>#DIV/0!</v>
      </c>
      <c r="R845" s="75">
        <f t="shared" si="160"/>
        <v>0</v>
      </c>
      <c r="S845" s="75" t="e">
        <f t="shared" si="161"/>
        <v>#DIV/0!</v>
      </c>
      <c r="U845" s="306" t="e">
        <f t="shared" si="162"/>
        <v>#DIV/0!</v>
      </c>
    </row>
    <row r="846" spans="4:21" x14ac:dyDescent="0.35">
      <c r="D846" s="3"/>
      <c r="G846" s="3" t="s">
        <v>87</v>
      </c>
      <c r="M846" s="3"/>
      <c r="N846" s="356" t="e" cm="1">
        <f t="array" ref="N846">_xlfn.IFS(I846="AEX",H846/400,I846="RP",H846/200)</f>
        <v>#N/A</v>
      </c>
      <c r="P846" s="75" t="e">
        <f t="shared" si="159"/>
        <v>#DIV/0!</v>
      </c>
      <c r="Q846" s="3" t="e" cm="1">
        <f t="array" ref="Q846">_xlfn.IFS(P846&lt;200, "10", P846&lt;400, "12", P846&lt;600, "14", P846&gt;600, "16")</f>
        <v>#DIV/0!</v>
      </c>
      <c r="R846" s="75">
        <f t="shared" si="160"/>
        <v>0</v>
      </c>
      <c r="S846" s="75" t="e">
        <f t="shared" si="161"/>
        <v>#DIV/0!</v>
      </c>
      <c r="U846" s="306" t="e">
        <f t="shared" si="162"/>
        <v>#DIV/0!</v>
      </c>
    </row>
    <row r="847" spans="4:21" x14ac:dyDescent="0.35">
      <c r="D847" s="3"/>
      <c r="G847" s="3" t="s">
        <v>87</v>
      </c>
      <c r="M847" s="3"/>
      <c r="N847" s="356" t="e" cm="1">
        <f t="array" ref="N847">_xlfn.IFS(I847="AEX",H847/400,I847="RP",H847/200)</f>
        <v>#N/A</v>
      </c>
      <c r="P847" s="75" t="e">
        <f t="shared" si="159"/>
        <v>#DIV/0!</v>
      </c>
      <c r="Q847" s="3" t="e" cm="1">
        <f t="array" ref="Q847">_xlfn.IFS(P847&lt;200, "10", P847&lt;400, "12", P847&lt;600, "14", P847&gt;600, "16")</f>
        <v>#DIV/0!</v>
      </c>
      <c r="R847" s="75">
        <f t="shared" si="160"/>
        <v>0</v>
      </c>
      <c r="S847" s="75" t="e">
        <f t="shared" si="161"/>
        <v>#DIV/0!</v>
      </c>
      <c r="U847" s="306" t="e">
        <f t="shared" si="162"/>
        <v>#DIV/0!</v>
      </c>
    </row>
    <row r="848" spans="4:21" x14ac:dyDescent="0.35">
      <c r="D848" s="3"/>
      <c r="G848" s="3" t="s">
        <v>87</v>
      </c>
      <c r="M848" s="3"/>
      <c r="N848" s="356" t="e" cm="1">
        <f t="array" ref="N848">_xlfn.IFS(I848="AEX",H848/400,I848="RP",H848/200)</f>
        <v>#N/A</v>
      </c>
      <c r="P848" s="75" t="e">
        <f t="shared" si="159"/>
        <v>#DIV/0!</v>
      </c>
      <c r="Q848" s="3" t="e" cm="1">
        <f t="array" ref="Q848">_xlfn.IFS(P848&lt;200, "10", P848&lt;400, "12", P848&lt;600, "14", P848&gt;600, "16")</f>
        <v>#DIV/0!</v>
      </c>
      <c r="R848" s="75">
        <f t="shared" si="160"/>
        <v>0</v>
      </c>
      <c r="S848" s="75" t="e">
        <f t="shared" si="161"/>
        <v>#DIV/0!</v>
      </c>
      <c r="U848" s="306" t="e">
        <f t="shared" si="162"/>
        <v>#DIV/0!</v>
      </c>
    </row>
    <row r="849" spans="4:21" x14ac:dyDescent="0.35">
      <c r="D849" s="3"/>
      <c r="G849" s="3" t="s">
        <v>87</v>
      </c>
      <c r="M849" s="3"/>
      <c r="N849" s="356" t="e" cm="1">
        <f t="array" ref="N849">_xlfn.IFS(I849="AEX",H849/400,I849="RP",H849/200)</f>
        <v>#N/A</v>
      </c>
      <c r="P849" s="75" t="e">
        <f t="shared" si="159"/>
        <v>#DIV/0!</v>
      </c>
      <c r="Q849" s="3" t="e" cm="1">
        <f t="array" ref="Q849">_xlfn.IFS(P849&lt;200, "10", P849&lt;400, "12", P849&lt;600, "14", P849&gt;600, "16")</f>
        <v>#DIV/0!</v>
      </c>
      <c r="R849" s="75">
        <f t="shared" si="160"/>
        <v>0</v>
      </c>
      <c r="S849" s="75" t="e">
        <f t="shared" si="161"/>
        <v>#DIV/0!</v>
      </c>
      <c r="U849" s="306" t="e">
        <f t="shared" si="162"/>
        <v>#DIV/0!</v>
      </c>
    </row>
    <row r="850" spans="4:21" x14ac:dyDescent="0.35">
      <c r="D850" s="3"/>
      <c r="G850" s="3" t="s">
        <v>87</v>
      </c>
      <c r="M850" s="3"/>
      <c r="N850" s="356" t="e" cm="1">
        <f t="array" ref="N850">_xlfn.IFS(I850="AEX",H850/400,I850="RP",H850/200)</f>
        <v>#N/A</v>
      </c>
      <c r="P850" s="75" t="e">
        <f t="shared" si="159"/>
        <v>#DIV/0!</v>
      </c>
      <c r="Q850" s="3" t="e" cm="1">
        <f t="array" ref="Q850">_xlfn.IFS(P850&lt;200, "10", P850&lt;400, "12", P850&lt;600, "14", P850&gt;600, "16")</f>
        <v>#DIV/0!</v>
      </c>
      <c r="R850" s="75">
        <f t="shared" si="160"/>
        <v>0</v>
      </c>
      <c r="S850" s="75" t="e">
        <f t="shared" si="161"/>
        <v>#DIV/0!</v>
      </c>
      <c r="U850" s="306" t="e">
        <f t="shared" si="162"/>
        <v>#DIV/0!</v>
      </c>
    </row>
    <row r="851" spans="4:21" x14ac:dyDescent="0.35">
      <c r="D851" s="3"/>
      <c r="G851" s="3" t="s">
        <v>87</v>
      </c>
      <c r="M851" s="3"/>
      <c r="N851" s="356" t="e" cm="1">
        <f t="array" ref="N851">_xlfn.IFS(I851="AEX",H851/400,I851="RP",H851/200)</f>
        <v>#N/A</v>
      </c>
      <c r="P851" s="75" t="e">
        <f t="shared" si="159"/>
        <v>#DIV/0!</v>
      </c>
      <c r="Q851" s="3" t="e" cm="1">
        <f t="array" ref="Q851">_xlfn.IFS(P851&lt;200, "10", P851&lt;400, "12", P851&lt;600, "14", P851&gt;600, "16")</f>
        <v>#DIV/0!</v>
      </c>
      <c r="R851" s="75">
        <f t="shared" si="160"/>
        <v>0</v>
      </c>
      <c r="S851" s="75" t="e">
        <f t="shared" si="161"/>
        <v>#DIV/0!</v>
      </c>
      <c r="U851" s="306" t="e">
        <f t="shared" si="162"/>
        <v>#DIV/0!</v>
      </c>
    </row>
    <row r="852" spans="4:21" x14ac:dyDescent="0.35">
      <c r="D852" s="3"/>
      <c r="G852" s="3" t="s">
        <v>87</v>
      </c>
      <c r="M852" s="3"/>
      <c r="N852" s="356" t="e" cm="1">
        <f t="array" ref="N852">_xlfn.IFS(I852="AEX",H852/400,I852="RP",H852/200)</f>
        <v>#N/A</v>
      </c>
      <c r="P852" s="75" t="e">
        <f t="shared" si="159"/>
        <v>#DIV/0!</v>
      </c>
      <c r="Q852" s="3" t="e" cm="1">
        <f t="array" ref="Q852">_xlfn.IFS(P852&lt;200, "10", P852&lt;400, "12", P852&lt;600, "14", P852&gt;600, "16")</f>
        <v>#DIV/0!</v>
      </c>
      <c r="R852" s="75">
        <f t="shared" si="160"/>
        <v>0</v>
      </c>
      <c r="S852" s="75" t="e">
        <f t="shared" si="161"/>
        <v>#DIV/0!</v>
      </c>
      <c r="U852" s="306" t="e">
        <f t="shared" si="162"/>
        <v>#DIV/0!</v>
      </c>
    </row>
    <row r="853" spans="4:21" x14ac:dyDescent="0.35">
      <c r="D853" s="3"/>
      <c r="G853" s="3" t="s">
        <v>87</v>
      </c>
      <c r="M853" s="3"/>
      <c r="N853" s="356" t="e" cm="1">
        <f t="array" ref="N853">_xlfn.IFS(I853="AEX",H853/400,I853="RP",H853/200)</f>
        <v>#N/A</v>
      </c>
      <c r="P853" s="75" t="e">
        <f t="shared" si="159"/>
        <v>#DIV/0!</v>
      </c>
      <c r="Q853" s="3" t="e" cm="1">
        <f t="array" ref="Q853">_xlfn.IFS(P853&lt;200, "10", P853&lt;400, "12", P853&lt;600, "14", P853&gt;600, "16")</f>
        <v>#DIV/0!</v>
      </c>
      <c r="R853" s="75">
        <f t="shared" si="160"/>
        <v>0</v>
      </c>
      <c r="S853" s="75" t="e">
        <f t="shared" si="161"/>
        <v>#DIV/0!</v>
      </c>
      <c r="U853" s="306" t="e">
        <f t="shared" si="162"/>
        <v>#DIV/0!</v>
      </c>
    </row>
    <row r="854" spans="4:21" x14ac:dyDescent="0.35">
      <c r="D854" s="3"/>
      <c r="G854" s="3" t="s">
        <v>87</v>
      </c>
      <c r="M854" s="3"/>
      <c r="N854" s="356" t="e" cm="1">
        <f t="array" ref="N854">_xlfn.IFS(I854="AEX",H854/400,I854="RP",H854/200)</f>
        <v>#N/A</v>
      </c>
      <c r="P854" s="75" t="e">
        <f t="shared" si="159"/>
        <v>#DIV/0!</v>
      </c>
      <c r="Q854" s="3" t="e" cm="1">
        <f t="array" ref="Q854">_xlfn.IFS(P854&lt;200, "10", P854&lt;400, "12", P854&lt;600, "14", P854&gt;600, "16")</f>
        <v>#DIV/0!</v>
      </c>
      <c r="R854" s="75">
        <f t="shared" si="160"/>
        <v>0</v>
      </c>
      <c r="S854" s="75" t="e">
        <f t="shared" si="161"/>
        <v>#DIV/0!</v>
      </c>
      <c r="U854" s="306" t="e">
        <f t="shared" si="162"/>
        <v>#DIV/0!</v>
      </c>
    </row>
    <row r="855" spans="4:21" x14ac:dyDescent="0.35">
      <c r="D855" s="3"/>
      <c r="G855" s="3" t="s">
        <v>87</v>
      </c>
      <c r="M855" s="3"/>
      <c r="N855" s="356" t="e" cm="1">
        <f t="array" ref="N855">_xlfn.IFS(I855="AEX",H855/400,I855="RP",H855/200)</f>
        <v>#N/A</v>
      </c>
      <c r="P855" s="75" t="e">
        <f t="shared" si="159"/>
        <v>#DIV/0!</v>
      </c>
      <c r="Q855" s="3" t="e" cm="1">
        <f t="array" ref="Q855">_xlfn.IFS(P855&lt;200, "10", P855&lt;400, "12", P855&lt;600, "14", P855&gt;600, "16")</f>
        <v>#DIV/0!</v>
      </c>
      <c r="R855" s="75">
        <f t="shared" si="160"/>
        <v>0</v>
      </c>
      <c r="S855" s="75" t="e">
        <f t="shared" si="161"/>
        <v>#DIV/0!</v>
      </c>
      <c r="U855" s="306" t="e">
        <f t="shared" si="162"/>
        <v>#DIV/0!</v>
      </c>
    </row>
    <row r="856" spans="4:21" x14ac:dyDescent="0.35">
      <c r="D856" s="3"/>
      <c r="G856" s="3" t="s">
        <v>87</v>
      </c>
      <c r="M856" s="3"/>
      <c r="N856" s="356" t="e" cm="1">
        <f t="array" ref="N856">_xlfn.IFS(I856="AEX",H856/400,I856="RP",H856/200)</f>
        <v>#N/A</v>
      </c>
      <c r="P856" s="75" t="e">
        <f t="shared" si="159"/>
        <v>#DIV/0!</v>
      </c>
      <c r="Q856" s="3" t="e" cm="1">
        <f t="array" ref="Q856">_xlfn.IFS(P856&lt;200, "10", P856&lt;400, "12", P856&lt;600, "14", P856&gt;600, "16")</f>
        <v>#DIV/0!</v>
      </c>
      <c r="R856" s="75">
        <f t="shared" si="160"/>
        <v>0</v>
      </c>
      <c r="S856" s="75" t="e">
        <f t="shared" si="161"/>
        <v>#DIV/0!</v>
      </c>
      <c r="U856" s="306" t="e">
        <f t="shared" si="162"/>
        <v>#DIV/0!</v>
      </c>
    </row>
    <row r="857" spans="4:21" x14ac:dyDescent="0.35">
      <c r="D857" s="3"/>
      <c r="G857" s="3" t="s">
        <v>87</v>
      </c>
      <c r="M857" s="3"/>
      <c r="N857" s="356" t="e" cm="1">
        <f t="array" ref="N857">_xlfn.IFS(I857="AEX",H857/400,I857="RP",H857/200)</f>
        <v>#N/A</v>
      </c>
      <c r="P857" s="75" t="e">
        <f t="shared" si="159"/>
        <v>#DIV/0!</v>
      </c>
      <c r="Q857" s="3" t="e" cm="1">
        <f t="array" ref="Q857">_xlfn.IFS(P857&lt;200, "10", P857&lt;400, "12", P857&lt;600, "14", P857&gt;600, "16")</f>
        <v>#DIV/0!</v>
      </c>
      <c r="R857" s="75">
        <f t="shared" si="160"/>
        <v>0</v>
      </c>
      <c r="S857" s="75" t="e">
        <f t="shared" si="161"/>
        <v>#DIV/0!</v>
      </c>
      <c r="U857" s="306" t="e">
        <f t="shared" si="162"/>
        <v>#DIV/0!</v>
      </c>
    </row>
    <row r="858" spans="4:21" x14ac:dyDescent="0.35">
      <c r="D858" s="3"/>
      <c r="G858" s="3" t="s">
        <v>87</v>
      </c>
      <c r="M858" s="3"/>
      <c r="N858" s="356" t="e" cm="1">
        <f t="array" ref="N858">_xlfn.IFS(I858="AEX",H858/400,I858="RP",H858/200)</f>
        <v>#N/A</v>
      </c>
      <c r="P858" s="75" t="e">
        <f t="shared" si="159"/>
        <v>#DIV/0!</v>
      </c>
      <c r="Q858" s="3" t="e" cm="1">
        <f t="array" ref="Q858">_xlfn.IFS(P858&lt;200, "10", P858&lt;400, "12", P858&lt;600, "14", P858&gt;600, "16")</f>
        <v>#DIV/0!</v>
      </c>
      <c r="R858" s="75">
        <f t="shared" si="160"/>
        <v>0</v>
      </c>
      <c r="S858" s="75" t="e">
        <f t="shared" si="161"/>
        <v>#DIV/0!</v>
      </c>
      <c r="U858" s="306" t="e">
        <f t="shared" si="162"/>
        <v>#DIV/0!</v>
      </c>
    </row>
    <row r="859" spans="4:21" x14ac:dyDescent="0.35">
      <c r="D859" s="3"/>
      <c r="G859" s="3" t="s">
        <v>87</v>
      </c>
      <c r="M859" s="3"/>
      <c r="N859" s="356" t="e" cm="1">
        <f t="array" ref="N859">_xlfn.IFS(I859="AEX",H859/400,I859="RP",H859/200)</f>
        <v>#N/A</v>
      </c>
      <c r="P859" s="75" t="e">
        <f t="shared" si="159"/>
        <v>#DIV/0!</v>
      </c>
      <c r="Q859" s="3" t="e" cm="1">
        <f t="array" ref="Q859">_xlfn.IFS(P859&lt;200, "10", P859&lt;400, "12", P859&lt;600, "14", P859&gt;600, "16")</f>
        <v>#DIV/0!</v>
      </c>
      <c r="R859" s="75">
        <f t="shared" si="160"/>
        <v>0</v>
      </c>
      <c r="S859" s="75" t="e">
        <f t="shared" si="161"/>
        <v>#DIV/0!</v>
      </c>
      <c r="U859" s="306" t="e">
        <f t="shared" si="162"/>
        <v>#DIV/0!</v>
      </c>
    </row>
    <row r="860" spans="4:21" x14ac:dyDescent="0.35">
      <c r="D860" s="3"/>
      <c r="G860" s="3" t="s">
        <v>87</v>
      </c>
      <c r="M860" s="3"/>
      <c r="N860" s="356" t="e" cm="1">
        <f t="array" ref="N860">_xlfn.IFS(I860="AEX",H860/400,I860="RP",H860/200)</f>
        <v>#N/A</v>
      </c>
      <c r="P860" s="75" t="e">
        <f t="shared" si="159"/>
        <v>#DIV/0!</v>
      </c>
      <c r="Q860" s="3" t="e" cm="1">
        <f t="array" ref="Q860">_xlfn.IFS(P860&lt;200, "10", P860&lt;400, "12", P860&lt;600, "14", P860&gt;600, "16")</f>
        <v>#DIV/0!</v>
      </c>
      <c r="R860" s="75">
        <f t="shared" si="160"/>
        <v>0</v>
      </c>
      <c r="S860" s="75" t="e">
        <f t="shared" si="161"/>
        <v>#DIV/0!</v>
      </c>
      <c r="U860" s="306" t="e">
        <f t="shared" si="162"/>
        <v>#DIV/0!</v>
      </c>
    </row>
    <row r="861" spans="4:21" x14ac:dyDescent="0.35">
      <c r="D861" s="3"/>
      <c r="G861" s="3" t="s">
        <v>87</v>
      </c>
      <c r="M861" s="3"/>
      <c r="N861" s="356" t="e" cm="1">
        <f t="array" ref="N861">_xlfn.IFS(I861="AEX",H861/400,I861="RP",H861/200)</f>
        <v>#N/A</v>
      </c>
      <c r="P861" s="75" t="e">
        <f t="shared" si="159"/>
        <v>#DIV/0!</v>
      </c>
      <c r="Q861" s="3" t="e" cm="1">
        <f t="array" ref="Q861">_xlfn.IFS(P861&lt;200, "10", P861&lt;400, "12", P861&lt;600, "14", P861&gt;600, "16")</f>
        <v>#DIV/0!</v>
      </c>
      <c r="R861" s="75">
        <f t="shared" si="160"/>
        <v>0</v>
      </c>
      <c r="S861" s="75" t="e">
        <f t="shared" si="161"/>
        <v>#DIV/0!</v>
      </c>
      <c r="U861" s="306" t="e">
        <f t="shared" si="162"/>
        <v>#DIV/0!</v>
      </c>
    </row>
    <row r="862" spans="4:21" x14ac:dyDescent="0.35">
      <c r="D862" s="3"/>
      <c r="G862" s="3" t="s">
        <v>87</v>
      </c>
      <c r="M862" s="3"/>
      <c r="N862" s="356" t="e" cm="1">
        <f t="array" ref="N862">_xlfn.IFS(I862="AEX",H862/400,I862="RP",H862/200)</f>
        <v>#N/A</v>
      </c>
      <c r="P862" s="75" t="e">
        <f t="shared" si="159"/>
        <v>#DIV/0!</v>
      </c>
      <c r="Q862" s="3" t="e" cm="1">
        <f t="array" ref="Q862">_xlfn.IFS(P862&lt;200, "10", P862&lt;400, "12", P862&lt;600, "14", P862&gt;600, "16")</f>
        <v>#DIV/0!</v>
      </c>
      <c r="R862" s="75">
        <f t="shared" si="160"/>
        <v>0</v>
      </c>
      <c r="S862" s="75" t="e">
        <f t="shared" si="161"/>
        <v>#DIV/0!</v>
      </c>
      <c r="U862" s="306" t="e">
        <f t="shared" si="162"/>
        <v>#DIV/0!</v>
      </c>
    </row>
    <row r="863" spans="4:21" x14ac:dyDescent="0.35">
      <c r="D863" s="3"/>
      <c r="G863" s="3" t="s">
        <v>87</v>
      </c>
      <c r="M863" s="3"/>
      <c r="N863" s="356" t="e" cm="1">
        <f t="array" ref="N863">_xlfn.IFS(I863="AEX",H863/400,I863="RP",H863/200)</f>
        <v>#N/A</v>
      </c>
      <c r="P863" s="75" t="e">
        <f t="shared" si="159"/>
        <v>#DIV/0!</v>
      </c>
      <c r="Q863" s="3" t="e" cm="1">
        <f t="array" ref="Q863">_xlfn.IFS(P863&lt;200, "10", P863&lt;400, "12", P863&lt;600, "14", P863&gt;600, "16")</f>
        <v>#DIV/0!</v>
      </c>
      <c r="R863" s="75">
        <f t="shared" si="160"/>
        <v>0</v>
      </c>
      <c r="S863" s="75" t="e">
        <f t="shared" si="161"/>
        <v>#DIV/0!</v>
      </c>
      <c r="U863" s="306" t="e">
        <f t="shared" si="162"/>
        <v>#DIV/0!</v>
      </c>
    </row>
    <row r="864" spans="4:21" x14ac:dyDescent="0.35">
      <c r="D864" s="3"/>
      <c r="G864" s="3" t="s">
        <v>87</v>
      </c>
      <c r="M864" s="3"/>
      <c r="N864" s="356" t="e" cm="1">
        <f t="array" ref="N864">_xlfn.IFS(I864="AEX",H864/400,I864="RP",H864/200)</f>
        <v>#N/A</v>
      </c>
      <c r="P864" s="75" t="e">
        <f t="shared" si="159"/>
        <v>#DIV/0!</v>
      </c>
      <c r="Q864" s="3" t="e" cm="1">
        <f t="array" ref="Q864">_xlfn.IFS(P864&lt;200, "10", P864&lt;400, "12", P864&lt;600, "14", P864&gt;600, "16")</f>
        <v>#DIV/0!</v>
      </c>
      <c r="R864" s="75">
        <f t="shared" si="160"/>
        <v>0</v>
      </c>
      <c r="S864" s="75" t="e">
        <f t="shared" si="161"/>
        <v>#DIV/0!</v>
      </c>
      <c r="U864" s="306" t="e">
        <f t="shared" si="162"/>
        <v>#DIV/0!</v>
      </c>
    </row>
    <row r="865" spans="4:21" x14ac:dyDescent="0.35">
      <c r="D865" s="3"/>
      <c r="G865" s="3" t="s">
        <v>87</v>
      </c>
      <c r="M865" s="3"/>
      <c r="N865" s="356" t="e" cm="1">
        <f t="array" ref="N865">_xlfn.IFS(I865="AEX",H865/400,I865="RP",H865/200)</f>
        <v>#N/A</v>
      </c>
      <c r="P865" s="75" t="e">
        <f t="shared" si="159"/>
        <v>#DIV/0!</v>
      </c>
      <c r="Q865" s="3" t="e" cm="1">
        <f t="array" ref="Q865">_xlfn.IFS(P865&lt;200, "10", P865&lt;400, "12", P865&lt;600, "14", P865&gt;600, "16")</f>
        <v>#DIV/0!</v>
      </c>
      <c r="R865" s="75">
        <f t="shared" si="160"/>
        <v>0</v>
      </c>
      <c r="S865" s="75" t="e">
        <f t="shared" si="161"/>
        <v>#DIV/0!</v>
      </c>
      <c r="U865" s="306" t="e">
        <f t="shared" si="162"/>
        <v>#DIV/0!</v>
      </c>
    </row>
    <row r="866" spans="4:21" x14ac:dyDescent="0.35">
      <c r="D866" s="3"/>
      <c r="G866" s="3" t="s">
        <v>87</v>
      </c>
      <c r="M866" s="3"/>
      <c r="N866" s="356" t="e" cm="1">
        <f t="array" ref="N866">_xlfn.IFS(I866="AEX",H866/400,I866="RP",H866/200)</f>
        <v>#N/A</v>
      </c>
      <c r="P866" s="75" t="e">
        <f t="shared" si="159"/>
        <v>#DIV/0!</v>
      </c>
      <c r="Q866" s="3" t="e" cm="1">
        <f t="array" ref="Q866">_xlfn.IFS(P866&lt;200, "10", P866&lt;400, "12", P866&lt;600, "14", P866&gt;600, "16")</f>
        <v>#DIV/0!</v>
      </c>
      <c r="R866" s="75">
        <f t="shared" si="160"/>
        <v>0</v>
      </c>
      <c r="S866" s="75" t="e">
        <f t="shared" si="161"/>
        <v>#DIV/0!</v>
      </c>
      <c r="U866" s="306" t="e">
        <f t="shared" si="162"/>
        <v>#DIV/0!</v>
      </c>
    </row>
    <row r="867" spans="4:21" x14ac:dyDescent="0.35">
      <c r="D867" s="3"/>
      <c r="G867" s="3" t="s">
        <v>87</v>
      </c>
      <c r="M867" s="3"/>
      <c r="N867" s="356" t="e" cm="1">
        <f t="array" ref="N867">_xlfn.IFS(I867="AEX",H867/400,I867="RP",H867/200)</f>
        <v>#N/A</v>
      </c>
      <c r="P867" s="75" t="e">
        <f t="shared" si="159"/>
        <v>#DIV/0!</v>
      </c>
      <c r="Q867" s="3" t="e" cm="1">
        <f t="array" ref="Q867">_xlfn.IFS(P867&lt;200, "10", P867&lt;400, "12", P867&lt;600, "14", P867&gt;600, "16")</f>
        <v>#DIV/0!</v>
      </c>
      <c r="R867" s="75">
        <f t="shared" si="160"/>
        <v>0</v>
      </c>
      <c r="S867" s="75" t="e">
        <f t="shared" si="161"/>
        <v>#DIV/0!</v>
      </c>
      <c r="U867" s="306" t="e">
        <f t="shared" si="162"/>
        <v>#DIV/0!</v>
      </c>
    </row>
    <row r="868" spans="4:21" x14ac:dyDescent="0.35">
      <c r="D868" s="3"/>
      <c r="G868" s="3" t="s">
        <v>87</v>
      </c>
      <c r="M868" s="3"/>
      <c r="N868" s="356" t="e" cm="1">
        <f t="array" ref="N868">_xlfn.IFS(I868="AEX",H868/400,I868="RP",H868/200)</f>
        <v>#N/A</v>
      </c>
      <c r="P868" s="75" t="e">
        <f t="shared" si="159"/>
        <v>#DIV/0!</v>
      </c>
      <c r="Q868" s="3" t="e" cm="1">
        <f t="array" ref="Q868">_xlfn.IFS(P868&lt;200, "10", P868&lt;400, "12", P868&lt;600, "14", P868&gt;600, "16")</f>
        <v>#DIV/0!</v>
      </c>
      <c r="R868" s="75">
        <f t="shared" si="160"/>
        <v>0</v>
      </c>
      <c r="S868" s="75" t="e">
        <f t="shared" si="161"/>
        <v>#DIV/0!</v>
      </c>
      <c r="U868" s="306" t="e">
        <f t="shared" si="162"/>
        <v>#DIV/0!</v>
      </c>
    </row>
    <row r="869" spans="4:21" x14ac:dyDescent="0.35">
      <c r="D869" s="3"/>
      <c r="G869" s="3" t="s">
        <v>87</v>
      </c>
      <c r="M869" s="3"/>
      <c r="N869" s="356" t="e" cm="1">
        <f t="array" ref="N869">_xlfn.IFS(I869="AEX",H869/400,I869="RP",H869/200)</f>
        <v>#N/A</v>
      </c>
      <c r="P869" s="75" t="e">
        <f t="shared" si="159"/>
        <v>#DIV/0!</v>
      </c>
      <c r="Q869" s="3" t="e" cm="1">
        <f t="array" ref="Q869">_xlfn.IFS(P869&lt;200, "10", P869&lt;400, "12", P869&lt;600, "14", P869&gt;600, "16")</f>
        <v>#DIV/0!</v>
      </c>
      <c r="R869" s="75">
        <f t="shared" si="160"/>
        <v>0</v>
      </c>
      <c r="S869" s="75" t="e">
        <f t="shared" si="161"/>
        <v>#DIV/0!</v>
      </c>
      <c r="U869" s="306" t="e">
        <f t="shared" si="162"/>
        <v>#DIV/0!</v>
      </c>
    </row>
    <row r="870" spans="4:21" x14ac:dyDescent="0.35">
      <c r="D870" s="3"/>
      <c r="G870" s="3" t="s">
        <v>87</v>
      </c>
      <c r="M870" s="3"/>
      <c r="N870" s="356" t="e" cm="1">
        <f t="array" ref="N870">_xlfn.IFS(I870="AEX",H870/400,I870="RP",H870/200)</f>
        <v>#N/A</v>
      </c>
      <c r="P870" s="75" t="e">
        <f t="shared" si="159"/>
        <v>#DIV/0!</v>
      </c>
      <c r="Q870" s="3" t="e" cm="1">
        <f t="array" ref="Q870">_xlfn.IFS(P870&lt;200, "10", P870&lt;400, "12", P870&lt;600, "14", P870&gt;600, "16")</f>
        <v>#DIV/0!</v>
      </c>
      <c r="R870" s="75">
        <f t="shared" si="160"/>
        <v>0</v>
      </c>
      <c r="S870" s="75" t="e">
        <f t="shared" si="161"/>
        <v>#DIV/0!</v>
      </c>
      <c r="U870" s="306" t="e">
        <f t="shared" si="162"/>
        <v>#DIV/0!</v>
      </c>
    </row>
    <row r="871" spans="4:21" x14ac:dyDescent="0.35">
      <c r="D871" s="3"/>
      <c r="G871" s="3" t="s">
        <v>87</v>
      </c>
      <c r="M871" s="3"/>
      <c r="N871" s="356" t="e" cm="1">
        <f t="array" ref="N871">_xlfn.IFS(I871="AEX",H871/400,I871="RP",H871/200)</f>
        <v>#N/A</v>
      </c>
      <c r="P871" s="75" t="e">
        <f t="shared" si="159"/>
        <v>#DIV/0!</v>
      </c>
      <c r="Q871" s="3" t="e" cm="1">
        <f t="array" ref="Q871">_xlfn.IFS(P871&lt;200, "10", P871&lt;400, "12", P871&lt;600, "14", P871&gt;600, "16")</f>
        <v>#DIV/0!</v>
      </c>
      <c r="R871" s="75">
        <f t="shared" si="160"/>
        <v>0</v>
      </c>
      <c r="S871" s="75" t="e">
        <f t="shared" si="161"/>
        <v>#DIV/0!</v>
      </c>
      <c r="U871" s="306" t="e">
        <f t="shared" si="162"/>
        <v>#DIV/0!</v>
      </c>
    </row>
    <row r="872" spans="4:21" x14ac:dyDescent="0.35">
      <c r="D872" s="3"/>
      <c r="G872" s="3" t="s">
        <v>87</v>
      </c>
      <c r="M872" s="3"/>
      <c r="N872" s="356" t="e" cm="1">
        <f t="array" ref="N872">_xlfn.IFS(I872="AEX",H872/400,I872="RP",H872/200)</f>
        <v>#N/A</v>
      </c>
      <c r="P872" s="75" t="e">
        <f t="shared" si="159"/>
        <v>#DIV/0!</v>
      </c>
      <c r="Q872" s="3" t="e" cm="1">
        <f t="array" ref="Q872">_xlfn.IFS(P872&lt;200, "10", P872&lt;400, "12", P872&lt;600, "14", P872&gt;600, "16")</f>
        <v>#DIV/0!</v>
      </c>
      <c r="R872" s="75">
        <f t="shared" si="160"/>
        <v>0</v>
      </c>
      <c r="S872" s="75" t="e">
        <f t="shared" si="161"/>
        <v>#DIV/0!</v>
      </c>
      <c r="U872" s="306" t="e">
        <f t="shared" si="162"/>
        <v>#DIV/0!</v>
      </c>
    </row>
    <row r="873" spans="4:21" x14ac:dyDescent="0.35">
      <c r="D873" s="3"/>
      <c r="G873" s="3" t="s">
        <v>87</v>
      </c>
      <c r="M873" s="3"/>
      <c r="N873" s="356" t="e" cm="1">
        <f t="array" ref="N873">_xlfn.IFS(I873="AEX",H873/400,I873="RP",H873/200)</f>
        <v>#N/A</v>
      </c>
      <c r="P873" s="75" t="e">
        <f t="shared" si="159"/>
        <v>#DIV/0!</v>
      </c>
      <c r="Q873" s="3" t="e" cm="1">
        <f t="array" ref="Q873">_xlfn.IFS(P873&lt;200, "10", P873&lt;400, "12", P873&lt;600, "14", P873&gt;600, "16")</f>
        <v>#DIV/0!</v>
      </c>
      <c r="R873" s="75">
        <f t="shared" si="160"/>
        <v>0</v>
      </c>
      <c r="S873" s="75" t="e">
        <f t="shared" si="161"/>
        <v>#DIV/0!</v>
      </c>
      <c r="U873" s="306" t="e">
        <f t="shared" si="162"/>
        <v>#DIV/0!</v>
      </c>
    </row>
    <row r="874" spans="4:21" x14ac:dyDescent="0.35">
      <c r="D874" s="3"/>
      <c r="G874" s="3" t="s">
        <v>87</v>
      </c>
      <c r="M874" s="3"/>
      <c r="N874" s="356" t="e" cm="1">
        <f t="array" ref="N874">_xlfn.IFS(I874="AEX",H874/400,I874="RP",H874/200)</f>
        <v>#N/A</v>
      </c>
      <c r="P874" s="75" t="e">
        <f t="shared" ref="P874:P937" si="163">H874/O874</f>
        <v>#DIV/0!</v>
      </c>
      <c r="Q874" s="3" t="e" cm="1">
        <f t="array" ref="Q874">_xlfn.IFS(P874&lt;200, "10", P874&lt;400, "12", P874&lt;600, "14", P874&gt;600, "16")</f>
        <v>#DIV/0!</v>
      </c>
      <c r="R874" s="75">
        <f t="shared" ref="R874:R937" si="164">IF(I874="AEX",H874*0.3/400,H874*0.3/200)</f>
        <v>0</v>
      </c>
      <c r="S874" s="75" t="e">
        <f t="shared" si="161"/>
        <v>#DIV/0!</v>
      </c>
      <c r="U874" s="306" t="e">
        <f t="shared" si="162"/>
        <v>#DIV/0!</v>
      </c>
    </row>
    <row r="875" spans="4:21" x14ac:dyDescent="0.35">
      <c r="D875" s="3"/>
      <c r="G875" s="3" t="s">
        <v>87</v>
      </c>
      <c r="M875" s="3"/>
      <c r="N875" s="356" t="e" cm="1">
        <f t="array" ref="N875">_xlfn.IFS(I875="AEX",H875/400,I875="RP",H875/200)</f>
        <v>#N/A</v>
      </c>
      <c r="P875" s="75" t="e">
        <f t="shared" si="163"/>
        <v>#DIV/0!</v>
      </c>
      <c r="Q875" s="3" t="e" cm="1">
        <f t="array" ref="Q875">_xlfn.IFS(P875&lt;200, "10", P875&lt;400, "12", P875&lt;600, "14", P875&gt;600, "16")</f>
        <v>#DIV/0!</v>
      </c>
      <c r="R875" s="75">
        <f t="shared" si="164"/>
        <v>0</v>
      </c>
      <c r="S875" s="75" t="e">
        <f t="shared" si="161"/>
        <v>#DIV/0!</v>
      </c>
      <c r="U875" s="306" t="e">
        <f t="shared" si="162"/>
        <v>#DIV/0!</v>
      </c>
    </row>
    <row r="876" spans="4:21" x14ac:dyDescent="0.35">
      <c r="D876" s="3"/>
      <c r="G876" s="3" t="s">
        <v>87</v>
      </c>
      <c r="M876" s="3"/>
      <c r="N876" s="356" t="e" cm="1">
        <f t="array" ref="N876">_xlfn.IFS(I876="AEX",H876/400,I876="RP",H876/200)</f>
        <v>#N/A</v>
      </c>
      <c r="P876" s="75" t="e">
        <f t="shared" si="163"/>
        <v>#DIV/0!</v>
      </c>
      <c r="Q876" s="3" t="e" cm="1">
        <f t="array" ref="Q876">_xlfn.IFS(P876&lt;200, "10", P876&lt;400, "12", P876&lt;600, "14", P876&gt;600, "16")</f>
        <v>#DIV/0!</v>
      </c>
      <c r="R876" s="75">
        <f t="shared" si="164"/>
        <v>0</v>
      </c>
      <c r="S876" s="75" t="e">
        <f t="shared" si="161"/>
        <v>#DIV/0!</v>
      </c>
      <c r="U876" s="306" t="e">
        <f t="shared" si="162"/>
        <v>#DIV/0!</v>
      </c>
    </row>
    <row r="877" spans="4:21" x14ac:dyDescent="0.35">
      <c r="D877" s="3"/>
      <c r="G877" s="3" t="s">
        <v>87</v>
      </c>
      <c r="M877" s="3"/>
      <c r="N877" s="356" t="e" cm="1">
        <f t="array" ref="N877">_xlfn.IFS(I877="AEX",H877/400,I877="RP",H877/200)</f>
        <v>#N/A</v>
      </c>
      <c r="P877" s="75" t="e">
        <f t="shared" si="163"/>
        <v>#DIV/0!</v>
      </c>
      <c r="Q877" s="3" t="e" cm="1">
        <f t="array" ref="Q877">_xlfn.IFS(P877&lt;200, "10", P877&lt;400, "12", P877&lt;600, "14", P877&gt;600, "16")</f>
        <v>#DIV/0!</v>
      </c>
      <c r="R877" s="75">
        <f t="shared" si="164"/>
        <v>0</v>
      </c>
      <c r="S877" s="75" t="e">
        <f t="shared" si="161"/>
        <v>#DIV/0!</v>
      </c>
      <c r="U877" s="306" t="e">
        <f t="shared" si="162"/>
        <v>#DIV/0!</v>
      </c>
    </row>
    <row r="878" spans="4:21" x14ac:dyDescent="0.35">
      <c r="D878" s="3"/>
      <c r="G878" s="3" t="s">
        <v>87</v>
      </c>
      <c r="M878" s="3"/>
      <c r="N878" s="356" t="e" cm="1">
        <f t="array" ref="N878">_xlfn.IFS(I878="AEX",H878/400,I878="RP",H878/200)</f>
        <v>#N/A</v>
      </c>
      <c r="P878" s="75" t="e">
        <f t="shared" si="163"/>
        <v>#DIV/0!</v>
      </c>
      <c r="Q878" s="3" t="e" cm="1">
        <f t="array" ref="Q878">_xlfn.IFS(P878&lt;200, "10", P878&lt;400, "12", P878&lt;600, "14", P878&gt;600, "16")</f>
        <v>#DIV/0!</v>
      </c>
      <c r="R878" s="75">
        <f t="shared" si="164"/>
        <v>0</v>
      </c>
      <c r="S878" s="75" t="e">
        <f t="shared" si="161"/>
        <v>#DIV/0!</v>
      </c>
      <c r="U878" s="306" t="e">
        <f t="shared" si="162"/>
        <v>#DIV/0!</v>
      </c>
    </row>
    <row r="879" spans="4:21" x14ac:dyDescent="0.35">
      <c r="D879" s="3"/>
      <c r="G879" s="3" t="s">
        <v>87</v>
      </c>
      <c r="M879" s="3"/>
      <c r="N879" s="356" t="e" cm="1">
        <f t="array" ref="N879">_xlfn.IFS(I879="AEX",H879/400,I879="RP",H879/200)</f>
        <v>#N/A</v>
      </c>
      <c r="P879" s="75" t="e">
        <f t="shared" si="163"/>
        <v>#DIV/0!</v>
      </c>
      <c r="Q879" s="3" t="e" cm="1">
        <f t="array" ref="Q879">_xlfn.IFS(P879&lt;200, "10", P879&lt;400, "12", P879&lt;600, "14", P879&gt;600, "16")</f>
        <v>#DIV/0!</v>
      </c>
      <c r="R879" s="75">
        <f t="shared" si="164"/>
        <v>0</v>
      </c>
      <c r="S879" s="75" t="e">
        <f t="shared" si="161"/>
        <v>#DIV/0!</v>
      </c>
      <c r="U879" s="306" t="e">
        <f t="shared" si="162"/>
        <v>#DIV/0!</v>
      </c>
    </row>
    <row r="880" spans="4:21" x14ac:dyDescent="0.35">
      <c r="D880" s="3"/>
      <c r="G880" s="3" t="s">
        <v>87</v>
      </c>
      <c r="M880" s="3"/>
      <c r="N880" s="356" t="e" cm="1">
        <f t="array" ref="N880">_xlfn.IFS(I880="AEX",H880/400,I880="RP",H880/200)</f>
        <v>#N/A</v>
      </c>
      <c r="P880" s="75" t="e">
        <f t="shared" si="163"/>
        <v>#DIV/0!</v>
      </c>
      <c r="Q880" s="3" t="e" cm="1">
        <f t="array" ref="Q880">_xlfn.IFS(P880&lt;200, "10", P880&lt;400, "12", P880&lt;600, "14", P880&gt;600, "16")</f>
        <v>#DIV/0!</v>
      </c>
      <c r="R880" s="75">
        <f t="shared" si="164"/>
        <v>0</v>
      </c>
      <c r="S880" s="75" t="e">
        <f t="shared" si="161"/>
        <v>#DIV/0!</v>
      </c>
      <c r="U880" s="306" t="e">
        <f t="shared" si="162"/>
        <v>#DIV/0!</v>
      </c>
    </row>
    <row r="881" spans="4:21" x14ac:dyDescent="0.35">
      <c r="D881" s="3"/>
      <c r="G881" s="3" t="s">
        <v>87</v>
      </c>
      <c r="M881" s="3"/>
      <c r="N881" s="356" t="e" cm="1">
        <f t="array" ref="N881">_xlfn.IFS(I881="AEX",H881/400,I881="RP",H881/200)</f>
        <v>#N/A</v>
      </c>
      <c r="P881" s="75" t="e">
        <f t="shared" si="163"/>
        <v>#DIV/0!</v>
      </c>
      <c r="Q881" s="3" t="e" cm="1">
        <f t="array" ref="Q881">_xlfn.IFS(P881&lt;200, "10", P881&lt;400, "12", P881&lt;600, "14", P881&gt;600, "16")</f>
        <v>#DIV/0!</v>
      </c>
      <c r="R881" s="75">
        <f t="shared" si="164"/>
        <v>0</v>
      </c>
      <c r="S881" s="75" t="e">
        <f t="shared" si="161"/>
        <v>#DIV/0!</v>
      </c>
      <c r="U881" s="306" t="e">
        <f t="shared" si="162"/>
        <v>#DIV/0!</v>
      </c>
    </row>
    <row r="882" spans="4:21" x14ac:dyDescent="0.35">
      <c r="D882" s="3"/>
      <c r="G882" s="3" t="s">
        <v>87</v>
      </c>
      <c r="M882" s="3"/>
      <c r="N882" s="356" t="e" cm="1">
        <f t="array" ref="N882">_xlfn.IFS(I882="AEX",H882/400,I882="RP",H882/200)</f>
        <v>#N/A</v>
      </c>
      <c r="P882" s="75" t="e">
        <f t="shared" si="163"/>
        <v>#DIV/0!</v>
      </c>
      <c r="Q882" s="3" t="e" cm="1">
        <f t="array" ref="Q882">_xlfn.IFS(P882&lt;200, "10", P882&lt;400, "12", P882&lt;600, "14", P882&gt;600, "16")</f>
        <v>#DIV/0!</v>
      </c>
      <c r="R882" s="75">
        <f t="shared" si="164"/>
        <v>0</v>
      </c>
      <c r="S882" s="75" t="e">
        <f t="shared" si="161"/>
        <v>#DIV/0!</v>
      </c>
      <c r="U882" s="306" t="e">
        <f t="shared" si="162"/>
        <v>#DIV/0!</v>
      </c>
    </row>
    <row r="883" spans="4:21" x14ac:dyDescent="0.35">
      <c r="D883" s="3"/>
      <c r="G883" s="3" t="s">
        <v>87</v>
      </c>
      <c r="M883" s="3"/>
      <c r="N883" s="356" t="e" cm="1">
        <f t="array" ref="N883">_xlfn.IFS(I883="AEX",H883/400,I883="RP",H883/200)</f>
        <v>#N/A</v>
      </c>
      <c r="P883" s="75" t="e">
        <f t="shared" si="163"/>
        <v>#DIV/0!</v>
      </c>
      <c r="Q883" s="3" t="e" cm="1">
        <f t="array" ref="Q883">_xlfn.IFS(P883&lt;200, "10", P883&lt;400, "12", P883&lt;600, "14", P883&gt;600, "16")</f>
        <v>#DIV/0!</v>
      </c>
      <c r="R883" s="75">
        <f t="shared" si="164"/>
        <v>0</v>
      </c>
      <c r="S883" s="75" t="e">
        <f t="shared" ref="S883:S946" si="165">R883/O883</f>
        <v>#DIV/0!</v>
      </c>
      <c r="U883" s="306" t="e">
        <f t="shared" si="162"/>
        <v>#DIV/0!</v>
      </c>
    </row>
    <row r="884" spans="4:21" x14ac:dyDescent="0.35">
      <c r="D884" s="3"/>
      <c r="G884" s="3" t="s">
        <v>87</v>
      </c>
      <c r="M884" s="3"/>
      <c r="N884" s="356" t="e" cm="1">
        <f t="array" ref="N884">_xlfn.IFS(I884="AEX",H884/400,I884="RP",H884/200)</f>
        <v>#N/A</v>
      </c>
      <c r="P884" s="75" t="e">
        <f t="shared" si="163"/>
        <v>#DIV/0!</v>
      </c>
      <c r="Q884" s="3" t="e" cm="1">
        <f t="array" ref="Q884">_xlfn.IFS(P884&lt;200, "10", P884&lt;400, "12", P884&lt;600, "14", P884&gt;600, "16")</f>
        <v>#DIV/0!</v>
      </c>
      <c r="R884" s="75">
        <f t="shared" si="164"/>
        <v>0</v>
      </c>
      <c r="S884" s="75" t="e">
        <f t="shared" si="165"/>
        <v>#DIV/0!</v>
      </c>
      <c r="U884" s="306" t="e">
        <f t="shared" si="162"/>
        <v>#DIV/0!</v>
      </c>
    </row>
    <row r="885" spans="4:21" x14ac:dyDescent="0.35">
      <c r="D885" s="3"/>
      <c r="G885" s="3" t="s">
        <v>87</v>
      </c>
      <c r="M885" s="3"/>
      <c r="N885" s="356" t="e" cm="1">
        <f t="array" ref="N885">_xlfn.IFS(I885="AEX",H885/400,I885="RP",H885/200)</f>
        <v>#N/A</v>
      </c>
      <c r="P885" s="75" t="e">
        <f t="shared" si="163"/>
        <v>#DIV/0!</v>
      </c>
      <c r="Q885" s="3" t="e" cm="1">
        <f t="array" ref="Q885">_xlfn.IFS(P885&lt;200, "10", P885&lt;400, "12", P885&lt;600, "14", P885&gt;600, "16")</f>
        <v>#DIV/0!</v>
      </c>
      <c r="R885" s="75">
        <f t="shared" si="164"/>
        <v>0</v>
      </c>
      <c r="S885" s="75" t="e">
        <f t="shared" si="165"/>
        <v>#DIV/0!</v>
      </c>
      <c r="U885" s="306" t="e">
        <f t="shared" si="162"/>
        <v>#DIV/0!</v>
      </c>
    </row>
    <row r="886" spans="4:21" x14ac:dyDescent="0.35">
      <c r="D886" s="3"/>
      <c r="G886" s="3" t="s">
        <v>87</v>
      </c>
      <c r="M886" s="3"/>
      <c r="N886" s="356" t="e" cm="1">
        <f t="array" ref="N886">_xlfn.IFS(I886="AEX",H886/400,I886="RP",H886/200)</f>
        <v>#N/A</v>
      </c>
      <c r="P886" s="75" t="e">
        <f t="shared" si="163"/>
        <v>#DIV/0!</v>
      </c>
      <c r="Q886" s="3" t="e" cm="1">
        <f t="array" ref="Q886">_xlfn.IFS(P886&lt;200, "10", P886&lt;400, "12", P886&lt;600, "14", P886&gt;600, "16")</f>
        <v>#DIV/0!</v>
      </c>
      <c r="R886" s="75">
        <f t="shared" si="164"/>
        <v>0</v>
      </c>
      <c r="S886" s="75" t="e">
        <f t="shared" si="165"/>
        <v>#DIV/0!</v>
      </c>
      <c r="U886" s="306" t="e">
        <f t="shared" si="162"/>
        <v>#DIV/0!</v>
      </c>
    </row>
    <row r="887" spans="4:21" x14ac:dyDescent="0.35">
      <c r="D887" s="3"/>
      <c r="G887" s="3" t="s">
        <v>87</v>
      </c>
      <c r="M887" s="3"/>
      <c r="N887" s="356" t="e" cm="1">
        <f t="array" ref="N887">_xlfn.IFS(I887="AEX",H887/400,I887="RP",H887/200)</f>
        <v>#N/A</v>
      </c>
      <c r="P887" s="75" t="e">
        <f t="shared" si="163"/>
        <v>#DIV/0!</v>
      </c>
      <c r="Q887" s="3" t="e" cm="1">
        <f t="array" ref="Q887">_xlfn.IFS(P887&lt;200, "10", P887&lt;400, "12", P887&lt;600, "14", P887&gt;600, "16")</f>
        <v>#DIV/0!</v>
      </c>
      <c r="R887" s="75">
        <f t="shared" si="164"/>
        <v>0</v>
      </c>
      <c r="S887" s="75" t="e">
        <f t="shared" si="165"/>
        <v>#DIV/0!</v>
      </c>
      <c r="U887" s="306" t="e">
        <f t="shared" si="162"/>
        <v>#DIV/0!</v>
      </c>
    </row>
    <row r="888" spans="4:21" x14ac:dyDescent="0.35">
      <c r="D888" s="3"/>
      <c r="G888" s="3" t="s">
        <v>87</v>
      </c>
      <c r="M888" s="3"/>
      <c r="N888" s="356" t="e" cm="1">
        <f t="array" ref="N888">_xlfn.IFS(I888="AEX",H888/400,I888="RP",H888/200)</f>
        <v>#N/A</v>
      </c>
      <c r="P888" s="75" t="e">
        <f t="shared" si="163"/>
        <v>#DIV/0!</v>
      </c>
      <c r="Q888" s="3" t="e" cm="1">
        <f t="array" ref="Q888">_xlfn.IFS(P888&lt;200, "10", P888&lt;400, "12", P888&lt;600, "14", P888&gt;600, "16")</f>
        <v>#DIV/0!</v>
      </c>
      <c r="R888" s="75">
        <f t="shared" si="164"/>
        <v>0</v>
      </c>
      <c r="S888" s="75" t="e">
        <f t="shared" si="165"/>
        <v>#DIV/0!</v>
      </c>
      <c r="U888" s="306" t="e">
        <f t="shared" si="162"/>
        <v>#DIV/0!</v>
      </c>
    </row>
    <row r="889" spans="4:21" x14ac:dyDescent="0.35">
      <c r="D889" s="3"/>
      <c r="G889" s="3" t="s">
        <v>87</v>
      </c>
      <c r="M889" s="3"/>
      <c r="N889" s="356" t="e" cm="1">
        <f t="array" ref="N889">_xlfn.IFS(I889="AEX",H889/400,I889="RP",H889/200)</f>
        <v>#N/A</v>
      </c>
      <c r="P889" s="75" t="e">
        <f t="shared" si="163"/>
        <v>#DIV/0!</v>
      </c>
      <c r="Q889" s="3" t="e" cm="1">
        <f t="array" ref="Q889">_xlfn.IFS(P889&lt;200, "10", P889&lt;400, "12", P889&lt;600, "14", P889&gt;600, "16")</f>
        <v>#DIV/0!</v>
      </c>
      <c r="R889" s="75">
        <f t="shared" si="164"/>
        <v>0</v>
      </c>
      <c r="S889" s="75" t="e">
        <f t="shared" si="165"/>
        <v>#DIV/0!</v>
      </c>
      <c r="U889" s="306" t="e">
        <f t="shared" si="162"/>
        <v>#DIV/0!</v>
      </c>
    </row>
    <row r="890" spans="4:21" x14ac:dyDescent="0.35">
      <c r="D890" s="3"/>
      <c r="G890" s="3" t="s">
        <v>87</v>
      </c>
      <c r="M890" s="3"/>
      <c r="N890" s="356" t="e" cm="1">
        <f t="array" ref="N890">_xlfn.IFS(I890="AEX",H890/400,I890="RP",H890/200)</f>
        <v>#N/A</v>
      </c>
      <c r="P890" s="75" t="e">
        <f t="shared" si="163"/>
        <v>#DIV/0!</v>
      </c>
      <c r="Q890" s="3" t="e" cm="1">
        <f t="array" ref="Q890">_xlfn.IFS(P890&lt;200, "10", P890&lt;400, "12", P890&lt;600, "14", P890&gt;600, "16")</f>
        <v>#DIV/0!</v>
      </c>
      <c r="R890" s="75">
        <f t="shared" si="164"/>
        <v>0</v>
      </c>
      <c r="S890" s="75" t="e">
        <f t="shared" si="165"/>
        <v>#DIV/0!</v>
      </c>
      <c r="U890" s="306" t="e">
        <f t="shared" si="162"/>
        <v>#DIV/0!</v>
      </c>
    </row>
    <row r="891" spans="4:21" x14ac:dyDescent="0.35">
      <c r="D891" s="3"/>
      <c r="G891" s="3" t="s">
        <v>87</v>
      </c>
      <c r="M891" s="3"/>
      <c r="N891" s="356" t="e" cm="1">
        <f t="array" ref="N891">_xlfn.IFS(I891="AEX",H891/400,I891="RP",H891/200)</f>
        <v>#N/A</v>
      </c>
      <c r="P891" s="75" t="e">
        <f t="shared" si="163"/>
        <v>#DIV/0!</v>
      </c>
      <c r="Q891" s="3" t="e" cm="1">
        <f t="array" ref="Q891">_xlfn.IFS(P891&lt;200, "10", P891&lt;400, "12", P891&lt;600, "14", P891&gt;600, "16")</f>
        <v>#DIV/0!</v>
      </c>
      <c r="R891" s="75">
        <f t="shared" si="164"/>
        <v>0</v>
      </c>
      <c r="S891" s="75" t="e">
        <f t="shared" si="165"/>
        <v>#DIV/0!</v>
      </c>
      <c r="U891" s="306" t="e">
        <f t="shared" si="162"/>
        <v>#DIV/0!</v>
      </c>
    </row>
    <row r="892" spans="4:21" x14ac:dyDescent="0.35">
      <c r="D892" s="3"/>
      <c r="G892" s="3" t="s">
        <v>87</v>
      </c>
      <c r="M892" s="3"/>
      <c r="N892" s="356" t="e" cm="1">
        <f t="array" ref="N892">_xlfn.IFS(I892="AEX",H892/400,I892="RP",H892/200)</f>
        <v>#N/A</v>
      </c>
      <c r="P892" s="75" t="e">
        <f t="shared" si="163"/>
        <v>#DIV/0!</v>
      </c>
      <c r="Q892" s="3" t="e" cm="1">
        <f t="array" ref="Q892">_xlfn.IFS(P892&lt;200, "10", P892&lt;400, "12", P892&lt;600, "14", P892&gt;600, "16")</f>
        <v>#DIV/0!</v>
      </c>
      <c r="R892" s="75">
        <f t="shared" si="164"/>
        <v>0</v>
      </c>
      <c r="S892" s="75" t="e">
        <f t="shared" si="165"/>
        <v>#DIV/0!</v>
      </c>
      <c r="U892" s="306" t="e">
        <f t="shared" si="162"/>
        <v>#DIV/0!</v>
      </c>
    </row>
    <row r="893" spans="4:21" x14ac:dyDescent="0.35">
      <c r="D893" s="3"/>
      <c r="G893" s="3" t="s">
        <v>87</v>
      </c>
      <c r="M893" s="3"/>
      <c r="N893" s="356" t="e" cm="1">
        <f t="array" ref="N893">_xlfn.IFS(I893="AEX",H893/400,I893="RP",H893/200)</f>
        <v>#N/A</v>
      </c>
      <c r="P893" s="75" t="e">
        <f t="shared" si="163"/>
        <v>#DIV/0!</v>
      </c>
      <c r="Q893" s="3" t="e" cm="1">
        <f t="array" ref="Q893">_xlfn.IFS(P893&lt;200, "10", P893&lt;400, "12", P893&lt;600, "14", P893&gt;600, "16")</f>
        <v>#DIV/0!</v>
      </c>
      <c r="R893" s="75">
        <f t="shared" si="164"/>
        <v>0</v>
      </c>
      <c r="S893" s="75" t="e">
        <f t="shared" si="165"/>
        <v>#DIV/0!</v>
      </c>
      <c r="U893" s="306" t="e">
        <f t="shared" si="162"/>
        <v>#DIV/0!</v>
      </c>
    </row>
    <row r="894" spans="4:21" x14ac:dyDescent="0.35">
      <c r="D894" s="3"/>
      <c r="G894" s="3" t="s">
        <v>87</v>
      </c>
      <c r="M894" s="3"/>
      <c r="N894" s="356" t="e" cm="1">
        <f t="array" ref="N894">_xlfn.IFS(I894="AEX",H894/400,I894="RP",H894/200)</f>
        <v>#N/A</v>
      </c>
      <c r="P894" s="75" t="e">
        <f t="shared" si="163"/>
        <v>#DIV/0!</v>
      </c>
      <c r="Q894" s="3" t="e" cm="1">
        <f t="array" ref="Q894">_xlfn.IFS(P894&lt;200, "10", P894&lt;400, "12", P894&lt;600, "14", P894&gt;600, "16")</f>
        <v>#DIV/0!</v>
      </c>
      <c r="R894" s="75">
        <f t="shared" si="164"/>
        <v>0</v>
      </c>
      <c r="S894" s="75" t="e">
        <f t="shared" si="165"/>
        <v>#DIV/0!</v>
      </c>
      <c r="U894" s="306" t="e">
        <f t="shared" si="162"/>
        <v>#DIV/0!</v>
      </c>
    </row>
    <row r="895" spans="4:21" x14ac:dyDescent="0.35">
      <c r="D895" s="3"/>
      <c r="G895" s="3" t="s">
        <v>87</v>
      </c>
      <c r="M895" s="3"/>
      <c r="N895" s="356" t="e" cm="1">
        <f t="array" ref="N895">_xlfn.IFS(I895="AEX",H895/400,I895="RP",H895/200)</f>
        <v>#N/A</v>
      </c>
      <c r="P895" s="75" t="e">
        <f t="shared" si="163"/>
        <v>#DIV/0!</v>
      </c>
      <c r="Q895" s="3" t="e" cm="1">
        <f t="array" ref="Q895">_xlfn.IFS(P895&lt;200, "10", P895&lt;400, "12", P895&lt;600, "14", P895&gt;600, "16")</f>
        <v>#DIV/0!</v>
      </c>
      <c r="R895" s="75">
        <f t="shared" si="164"/>
        <v>0</v>
      </c>
      <c r="S895" s="75" t="e">
        <f t="shared" si="165"/>
        <v>#DIV/0!</v>
      </c>
      <c r="U895" s="306" t="e">
        <f t="shared" si="162"/>
        <v>#DIV/0!</v>
      </c>
    </row>
    <row r="896" spans="4:21" x14ac:dyDescent="0.35">
      <c r="D896" s="3"/>
      <c r="G896" s="3" t="s">
        <v>87</v>
      </c>
      <c r="M896" s="3"/>
      <c r="N896" s="356" t="e" cm="1">
        <f t="array" ref="N896">_xlfn.IFS(I896="AEX",H896/400,I896="RP",H896/200)</f>
        <v>#N/A</v>
      </c>
      <c r="P896" s="75" t="e">
        <f t="shared" si="163"/>
        <v>#DIV/0!</v>
      </c>
      <c r="Q896" s="3" t="e" cm="1">
        <f t="array" ref="Q896">_xlfn.IFS(P896&lt;200, "10", P896&lt;400, "12", P896&lt;600, "14", P896&gt;600, "16")</f>
        <v>#DIV/0!</v>
      </c>
      <c r="R896" s="75">
        <f t="shared" si="164"/>
        <v>0</v>
      </c>
      <c r="S896" s="75" t="e">
        <f t="shared" si="165"/>
        <v>#DIV/0!</v>
      </c>
      <c r="U896" s="306" t="e">
        <f t="shared" si="162"/>
        <v>#DIV/0!</v>
      </c>
    </row>
    <row r="897" spans="4:21" x14ac:dyDescent="0.35">
      <c r="D897" s="3"/>
      <c r="G897" s="3" t="s">
        <v>87</v>
      </c>
      <c r="M897" s="3"/>
      <c r="N897" s="356" t="e" cm="1">
        <f t="array" ref="N897">_xlfn.IFS(I897="AEX",H897/400,I897="RP",H897/200)</f>
        <v>#N/A</v>
      </c>
      <c r="P897" s="75" t="e">
        <f t="shared" si="163"/>
        <v>#DIV/0!</v>
      </c>
      <c r="Q897" s="3" t="e" cm="1">
        <f t="array" ref="Q897">_xlfn.IFS(P897&lt;200, "10", P897&lt;400, "12", P897&lt;600, "14", P897&gt;600, "16")</f>
        <v>#DIV/0!</v>
      </c>
      <c r="R897" s="75">
        <f t="shared" si="164"/>
        <v>0</v>
      </c>
      <c r="S897" s="75" t="e">
        <f t="shared" si="165"/>
        <v>#DIV/0!</v>
      </c>
      <c r="U897" s="306" t="e">
        <f t="shared" si="162"/>
        <v>#DIV/0!</v>
      </c>
    </row>
    <row r="898" spans="4:21" x14ac:dyDescent="0.35">
      <c r="D898" s="3"/>
      <c r="G898" s="3" t="s">
        <v>87</v>
      </c>
      <c r="M898" s="3"/>
      <c r="N898" s="356" t="e" cm="1">
        <f t="array" ref="N898">_xlfn.IFS(I898="AEX",H898/400,I898="RP",H898/200)</f>
        <v>#N/A</v>
      </c>
      <c r="P898" s="75" t="e">
        <f t="shared" si="163"/>
        <v>#DIV/0!</v>
      </c>
      <c r="Q898" s="3" t="e" cm="1">
        <f t="array" ref="Q898">_xlfn.IFS(P898&lt;200, "10", P898&lt;400, "12", P898&lt;600, "14", P898&gt;600, "16")</f>
        <v>#DIV/0!</v>
      </c>
      <c r="R898" s="75">
        <f t="shared" si="164"/>
        <v>0</v>
      </c>
      <c r="S898" s="75" t="e">
        <f t="shared" si="165"/>
        <v>#DIV/0!</v>
      </c>
      <c r="U898" s="306" t="e">
        <f t="shared" ref="U898:U961" si="166">T898/H898*100</f>
        <v>#DIV/0!</v>
      </c>
    </row>
    <row r="899" spans="4:21" x14ac:dyDescent="0.35">
      <c r="D899" s="3"/>
      <c r="G899" s="3" t="s">
        <v>87</v>
      </c>
      <c r="M899" s="3"/>
      <c r="N899" s="356" t="e" cm="1">
        <f t="array" ref="N899">_xlfn.IFS(I899="AEX",H899/400,I899="RP",H899/200)</f>
        <v>#N/A</v>
      </c>
      <c r="P899" s="75" t="e">
        <f t="shared" si="163"/>
        <v>#DIV/0!</v>
      </c>
      <c r="Q899" s="3" t="e" cm="1">
        <f t="array" ref="Q899">_xlfn.IFS(P899&lt;200, "10", P899&lt;400, "12", P899&lt;600, "14", P899&gt;600, "16")</f>
        <v>#DIV/0!</v>
      </c>
      <c r="R899" s="75">
        <f t="shared" si="164"/>
        <v>0</v>
      </c>
      <c r="S899" s="75" t="e">
        <f t="shared" si="165"/>
        <v>#DIV/0!</v>
      </c>
      <c r="U899" s="306" t="e">
        <f t="shared" si="166"/>
        <v>#DIV/0!</v>
      </c>
    </row>
    <row r="900" spans="4:21" x14ac:dyDescent="0.35">
      <c r="D900" s="3"/>
      <c r="G900" s="3" t="s">
        <v>87</v>
      </c>
      <c r="M900" s="3"/>
      <c r="N900" s="356" t="e" cm="1">
        <f t="array" ref="N900">_xlfn.IFS(I900="AEX",H900/400,I900="RP",H900/200)</f>
        <v>#N/A</v>
      </c>
      <c r="P900" s="75" t="e">
        <f t="shared" si="163"/>
        <v>#DIV/0!</v>
      </c>
      <c r="Q900" s="3" t="e" cm="1">
        <f t="array" ref="Q900">_xlfn.IFS(P900&lt;200, "10", P900&lt;400, "12", P900&lt;600, "14", P900&gt;600, "16")</f>
        <v>#DIV/0!</v>
      </c>
      <c r="R900" s="75">
        <f t="shared" si="164"/>
        <v>0</v>
      </c>
      <c r="S900" s="75" t="e">
        <f t="shared" si="165"/>
        <v>#DIV/0!</v>
      </c>
      <c r="U900" s="306" t="e">
        <f t="shared" si="166"/>
        <v>#DIV/0!</v>
      </c>
    </row>
    <row r="901" spans="4:21" x14ac:dyDescent="0.35">
      <c r="D901" s="3"/>
      <c r="G901" s="3" t="s">
        <v>87</v>
      </c>
      <c r="M901" s="3"/>
      <c r="N901" s="356" t="e" cm="1">
        <f t="array" ref="N901">_xlfn.IFS(I901="AEX",H901/400,I901="RP",H901/200)</f>
        <v>#N/A</v>
      </c>
      <c r="P901" s="75" t="e">
        <f t="shared" si="163"/>
        <v>#DIV/0!</v>
      </c>
      <c r="Q901" s="3" t="e" cm="1">
        <f t="array" ref="Q901">_xlfn.IFS(P901&lt;200, "10", P901&lt;400, "12", P901&lt;600, "14", P901&gt;600, "16")</f>
        <v>#DIV/0!</v>
      </c>
      <c r="R901" s="75">
        <f t="shared" si="164"/>
        <v>0</v>
      </c>
      <c r="S901" s="75" t="e">
        <f t="shared" si="165"/>
        <v>#DIV/0!</v>
      </c>
      <c r="U901" s="306" t="e">
        <f t="shared" si="166"/>
        <v>#DIV/0!</v>
      </c>
    </row>
    <row r="902" spans="4:21" x14ac:dyDescent="0.35">
      <c r="D902" s="3"/>
      <c r="G902" s="3" t="s">
        <v>87</v>
      </c>
      <c r="M902" s="3"/>
      <c r="N902" s="356" t="e" cm="1">
        <f t="array" ref="N902">_xlfn.IFS(I902="AEX",H902/400,I902="RP",H902/200)</f>
        <v>#N/A</v>
      </c>
      <c r="P902" s="75" t="e">
        <f t="shared" si="163"/>
        <v>#DIV/0!</v>
      </c>
      <c r="Q902" s="3" t="e" cm="1">
        <f t="array" ref="Q902">_xlfn.IFS(P902&lt;200, "10", P902&lt;400, "12", P902&lt;600, "14", P902&gt;600, "16")</f>
        <v>#DIV/0!</v>
      </c>
      <c r="R902" s="75">
        <f t="shared" si="164"/>
        <v>0</v>
      </c>
      <c r="S902" s="75" t="e">
        <f t="shared" si="165"/>
        <v>#DIV/0!</v>
      </c>
      <c r="U902" s="306" t="e">
        <f t="shared" si="166"/>
        <v>#DIV/0!</v>
      </c>
    </row>
    <row r="903" spans="4:21" x14ac:dyDescent="0.35">
      <c r="D903" s="3"/>
      <c r="G903" s="3" t="s">
        <v>87</v>
      </c>
      <c r="M903" s="3"/>
      <c r="N903" s="356" t="e" cm="1">
        <f t="array" ref="N903">_xlfn.IFS(I903="AEX",H903/400,I903="RP",H903/200)</f>
        <v>#N/A</v>
      </c>
      <c r="P903" s="75" t="e">
        <f t="shared" si="163"/>
        <v>#DIV/0!</v>
      </c>
      <c r="Q903" s="3" t="e" cm="1">
        <f t="array" ref="Q903">_xlfn.IFS(P903&lt;200, "10", P903&lt;400, "12", P903&lt;600, "14", P903&gt;600, "16")</f>
        <v>#DIV/0!</v>
      </c>
      <c r="R903" s="75">
        <f t="shared" si="164"/>
        <v>0</v>
      </c>
      <c r="S903" s="75" t="e">
        <f t="shared" si="165"/>
        <v>#DIV/0!</v>
      </c>
      <c r="U903" s="306" t="e">
        <f t="shared" si="166"/>
        <v>#DIV/0!</v>
      </c>
    </row>
    <row r="904" spans="4:21" x14ac:dyDescent="0.35">
      <c r="D904" s="3"/>
      <c r="G904" s="3" t="s">
        <v>87</v>
      </c>
      <c r="M904" s="3"/>
      <c r="N904" s="356" t="e" cm="1">
        <f t="array" ref="N904">_xlfn.IFS(I904="AEX",H904/400,I904="RP",H904/200)</f>
        <v>#N/A</v>
      </c>
      <c r="P904" s="75" t="e">
        <f t="shared" si="163"/>
        <v>#DIV/0!</v>
      </c>
      <c r="Q904" s="3" t="e" cm="1">
        <f t="array" ref="Q904">_xlfn.IFS(P904&lt;200, "10", P904&lt;400, "12", P904&lt;600, "14", P904&gt;600, "16")</f>
        <v>#DIV/0!</v>
      </c>
      <c r="R904" s="75">
        <f t="shared" si="164"/>
        <v>0</v>
      </c>
      <c r="S904" s="75" t="e">
        <f t="shared" si="165"/>
        <v>#DIV/0!</v>
      </c>
      <c r="U904" s="306" t="e">
        <f t="shared" si="166"/>
        <v>#DIV/0!</v>
      </c>
    </row>
    <row r="905" spans="4:21" x14ac:dyDescent="0.35">
      <c r="D905" s="3"/>
      <c r="G905" s="3" t="s">
        <v>87</v>
      </c>
      <c r="M905" s="3"/>
      <c r="N905" s="356" t="e" cm="1">
        <f t="array" ref="N905">_xlfn.IFS(I905="AEX",H905/400,I905="RP",H905/200)</f>
        <v>#N/A</v>
      </c>
      <c r="P905" s="75" t="e">
        <f t="shared" si="163"/>
        <v>#DIV/0!</v>
      </c>
      <c r="Q905" s="3" t="e" cm="1">
        <f t="array" ref="Q905">_xlfn.IFS(P905&lt;200, "10", P905&lt;400, "12", P905&lt;600, "14", P905&gt;600, "16")</f>
        <v>#DIV/0!</v>
      </c>
      <c r="R905" s="75">
        <f t="shared" si="164"/>
        <v>0</v>
      </c>
      <c r="S905" s="75" t="e">
        <f t="shared" si="165"/>
        <v>#DIV/0!</v>
      </c>
      <c r="U905" s="306" t="e">
        <f t="shared" si="166"/>
        <v>#DIV/0!</v>
      </c>
    </row>
    <row r="906" spans="4:21" x14ac:dyDescent="0.35">
      <c r="D906" s="3"/>
      <c r="G906" s="3" t="s">
        <v>87</v>
      </c>
      <c r="M906" s="3"/>
      <c r="N906" s="356" t="e" cm="1">
        <f t="array" ref="N906">_xlfn.IFS(I906="AEX",H906/400,I906="RP",H906/200)</f>
        <v>#N/A</v>
      </c>
      <c r="P906" s="75" t="e">
        <f t="shared" si="163"/>
        <v>#DIV/0!</v>
      </c>
      <c r="Q906" s="3" t="e" cm="1">
        <f t="array" ref="Q906">_xlfn.IFS(P906&lt;200, "10", P906&lt;400, "12", P906&lt;600, "14", P906&gt;600, "16")</f>
        <v>#DIV/0!</v>
      </c>
      <c r="R906" s="75">
        <f t="shared" si="164"/>
        <v>0</v>
      </c>
      <c r="S906" s="75" t="e">
        <f t="shared" si="165"/>
        <v>#DIV/0!</v>
      </c>
      <c r="U906" s="306" t="e">
        <f t="shared" si="166"/>
        <v>#DIV/0!</v>
      </c>
    </row>
    <row r="907" spans="4:21" x14ac:dyDescent="0.35">
      <c r="D907" s="3"/>
      <c r="G907" s="3" t="s">
        <v>87</v>
      </c>
      <c r="M907" s="3"/>
      <c r="N907" s="356" t="e" cm="1">
        <f t="array" ref="N907">_xlfn.IFS(I907="AEX",H907/400,I907="RP",H907/200)</f>
        <v>#N/A</v>
      </c>
      <c r="P907" s="75" t="e">
        <f t="shared" si="163"/>
        <v>#DIV/0!</v>
      </c>
      <c r="Q907" s="3" t="e" cm="1">
        <f t="array" ref="Q907">_xlfn.IFS(P907&lt;200, "10", P907&lt;400, "12", P907&lt;600, "14", P907&gt;600, "16")</f>
        <v>#DIV/0!</v>
      </c>
      <c r="R907" s="75">
        <f t="shared" si="164"/>
        <v>0</v>
      </c>
      <c r="S907" s="75" t="e">
        <f t="shared" si="165"/>
        <v>#DIV/0!</v>
      </c>
      <c r="U907" s="306" t="e">
        <f t="shared" si="166"/>
        <v>#DIV/0!</v>
      </c>
    </row>
    <row r="908" spans="4:21" x14ac:dyDescent="0.35">
      <c r="D908" s="3"/>
      <c r="G908" s="3" t="s">
        <v>87</v>
      </c>
      <c r="M908" s="3"/>
      <c r="N908" s="356" t="e" cm="1">
        <f t="array" ref="N908">_xlfn.IFS(I908="AEX",H908/400,I908="RP",H908/200)</f>
        <v>#N/A</v>
      </c>
      <c r="P908" s="75" t="e">
        <f t="shared" si="163"/>
        <v>#DIV/0!</v>
      </c>
      <c r="Q908" s="3" t="e" cm="1">
        <f t="array" ref="Q908">_xlfn.IFS(P908&lt;200, "10", P908&lt;400, "12", P908&lt;600, "14", P908&gt;600, "16")</f>
        <v>#DIV/0!</v>
      </c>
      <c r="R908" s="75">
        <f t="shared" si="164"/>
        <v>0</v>
      </c>
      <c r="S908" s="75" t="e">
        <f t="shared" si="165"/>
        <v>#DIV/0!</v>
      </c>
      <c r="U908" s="306" t="e">
        <f t="shared" si="166"/>
        <v>#DIV/0!</v>
      </c>
    </row>
    <row r="909" spans="4:21" x14ac:dyDescent="0.35">
      <c r="D909" s="3"/>
      <c r="G909" s="3" t="s">
        <v>87</v>
      </c>
      <c r="M909" s="3"/>
      <c r="N909" s="356" t="e" cm="1">
        <f t="array" ref="N909">_xlfn.IFS(I909="AEX",H909/400,I909="RP",H909/200)</f>
        <v>#N/A</v>
      </c>
      <c r="P909" s="75" t="e">
        <f t="shared" si="163"/>
        <v>#DIV/0!</v>
      </c>
      <c r="Q909" s="3" t="e" cm="1">
        <f t="array" ref="Q909">_xlfn.IFS(P909&lt;200, "10", P909&lt;400, "12", P909&lt;600, "14", P909&gt;600, "16")</f>
        <v>#DIV/0!</v>
      </c>
      <c r="R909" s="75">
        <f t="shared" si="164"/>
        <v>0</v>
      </c>
      <c r="S909" s="75" t="e">
        <f t="shared" si="165"/>
        <v>#DIV/0!</v>
      </c>
      <c r="U909" s="306" t="e">
        <f t="shared" si="166"/>
        <v>#DIV/0!</v>
      </c>
    </row>
    <row r="910" spans="4:21" x14ac:dyDescent="0.35">
      <c r="D910" s="3"/>
      <c r="G910" s="3" t="s">
        <v>87</v>
      </c>
      <c r="M910" s="3"/>
      <c r="N910" s="356" t="e" cm="1">
        <f t="array" ref="N910">_xlfn.IFS(I910="AEX",H910/400,I910="RP",H910/200)</f>
        <v>#N/A</v>
      </c>
      <c r="P910" s="75" t="e">
        <f t="shared" si="163"/>
        <v>#DIV/0!</v>
      </c>
      <c r="Q910" s="3" t="e" cm="1">
        <f t="array" ref="Q910">_xlfn.IFS(P910&lt;200, "10", P910&lt;400, "12", P910&lt;600, "14", P910&gt;600, "16")</f>
        <v>#DIV/0!</v>
      </c>
      <c r="R910" s="75">
        <f t="shared" si="164"/>
        <v>0</v>
      </c>
      <c r="S910" s="75" t="e">
        <f t="shared" si="165"/>
        <v>#DIV/0!</v>
      </c>
      <c r="U910" s="306" t="e">
        <f t="shared" si="166"/>
        <v>#DIV/0!</v>
      </c>
    </row>
    <row r="911" spans="4:21" x14ac:dyDescent="0.35">
      <c r="D911" s="3"/>
      <c r="G911" s="3" t="s">
        <v>87</v>
      </c>
      <c r="M911" s="3"/>
      <c r="N911" s="356" t="e" cm="1">
        <f t="array" ref="N911">_xlfn.IFS(I911="AEX",H911/400,I911="RP",H911/200)</f>
        <v>#N/A</v>
      </c>
      <c r="P911" s="75" t="e">
        <f t="shared" si="163"/>
        <v>#DIV/0!</v>
      </c>
      <c r="Q911" s="3" t="e" cm="1">
        <f t="array" ref="Q911">_xlfn.IFS(P911&lt;200, "10", P911&lt;400, "12", P911&lt;600, "14", P911&gt;600, "16")</f>
        <v>#DIV/0!</v>
      </c>
      <c r="R911" s="75">
        <f t="shared" si="164"/>
        <v>0</v>
      </c>
      <c r="S911" s="75" t="e">
        <f t="shared" si="165"/>
        <v>#DIV/0!</v>
      </c>
      <c r="U911" s="306" t="e">
        <f t="shared" si="166"/>
        <v>#DIV/0!</v>
      </c>
    </row>
    <row r="912" spans="4:21" x14ac:dyDescent="0.35">
      <c r="D912" s="3"/>
      <c r="G912" s="3" t="s">
        <v>87</v>
      </c>
      <c r="M912" s="3"/>
      <c r="N912" s="356" t="e" cm="1">
        <f t="array" ref="N912">_xlfn.IFS(I912="AEX",H912/400,I912="RP",H912/200)</f>
        <v>#N/A</v>
      </c>
      <c r="P912" s="75" t="e">
        <f t="shared" si="163"/>
        <v>#DIV/0!</v>
      </c>
      <c r="Q912" s="3" t="e" cm="1">
        <f t="array" ref="Q912">_xlfn.IFS(P912&lt;200, "10", P912&lt;400, "12", P912&lt;600, "14", P912&gt;600, "16")</f>
        <v>#DIV/0!</v>
      </c>
      <c r="R912" s="75">
        <f t="shared" si="164"/>
        <v>0</v>
      </c>
      <c r="S912" s="75" t="e">
        <f t="shared" si="165"/>
        <v>#DIV/0!</v>
      </c>
      <c r="U912" s="306" t="e">
        <f t="shared" si="166"/>
        <v>#DIV/0!</v>
      </c>
    </row>
    <row r="913" spans="4:21" x14ac:dyDescent="0.35">
      <c r="D913" s="3"/>
      <c r="G913" s="3" t="s">
        <v>87</v>
      </c>
      <c r="M913" s="3"/>
      <c r="N913" s="356" t="e" cm="1">
        <f t="array" ref="N913">_xlfn.IFS(I913="AEX",H913/400,I913="RP",H913/200)</f>
        <v>#N/A</v>
      </c>
      <c r="P913" s="75" t="e">
        <f t="shared" si="163"/>
        <v>#DIV/0!</v>
      </c>
      <c r="Q913" s="3" t="e" cm="1">
        <f t="array" ref="Q913">_xlfn.IFS(P913&lt;200, "10", P913&lt;400, "12", P913&lt;600, "14", P913&gt;600, "16")</f>
        <v>#DIV/0!</v>
      </c>
      <c r="R913" s="75">
        <f t="shared" si="164"/>
        <v>0</v>
      </c>
      <c r="S913" s="75" t="e">
        <f t="shared" si="165"/>
        <v>#DIV/0!</v>
      </c>
      <c r="U913" s="306" t="e">
        <f t="shared" si="166"/>
        <v>#DIV/0!</v>
      </c>
    </row>
    <row r="914" spans="4:21" x14ac:dyDescent="0.35">
      <c r="D914" s="3"/>
      <c r="G914" s="3" t="s">
        <v>87</v>
      </c>
      <c r="M914" s="3"/>
      <c r="N914" s="356" t="e" cm="1">
        <f t="array" ref="N914">_xlfn.IFS(I914="AEX",H914/400,I914="RP",H914/200)</f>
        <v>#N/A</v>
      </c>
      <c r="P914" s="75" t="e">
        <f t="shared" si="163"/>
        <v>#DIV/0!</v>
      </c>
      <c r="Q914" s="3" t="e" cm="1">
        <f t="array" ref="Q914">_xlfn.IFS(P914&lt;200, "10", P914&lt;400, "12", P914&lt;600, "14", P914&gt;600, "16")</f>
        <v>#DIV/0!</v>
      </c>
      <c r="R914" s="75">
        <f t="shared" si="164"/>
        <v>0</v>
      </c>
      <c r="S914" s="75" t="e">
        <f t="shared" si="165"/>
        <v>#DIV/0!</v>
      </c>
      <c r="U914" s="306" t="e">
        <f t="shared" si="166"/>
        <v>#DIV/0!</v>
      </c>
    </row>
    <row r="915" spans="4:21" x14ac:dyDescent="0.35">
      <c r="D915" s="3"/>
      <c r="G915" s="3" t="s">
        <v>87</v>
      </c>
      <c r="M915" s="3"/>
      <c r="N915" s="356" t="e" cm="1">
        <f t="array" ref="N915">_xlfn.IFS(I915="AEX",H915/400,I915="RP",H915/200)</f>
        <v>#N/A</v>
      </c>
      <c r="P915" s="75" t="e">
        <f t="shared" si="163"/>
        <v>#DIV/0!</v>
      </c>
      <c r="Q915" s="3" t="e" cm="1">
        <f t="array" ref="Q915">_xlfn.IFS(P915&lt;200, "10", P915&lt;400, "12", P915&lt;600, "14", P915&gt;600, "16")</f>
        <v>#DIV/0!</v>
      </c>
      <c r="R915" s="75">
        <f t="shared" si="164"/>
        <v>0</v>
      </c>
      <c r="S915" s="75" t="e">
        <f t="shared" si="165"/>
        <v>#DIV/0!</v>
      </c>
      <c r="U915" s="306" t="e">
        <f t="shared" si="166"/>
        <v>#DIV/0!</v>
      </c>
    </row>
    <row r="916" spans="4:21" x14ac:dyDescent="0.35">
      <c r="D916" s="3"/>
      <c r="G916" s="3" t="s">
        <v>87</v>
      </c>
      <c r="M916" s="3"/>
      <c r="N916" s="356" t="e" cm="1">
        <f t="array" ref="N916">_xlfn.IFS(I916="AEX",H916/400,I916="RP",H916/200)</f>
        <v>#N/A</v>
      </c>
      <c r="P916" s="75" t="e">
        <f t="shared" si="163"/>
        <v>#DIV/0!</v>
      </c>
      <c r="Q916" s="3" t="e" cm="1">
        <f t="array" ref="Q916">_xlfn.IFS(P916&lt;200, "10", P916&lt;400, "12", P916&lt;600, "14", P916&gt;600, "16")</f>
        <v>#DIV/0!</v>
      </c>
      <c r="R916" s="75">
        <f t="shared" si="164"/>
        <v>0</v>
      </c>
      <c r="S916" s="75" t="e">
        <f t="shared" si="165"/>
        <v>#DIV/0!</v>
      </c>
      <c r="U916" s="306" t="e">
        <f t="shared" si="166"/>
        <v>#DIV/0!</v>
      </c>
    </row>
    <row r="917" spans="4:21" x14ac:dyDescent="0.35">
      <c r="D917" s="3"/>
      <c r="G917" s="3" t="s">
        <v>87</v>
      </c>
      <c r="M917" s="3"/>
      <c r="N917" s="356" t="e" cm="1">
        <f t="array" ref="N917">_xlfn.IFS(I917="AEX",H917/400,I917="RP",H917/200)</f>
        <v>#N/A</v>
      </c>
      <c r="P917" s="75" t="e">
        <f t="shared" si="163"/>
        <v>#DIV/0!</v>
      </c>
      <c r="Q917" s="3" t="e" cm="1">
        <f t="array" ref="Q917">_xlfn.IFS(P917&lt;200, "10", P917&lt;400, "12", P917&lt;600, "14", P917&gt;600, "16")</f>
        <v>#DIV/0!</v>
      </c>
      <c r="R917" s="75">
        <f t="shared" si="164"/>
        <v>0</v>
      </c>
      <c r="S917" s="75" t="e">
        <f t="shared" si="165"/>
        <v>#DIV/0!</v>
      </c>
      <c r="U917" s="306" t="e">
        <f t="shared" si="166"/>
        <v>#DIV/0!</v>
      </c>
    </row>
    <row r="918" spans="4:21" x14ac:dyDescent="0.35">
      <c r="D918" s="3"/>
      <c r="G918" s="3" t="s">
        <v>87</v>
      </c>
      <c r="M918" s="3"/>
      <c r="N918" s="356" t="e" cm="1">
        <f t="array" ref="N918">_xlfn.IFS(I918="AEX",H918/400,I918="RP",H918/200)</f>
        <v>#N/A</v>
      </c>
      <c r="P918" s="75" t="e">
        <f t="shared" si="163"/>
        <v>#DIV/0!</v>
      </c>
      <c r="Q918" s="3" t="e" cm="1">
        <f t="array" ref="Q918">_xlfn.IFS(P918&lt;200, "10", P918&lt;400, "12", P918&lt;600, "14", P918&gt;600, "16")</f>
        <v>#DIV/0!</v>
      </c>
      <c r="R918" s="75">
        <f t="shared" si="164"/>
        <v>0</v>
      </c>
      <c r="S918" s="75" t="e">
        <f t="shared" si="165"/>
        <v>#DIV/0!</v>
      </c>
      <c r="U918" s="306" t="e">
        <f t="shared" si="166"/>
        <v>#DIV/0!</v>
      </c>
    </row>
    <row r="919" spans="4:21" x14ac:dyDescent="0.35">
      <c r="D919" s="3"/>
      <c r="G919" s="3" t="s">
        <v>87</v>
      </c>
      <c r="M919" s="3"/>
      <c r="N919" s="356" t="e" cm="1">
        <f t="array" ref="N919">_xlfn.IFS(I919="AEX",H919/400,I919="RP",H919/200)</f>
        <v>#N/A</v>
      </c>
      <c r="P919" s="75" t="e">
        <f t="shared" si="163"/>
        <v>#DIV/0!</v>
      </c>
      <c r="Q919" s="3" t="e" cm="1">
        <f t="array" ref="Q919">_xlfn.IFS(P919&lt;200, "10", P919&lt;400, "12", P919&lt;600, "14", P919&gt;600, "16")</f>
        <v>#DIV/0!</v>
      </c>
      <c r="R919" s="75">
        <f t="shared" si="164"/>
        <v>0</v>
      </c>
      <c r="S919" s="75" t="e">
        <f t="shared" si="165"/>
        <v>#DIV/0!</v>
      </c>
      <c r="U919" s="306" t="e">
        <f t="shared" si="166"/>
        <v>#DIV/0!</v>
      </c>
    </row>
    <row r="920" spans="4:21" x14ac:dyDescent="0.35">
      <c r="D920" s="3"/>
      <c r="G920" s="3" t="s">
        <v>87</v>
      </c>
      <c r="M920" s="3"/>
      <c r="N920" s="356" t="e" cm="1">
        <f t="array" ref="N920">_xlfn.IFS(I920="AEX",H920/400,I920="RP",H920/200)</f>
        <v>#N/A</v>
      </c>
      <c r="P920" s="75" t="e">
        <f t="shared" si="163"/>
        <v>#DIV/0!</v>
      </c>
      <c r="Q920" s="3" t="e" cm="1">
        <f t="array" ref="Q920">_xlfn.IFS(P920&lt;200, "10", P920&lt;400, "12", P920&lt;600, "14", P920&gt;600, "16")</f>
        <v>#DIV/0!</v>
      </c>
      <c r="R920" s="75">
        <f t="shared" si="164"/>
        <v>0</v>
      </c>
      <c r="S920" s="75" t="e">
        <f t="shared" si="165"/>
        <v>#DIV/0!</v>
      </c>
      <c r="U920" s="306" t="e">
        <f t="shared" si="166"/>
        <v>#DIV/0!</v>
      </c>
    </row>
    <row r="921" spans="4:21" x14ac:dyDescent="0.35">
      <c r="D921" s="3"/>
      <c r="G921" s="3" t="s">
        <v>87</v>
      </c>
      <c r="M921" s="3"/>
      <c r="N921" s="356" t="e" cm="1">
        <f t="array" ref="N921">_xlfn.IFS(I921="AEX",H921/400,I921="RP",H921/200)</f>
        <v>#N/A</v>
      </c>
      <c r="P921" s="75" t="e">
        <f t="shared" si="163"/>
        <v>#DIV/0!</v>
      </c>
      <c r="Q921" s="3" t="e" cm="1">
        <f t="array" ref="Q921">_xlfn.IFS(P921&lt;200, "10", P921&lt;400, "12", P921&lt;600, "14", P921&gt;600, "16")</f>
        <v>#DIV/0!</v>
      </c>
      <c r="R921" s="75">
        <f t="shared" si="164"/>
        <v>0</v>
      </c>
      <c r="S921" s="75" t="e">
        <f t="shared" si="165"/>
        <v>#DIV/0!</v>
      </c>
      <c r="U921" s="306" t="e">
        <f t="shared" si="166"/>
        <v>#DIV/0!</v>
      </c>
    </row>
    <row r="922" spans="4:21" x14ac:dyDescent="0.35">
      <c r="D922" s="3"/>
      <c r="G922" s="3" t="s">
        <v>87</v>
      </c>
      <c r="M922" s="3"/>
      <c r="N922" s="356" t="e" cm="1">
        <f t="array" ref="N922">_xlfn.IFS(I922="AEX",H922/400,I922="RP",H922/200)</f>
        <v>#N/A</v>
      </c>
      <c r="P922" s="75" t="e">
        <f t="shared" si="163"/>
        <v>#DIV/0!</v>
      </c>
      <c r="Q922" s="3" t="e" cm="1">
        <f t="array" ref="Q922">_xlfn.IFS(P922&lt;200, "10", P922&lt;400, "12", P922&lt;600, "14", P922&gt;600, "16")</f>
        <v>#DIV/0!</v>
      </c>
      <c r="R922" s="75">
        <f t="shared" si="164"/>
        <v>0</v>
      </c>
      <c r="S922" s="75" t="e">
        <f t="shared" si="165"/>
        <v>#DIV/0!</v>
      </c>
      <c r="U922" s="306" t="e">
        <f t="shared" si="166"/>
        <v>#DIV/0!</v>
      </c>
    </row>
    <row r="923" spans="4:21" x14ac:dyDescent="0.35">
      <c r="D923" s="3"/>
      <c r="G923" s="3" t="s">
        <v>87</v>
      </c>
      <c r="M923" s="3"/>
      <c r="N923" s="356" t="e" cm="1">
        <f t="array" ref="N923">_xlfn.IFS(I923="AEX",H923/400,I923="RP",H923/200)</f>
        <v>#N/A</v>
      </c>
      <c r="P923" s="75" t="e">
        <f t="shared" si="163"/>
        <v>#DIV/0!</v>
      </c>
      <c r="Q923" s="3" t="e" cm="1">
        <f t="array" ref="Q923">_xlfn.IFS(P923&lt;200, "10", P923&lt;400, "12", P923&lt;600, "14", P923&gt;600, "16")</f>
        <v>#DIV/0!</v>
      </c>
      <c r="R923" s="75">
        <f t="shared" si="164"/>
        <v>0</v>
      </c>
      <c r="S923" s="75" t="e">
        <f t="shared" si="165"/>
        <v>#DIV/0!</v>
      </c>
      <c r="U923" s="306" t="e">
        <f t="shared" si="166"/>
        <v>#DIV/0!</v>
      </c>
    </row>
    <row r="924" spans="4:21" x14ac:dyDescent="0.35">
      <c r="D924" s="3"/>
      <c r="G924" s="3" t="s">
        <v>87</v>
      </c>
      <c r="M924" s="3"/>
      <c r="N924" s="356" t="e" cm="1">
        <f t="array" ref="N924">_xlfn.IFS(I924="AEX",H924/400,I924="RP",H924/200)</f>
        <v>#N/A</v>
      </c>
      <c r="P924" s="75" t="e">
        <f t="shared" si="163"/>
        <v>#DIV/0!</v>
      </c>
      <c r="Q924" s="3" t="e" cm="1">
        <f t="array" ref="Q924">_xlfn.IFS(P924&lt;200, "10", P924&lt;400, "12", P924&lt;600, "14", P924&gt;600, "16")</f>
        <v>#DIV/0!</v>
      </c>
      <c r="R924" s="75">
        <f t="shared" si="164"/>
        <v>0</v>
      </c>
      <c r="S924" s="75" t="e">
        <f t="shared" si="165"/>
        <v>#DIV/0!</v>
      </c>
      <c r="U924" s="306" t="e">
        <f t="shared" si="166"/>
        <v>#DIV/0!</v>
      </c>
    </row>
    <row r="925" spans="4:21" x14ac:dyDescent="0.35">
      <c r="D925" s="3"/>
      <c r="G925" s="3" t="s">
        <v>87</v>
      </c>
      <c r="M925" s="3"/>
      <c r="N925" s="356" t="e" cm="1">
        <f t="array" ref="N925">_xlfn.IFS(I925="AEX",H925/400,I925="RP",H925/200)</f>
        <v>#N/A</v>
      </c>
      <c r="P925" s="75" t="e">
        <f t="shared" si="163"/>
        <v>#DIV/0!</v>
      </c>
      <c r="Q925" s="3" t="e" cm="1">
        <f t="array" ref="Q925">_xlfn.IFS(P925&lt;200, "10", P925&lt;400, "12", P925&lt;600, "14", P925&gt;600, "16")</f>
        <v>#DIV/0!</v>
      </c>
      <c r="R925" s="75">
        <f t="shared" si="164"/>
        <v>0</v>
      </c>
      <c r="S925" s="75" t="e">
        <f t="shared" si="165"/>
        <v>#DIV/0!</v>
      </c>
      <c r="U925" s="306" t="e">
        <f t="shared" si="166"/>
        <v>#DIV/0!</v>
      </c>
    </row>
    <row r="926" spans="4:21" x14ac:dyDescent="0.35">
      <c r="D926" s="3"/>
      <c r="G926" s="3" t="s">
        <v>87</v>
      </c>
      <c r="M926" s="3"/>
      <c r="N926" s="356" t="e" cm="1">
        <f t="array" ref="N926">_xlfn.IFS(I926="AEX",H926/400,I926="RP",H926/200)</f>
        <v>#N/A</v>
      </c>
      <c r="P926" s="75" t="e">
        <f t="shared" si="163"/>
        <v>#DIV/0!</v>
      </c>
      <c r="Q926" s="3" t="e" cm="1">
        <f t="array" ref="Q926">_xlfn.IFS(P926&lt;200, "10", P926&lt;400, "12", P926&lt;600, "14", P926&gt;600, "16")</f>
        <v>#DIV/0!</v>
      </c>
      <c r="R926" s="75">
        <f t="shared" si="164"/>
        <v>0</v>
      </c>
      <c r="S926" s="75" t="e">
        <f t="shared" si="165"/>
        <v>#DIV/0!</v>
      </c>
      <c r="U926" s="306" t="e">
        <f t="shared" si="166"/>
        <v>#DIV/0!</v>
      </c>
    </row>
    <row r="927" spans="4:21" x14ac:dyDescent="0.35">
      <c r="D927" s="3"/>
      <c r="G927" s="3" t="s">
        <v>87</v>
      </c>
      <c r="M927" s="3"/>
      <c r="N927" s="356" t="e" cm="1">
        <f t="array" ref="N927">_xlfn.IFS(I927="AEX",H927/400,I927="RP",H927/200)</f>
        <v>#N/A</v>
      </c>
      <c r="P927" s="75" t="e">
        <f t="shared" si="163"/>
        <v>#DIV/0!</v>
      </c>
      <c r="Q927" s="3" t="e" cm="1">
        <f t="array" ref="Q927">_xlfn.IFS(P927&lt;200, "10", P927&lt;400, "12", P927&lt;600, "14", P927&gt;600, "16")</f>
        <v>#DIV/0!</v>
      </c>
      <c r="R927" s="75">
        <f t="shared" si="164"/>
        <v>0</v>
      </c>
      <c r="S927" s="75" t="e">
        <f t="shared" si="165"/>
        <v>#DIV/0!</v>
      </c>
      <c r="U927" s="306" t="e">
        <f t="shared" si="166"/>
        <v>#DIV/0!</v>
      </c>
    </row>
    <row r="928" spans="4:21" x14ac:dyDescent="0.35">
      <c r="D928" s="3"/>
      <c r="G928" s="3" t="s">
        <v>87</v>
      </c>
      <c r="M928" s="3"/>
      <c r="N928" s="356" t="e" cm="1">
        <f t="array" ref="N928">_xlfn.IFS(I928="AEX",H928/400,I928="RP",H928/200)</f>
        <v>#N/A</v>
      </c>
      <c r="P928" s="75" t="e">
        <f t="shared" si="163"/>
        <v>#DIV/0!</v>
      </c>
      <c r="Q928" s="3" t="e" cm="1">
        <f t="array" ref="Q928">_xlfn.IFS(P928&lt;200, "10", P928&lt;400, "12", P928&lt;600, "14", P928&gt;600, "16")</f>
        <v>#DIV/0!</v>
      </c>
      <c r="R928" s="75">
        <f t="shared" si="164"/>
        <v>0</v>
      </c>
      <c r="S928" s="75" t="e">
        <f t="shared" si="165"/>
        <v>#DIV/0!</v>
      </c>
      <c r="U928" s="306" t="e">
        <f t="shared" si="166"/>
        <v>#DIV/0!</v>
      </c>
    </row>
    <row r="929" spans="4:21" x14ac:dyDescent="0.35">
      <c r="D929" s="3"/>
      <c r="G929" s="3" t="s">
        <v>87</v>
      </c>
      <c r="M929" s="3"/>
      <c r="N929" s="356" t="e" cm="1">
        <f t="array" ref="N929">_xlfn.IFS(I929="AEX",H929/400,I929="RP",H929/200)</f>
        <v>#N/A</v>
      </c>
      <c r="P929" s="75" t="e">
        <f t="shared" si="163"/>
        <v>#DIV/0!</v>
      </c>
      <c r="Q929" s="3" t="e" cm="1">
        <f t="array" ref="Q929">_xlfn.IFS(P929&lt;200, "10", P929&lt;400, "12", P929&lt;600, "14", P929&gt;600, "16")</f>
        <v>#DIV/0!</v>
      </c>
      <c r="R929" s="75">
        <f t="shared" si="164"/>
        <v>0</v>
      </c>
      <c r="S929" s="75" t="e">
        <f t="shared" si="165"/>
        <v>#DIV/0!</v>
      </c>
      <c r="U929" s="306" t="e">
        <f t="shared" si="166"/>
        <v>#DIV/0!</v>
      </c>
    </row>
    <row r="930" spans="4:21" x14ac:dyDescent="0.35">
      <c r="D930" s="3"/>
      <c r="G930" s="3" t="s">
        <v>87</v>
      </c>
      <c r="M930" s="3"/>
      <c r="N930" s="356" t="e" cm="1">
        <f t="array" ref="N930">_xlfn.IFS(I930="AEX",H930/400,I930="RP",H930/200)</f>
        <v>#N/A</v>
      </c>
      <c r="P930" s="75" t="e">
        <f t="shared" si="163"/>
        <v>#DIV/0!</v>
      </c>
      <c r="Q930" s="3" t="e" cm="1">
        <f t="array" ref="Q930">_xlfn.IFS(P930&lt;200, "10", P930&lt;400, "12", P930&lt;600, "14", P930&gt;600, "16")</f>
        <v>#DIV/0!</v>
      </c>
      <c r="R930" s="75">
        <f t="shared" si="164"/>
        <v>0</v>
      </c>
      <c r="S930" s="75" t="e">
        <f t="shared" si="165"/>
        <v>#DIV/0!</v>
      </c>
      <c r="U930" s="306" t="e">
        <f t="shared" si="166"/>
        <v>#DIV/0!</v>
      </c>
    </row>
    <row r="931" spans="4:21" x14ac:dyDescent="0.35">
      <c r="D931" s="3"/>
      <c r="G931" s="3" t="s">
        <v>87</v>
      </c>
      <c r="M931" s="3"/>
      <c r="N931" s="356" t="e" cm="1">
        <f t="array" ref="N931">_xlfn.IFS(I931="AEX",H931/400,I931="RP",H931/200)</f>
        <v>#N/A</v>
      </c>
      <c r="P931" s="75" t="e">
        <f t="shared" si="163"/>
        <v>#DIV/0!</v>
      </c>
      <c r="Q931" s="3" t="e" cm="1">
        <f t="array" ref="Q931">_xlfn.IFS(P931&lt;200, "10", P931&lt;400, "12", P931&lt;600, "14", P931&gt;600, "16")</f>
        <v>#DIV/0!</v>
      </c>
      <c r="R931" s="75">
        <f t="shared" si="164"/>
        <v>0</v>
      </c>
      <c r="S931" s="75" t="e">
        <f t="shared" si="165"/>
        <v>#DIV/0!</v>
      </c>
      <c r="U931" s="306" t="e">
        <f t="shared" si="166"/>
        <v>#DIV/0!</v>
      </c>
    </row>
    <row r="932" spans="4:21" x14ac:dyDescent="0.35">
      <c r="D932" s="3"/>
      <c r="G932" s="3" t="s">
        <v>87</v>
      </c>
      <c r="M932" s="3"/>
      <c r="N932" s="356" t="e" cm="1">
        <f t="array" ref="N932">_xlfn.IFS(I932="AEX",H932/400,I932="RP",H932/200)</f>
        <v>#N/A</v>
      </c>
      <c r="P932" s="75" t="e">
        <f t="shared" si="163"/>
        <v>#DIV/0!</v>
      </c>
      <c r="Q932" s="3" t="e" cm="1">
        <f t="array" ref="Q932">_xlfn.IFS(P932&lt;200, "10", P932&lt;400, "12", P932&lt;600, "14", P932&gt;600, "16")</f>
        <v>#DIV/0!</v>
      </c>
      <c r="R932" s="75">
        <f t="shared" si="164"/>
        <v>0</v>
      </c>
      <c r="S932" s="75" t="e">
        <f t="shared" si="165"/>
        <v>#DIV/0!</v>
      </c>
      <c r="U932" s="306" t="e">
        <f t="shared" si="166"/>
        <v>#DIV/0!</v>
      </c>
    </row>
    <row r="933" spans="4:21" x14ac:dyDescent="0.35">
      <c r="D933" s="3"/>
      <c r="G933" s="3" t="s">
        <v>87</v>
      </c>
      <c r="M933" s="3"/>
      <c r="N933" s="356" t="e" cm="1">
        <f t="array" ref="N933">_xlfn.IFS(I933="AEX",H933/400,I933="RP",H933/200)</f>
        <v>#N/A</v>
      </c>
      <c r="P933" s="75" t="e">
        <f t="shared" si="163"/>
        <v>#DIV/0!</v>
      </c>
      <c r="Q933" s="3" t="e" cm="1">
        <f t="array" ref="Q933">_xlfn.IFS(P933&lt;200, "10", P933&lt;400, "12", P933&lt;600, "14", P933&gt;600, "16")</f>
        <v>#DIV/0!</v>
      </c>
      <c r="R933" s="75">
        <f t="shared" si="164"/>
        <v>0</v>
      </c>
      <c r="S933" s="75" t="e">
        <f t="shared" si="165"/>
        <v>#DIV/0!</v>
      </c>
      <c r="U933" s="306" t="e">
        <f t="shared" si="166"/>
        <v>#DIV/0!</v>
      </c>
    </row>
    <row r="934" spans="4:21" x14ac:dyDescent="0.35">
      <c r="D934" s="3"/>
      <c r="G934" s="3" t="s">
        <v>87</v>
      </c>
      <c r="M934" s="3"/>
      <c r="N934" s="356" t="e" cm="1">
        <f t="array" ref="N934">_xlfn.IFS(I934="AEX",H934/400,I934="RP",H934/200)</f>
        <v>#N/A</v>
      </c>
      <c r="P934" s="75" t="e">
        <f t="shared" si="163"/>
        <v>#DIV/0!</v>
      </c>
      <c r="Q934" s="3" t="e" cm="1">
        <f t="array" ref="Q934">_xlfn.IFS(P934&lt;200, "10", P934&lt;400, "12", P934&lt;600, "14", P934&gt;600, "16")</f>
        <v>#DIV/0!</v>
      </c>
      <c r="R934" s="75">
        <f t="shared" si="164"/>
        <v>0</v>
      </c>
      <c r="S934" s="75" t="e">
        <f t="shared" si="165"/>
        <v>#DIV/0!</v>
      </c>
      <c r="U934" s="306" t="e">
        <f t="shared" si="166"/>
        <v>#DIV/0!</v>
      </c>
    </row>
    <row r="935" spans="4:21" x14ac:dyDescent="0.35">
      <c r="D935" s="3"/>
      <c r="G935" s="3" t="s">
        <v>87</v>
      </c>
      <c r="M935" s="3"/>
      <c r="N935" s="356" t="e" cm="1">
        <f t="array" ref="N935">_xlfn.IFS(I935="AEX",H935/400,I935="RP",H935/200)</f>
        <v>#N/A</v>
      </c>
      <c r="P935" s="75" t="e">
        <f t="shared" si="163"/>
        <v>#DIV/0!</v>
      </c>
      <c r="Q935" s="3" t="e" cm="1">
        <f t="array" ref="Q935">_xlfn.IFS(P935&lt;200, "10", P935&lt;400, "12", P935&lt;600, "14", P935&gt;600, "16")</f>
        <v>#DIV/0!</v>
      </c>
      <c r="R935" s="75">
        <f t="shared" si="164"/>
        <v>0</v>
      </c>
      <c r="S935" s="75" t="e">
        <f t="shared" si="165"/>
        <v>#DIV/0!</v>
      </c>
      <c r="U935" s="306" t="e">
        <f t="shared" si="166"/>
        <v>#DIV/0!</v>
      </c>
    </row>
    <row r="936" spans="4:21" x14ac:dyDescent="0.35">
      <c r="D936" s="3"/>
      <c r="G936" s="3" t="s">
        <v>87</v>
      </c>
      <c r="M936" s="3"/>
      <c r="N936" s="356" t="e" cm="1">
        <f t="array" ref="N936">_xlfn.IFS(I936="AEX",H936/400,I936="RP",H936/200)</f>
        <v>#N/A</v>
      </c>
      <c r="P936" s="75" t="e">
        <f t="shared" si="163"/>
        <v>#DIV/0!</v>
      </c>
      <c r="Q936" s="3" t="e" cm="1">
        <f t="array" ref="Q936">_xlfn.IFS(P936&lt;200, "10", P936&lt;400, "12", P936&lt;600, "14", P936&gt;600, "16")</f>
        <v>#DIV/0!</v>
      </c>
      <c r="R936" s="75">
        <f t="shared" si="164"/>
        <v>0</v>
      </c>
      <c r="S936" s="75" t="e">
        <f t="shared" si="165"/>
        <v>#DIV/0!</v>
      </c>
      <c r="U936" s="306" t="e">
        <f t="shared" si="166"/>
        <v>#DIV/0!</v>
      </c>
    </row>
    <row r="937" spans="4:21" x14ac:dyDescent="0.35">
      <c r="D937" s="3"/>
      <c r="G937" s="3" t="s">
        <v>87</v>
      </c>
      <c r="M937" s="3"/>
      <c r="N937" s="356" t="e" cm="1">
        <f t="array" ref="N937">_xlfn.IFS(I937="AEX",H937/400,I937="RP",H937/200)</f>
        <v>#N/A</v>
      </c>
      <c r="P937" s="75" t="e">
        <f t="shared" si="163"/>
        <v>#DIV/0!</v>
      </c>
      <c r="Q937" s="3" t="e" cm="1">
        <f t="array" ref="Q937">_xlfn.IFS(P937&lt;200, "10", P937&lt;400, "12", P937&lt;600, "14", P937&gt;600, "16")</f>
        <v>#DIV/0!</v>
      </c>
      <c r="R937" s="75">
        <f t="shared" si="164"/>
        <v>0</v>
      </c>
      <c r="S937" s="75" t="e">
        <f t="shared" si="165"/>
        <v>#DIV/0!</v>
      </c>
      <c r="U937" s="306" t="e">
        <f t="shared" si="166"/>
        <v>#DIV/0!</v>
      </c>
    </row>
    <row r="938" spans="4:21" x14ac:dyDescent="0.35">
      <c r="D938" s="3"/>
      <c r="G938" s="3" t="s">
        <v>87</v>
      </c>
      <c r="M938" s="3"/>
      <c r="N938" s="356" t="e" cm="1">
        <f t="array" ref="N938">_xlfn.IFS(I938="AEX",H938/400,I938="RP",H938/200)</f>
        <v>#N/A</v>
      </c>
      <c r="P938" s="75" t="e">
        <f t="shared" ref="P938:P1001" si="167">H938/O938</f>
        <v>#DIV/0!</v>
      </c>
      <c r="Q938" s="3" t="e" cm="1">
        <f t="array" ref="Q938">_xlfn.IFS(P938&lt;200, "10", P938&lt;400, "12", P938&lt;600, "14", P938&gt;600, "16")</f>
        <v>#DIV/0!</v>
      </c>
      <c r="R938" s="75">
        <f t="shared" ref="R938:R1001" si="168">IF(I938="AEX",H938*0.3/400,H938*0.3/200)</f>
        <v>0</v>
      </c>
      <c r="S938" s="75" t="e">
        <f t="shared" si="165"/>
        <v>#DIV/0!</v>
      </c>
      <c r="U938" s="306" t="e">
        <f t="shared" si="166"/>
        <v>#DIV/0!</v>
      </c>
    </row>
    <row r="939" spans="4:21" x14ac:dyDescent="0.35">
      <c r="D939" s="3"/>
      <c r="G939" s="3" t="s">
        <v>87</v>
      </c>
      <c r="M939" s="3"/>
      <c r="N939" s="356" t="e" cm="1">
        <f t="array" ref="N939">_xlfn.IFS(I939="AEX",H939/400,I939="RP",H939/200)</f>
        <v>#N/A</v>
      </c>
      <c r="P939" s="75" t="e">
        <f t="shared" si="167"/>
        <v>#DIV/0!</v>
      </c>
      <c r="Q939" s="3" t="e" cm="1">
        <f t="array" ref="Q939">_xlfn.IFS(P939&lt;200, "10", P939&lt;400, "12", P939&lt;600, "14", P939&gt;600, "16")</f>
        <v>#DIV/0!</v>
      </c>
      <c r="R939" s="75">
        <f t="shared" si="168"/>
        <v>0</v>
      </c>
      <c r="S939" s="75" t="e">
        <f t="shared" si="165"/>
        <v>#DIV/0!</v>
      </c>
      <c r="U939" s="306" t="e">
        <f t="shared" si="166"/>
        <v>#DIV/0!</v>
      </c>
    </row>
    <row r="940" spans="4:21" x14ac:dyDescent="0.35">
      <c r="D940" s="3"/>
      <c r="G940" s="3" t="s">
        <v>87</v>
      </c>
      <c r="M940" s="3"/>
      <c r="N940" s="356" t="e" cm="1">
        <f t="array" ref="N940">_xlfn.IFS(I940="AEX",H940/400,I940="RP",H940/200)</f>
        <v>#N/A</v>
      </c>
      <c r="P940" s="75" t="e">
        <f t="shared" si="167"/>
        <v>#DIV/0!</v>
      </c>
      <c r="Q940" s="3" t="e" cm="1">
        <f t="array" ref="Q940">_xlfn.IFS(P940&lt;200, "10", P940&lt;400, "12", P940&lt;600, "14", P940&gt;600, "16")</f>
        <v>#DIV/0!</v>
      </c>
      <c r="R940" s="75">
        <f t="shared" si="168"/>
        <v>0</v>
      </c>
      <c r="S940" s="75" t="e">
        <f t="shared" si="165"/>
        <v>#DIV/0!</v>
      </c>
      <c r="U940" s="306" t="e">
        <f t="shared" si="166"/>
        <v>#DIV/0!</v>
      </c>
    </row>
    <row r="941" spans="4:21" x14ac:dyDescent="0.35">
      <c r="D941" s="3"/>
      <c r="G941" s="3" t="s">
        <v>87</v>
      </c>
      <c r="M941" s="3"/>
      <c r="N941" s="356" t="e" cm="1">
        <f t="array" ref="N941">_xlfn.IFS(I941="AEX",H941/400,I941="RP",H941/200)</f>
        <v>#N/A</v>
      </c>
      <c r="P941" s="75" t="e">
        <f t="shared" si="167"/>
        <v>#DIV/0!</v>
      </c>
      <c r="Q941" s="3" t="e" cm="1">
        <f t="array" ref="Q941">_xlfn.IFS(P941&lt;200, "10", P941&lt;400, "12", P941&lt;600, "14", P941&gt;600, "16")</f>
        <v>#DIV/0!</v>
      </c>
      <c r="R941" s="75">
        <f t="shared" si="168"/>
        <v>0</v>
      </c>
      <c r="S941" s="75" t="e">
        <f t="shared" si="165"/>
        <v>#DIV/0!</v>
      </c>
      <c r="U941" s="306" t="e">
        <f t="shared" si="166"/>
        <v>#DIV/0!</v>
      </c>
    </row>
    <row r="942" spans="4:21" x14ac:dyDescent="0.35">
      <c r="D942" s="3"/>
      <c r="G942" s="3" t="s">
        <v>87</v>
      </c>
      <c r="M942" s="3"/>
      <c r="N942" s="356" t="e" cm="1">
        <f t="array" ref="N942">_xlfn.IFS(I942="AEX",H942/400,I942="RP",H942/200)</f>
        <v>#N/A</v>
      </c>
      <c r="P942" s="75" t="e">
        <f t="shared" si="167"/>
        <v>#DIV/0!</v>
      </c>
      <c r="Q942" s="3" t="e" cm="1">
        <f t="array" ref="Q942">_xlfn.IFS(P942&lt;200, "10", P942&lt;400, "12", P942&lt;600, "14", P942&gt;600, "16")</f>
        <v>#DIV/0!</v>
      </c>
      <c r="R942" s="75">
        <f t="shared" si="168"/>
        <v>0</v>
      </c>
      <c r="S942" s="75" t="e">
        <f t="shared" si="165"/>
        <v>#DIV/0!</v>
      </c>
      <c r="U942" s="306" t="e">
        <f t="shared" si="166"/>
        <v>#DIV/0!</v>
      </c>
    </row>
    <row r="943" spans="4:21" x14ac:dyDescent="0.35">
      <c r="D943" s="3"/>
      <c r="G943" s="3" t="s">
        <v>87</v>
      </c>
      <c r="M943" s="3"/>
      <c r="N943" s="356" t="e" cm="1">
        <f t="array" ref="N943">_xlfn.IFS(I943="AEX",H943/400,I943="RP",H943/200)</f>
        <v>#N/A</v>
      </c>
      <c r="P943" s="75" t="e">
        <f t="shared" si="167"/>
        <v>#DIV/0!</v>
      </c>
      <c r="Q943" s="3" t="e" cm="1">
        <f t="array" ref="Q943">_xlfn.IFS(P943&lt;200, "10", P943&lt;400, "12", P943&lt;600, "14", P943&gt;600, "16")</f>
        <v>#DIV/0!</v>
      </c>
      <c r="R943" s="75">
        <f t="shared" si="168"/>
        <v>0</v>
      </c>
      <c r="S943" s="75" t="e">
        <f t="shared" si="165"/>
        <v>#DIV/0!</v>
      </c>
      <c r="U943" s="306" t="e">
        <f t="shared" si="166"/>
        <v>#DIV/0!</v>
      </c>
    </row>
    <row r="944" spans="4:21" x14ac:dyDescent="0.35">
      <c r="D944" s="3"/>
      <c r="G944" s="3" t="s">
        <v>87</v>
      </c>
      <c r="M944" s="3"/>
      <c r="N944" s="356" t="e" cm="1">
        <f t="array" ref="N944">_xlfn.IFS(I944="AEX",H944/400,I944="RP",H944/200)</f>
        <v>#N/A</v>
      </c>
      <c r="P944" s="75" t="e">
        <f t="shared" si="167"/>
        <v>#DIV/0!</v>
      </c>
      <c r="Q944" s="3" t="e" cm="1">
        <f t="array" ref="Q944">_xlfn.IFS(P944&lt;200, "10", P944&lt;400, "12", P944&lt;600, "14", P944&gt;600, "16")</f>
        <v>#DIV/0!</v>
      </c>
      <c r="R944" s="75">
        <f t="shared" si="168"/>
        <v>0</v>
      </c>
      <c r="S944" s="75" t="e">
        <f t="shared" si="165"/>
        <v>#DIV/0!</v>
      </c>
      <c r="U944" s="306" t="e">
        <f t="shared" si="166"/>
        <v>#DIV/0!</v>
      </c>
    </row>
    <row r="945" spans="4:21" x14ac:dyDescent="0.35">
      <c r="D945" s="3"/>
      <c r="G945" s="3" t="s">
        <v>87</v>
      </c>
      <c r="M945" s="3"/>
      <c r="N945" s="356" t="e" cm="1">
        <f t="array" ref="N945">_xlfn.IFS(I945="AEX",H945/400,I945="RP",H945/200)</f>
        <v>#N/A</v>
      </c>
      <c r="P945" s="75" t="e">
        <f t="shared" si="167"/>
        <v>#DIV/0!</v>
      </c>
      <c r="Q945" s="3" t="e" cm="1">
        <f t="array" ref="Q945">_xlfn.IFS(P945&lt;200, "10", P945&lt;400, "12", P945&lt;600, "14", P945&gt;600, "16")</f>
        <v>#DIV/0!</v>
      </c>
      <c r="R945" s="75">
        <f t="shared" si="168"/>
        <v>0</v>
      </c>
      <c r="S945" s="75" t="e">
        <f t="shared" si="165"/>
        <v>#DIV/0!</v>
      </c>
      <c r="U945" s="306" t="e">
        <f t="shared" si="166"/>
        <v>#DIV/0!</v>
      </c>
    </row>
    <row r="946" spans="4:21" x14ac:dyDescent="0.35">
      <c r="D946" s="3"/>
      <c r="G946" s="3" t="s">
        <v>87</v>
      </c>
      <c r="M946" s="3"/>
      <c r="N946" s="356" t="e" cm="1">
        <f t="array" ref="N946">_xlfn.IFS(I946="AEX",H946/400,I946="RP",H946/200)</f>
        <v>#N/A</v>
      </c>
      <c r="P946" s="75" t="e">
        <f t="shared" si="167"/>
        <v>#DIV/0!</v>
      </c>
      <c r="Q946" s="3" t="e" cm="1">
        <f t="array" ref="Q946">_xlfn.IFS(P946&lt;200, "10", P946&lt;400, "12", P946&lt;600, "14", P946&gt;600, "16")</f>
        <v>#DIV/0!</v>
      </c>
      <c r="R946" s="75">
        <f t="shared" si="168"/>
        <v>0</v>
      </c>
      <c r="S946" s="75" t="e">
        <f t="shared" si="165"/>
        <v>#DIV/0!</v>
      </c>
      <c r="U946" s="306" t="e">
        <f t="shared" si="166"/>
        <v>#DIV/0!</v>
      </c>
    </row>
    <row r="947" spans="4:21" x14ac:dyDescent="0.35">
      <c r="D947" s="3"/>
      <c r="G947" s="3" t="s">
        <v>87</v>
      </c>
      <c r="M947" s="3"/>
      <c r="N947" s="356" t="e" cm="1">
        <f t="array" ref="N947">_xlfn.IFS(I947="AEX",H947/400,I947="RP",H947/200)</f>
        <v>#N/A</v>
      </c>
      <c r="P947" s="75" t="e">
        <f t="shared" si="167"/>
        <v>#DIV/0!</v>
      </c>
      <c r="Q947" s="3" t="e" cm="1">
        <f t="array" ref="Q947">_xlfn.IFS(P947&lt;200, "10", P947&lt;400, "12", P947&lt;600, "14", P947&gt;600, "16")</f>
        <v>#DIV/0!</v>
      </c>
      <c r="R947" s="75">
        <f t="shared" si="168"/>
        <v>0</v>
      </c>
      <c r="S947" s="75" t="e">
        <f t="shared" ref="S947:S1010" si="169">R947/O947</f>
        <v>#DIV/0!</v>
      </c>
      <c r="U947" s="306" t="e">
        <f t="shared" si="166"/>
        <v>#DIV/0!</v>
      </c>
    </row>
    <row r="948" spans="4:21" x14ac:dyDescent="0.35">
      <c r="D948" s="3"/>
      <c r="G948" s="3" t="s">
        <v>87</v>
      </c>
      <c r="M948" s="3"/>
      <c r="N948" s="356" t="e" cm="1">
        <f t="array" ref="N948">_xlfn.IFS(I948="AEX",H948/400,I948="RP",H948/200)</f>
        <v>#N/A</v>
      </c>
      <c r="P948" s="75" t="e">
        <f t="shared" si="167"/>
        <v>#DIV/0!</v>
      </c>
      <c r="Q948" s="3" t="e" cm="1">
        <f t="array" ref="Q948">_xlfn.IFS(P948&lt;200, "10", P948&lt;400, "12", P948&lt;600, "14", P948&gt;600, "16")</f>
        <v>#DIV/0!</v>
      </c>
      <c r="R948" s="75">
        <f t="shared" si="168"/>
        <v>0</v>
      </c>
      <c r="S948" s="75" t="e">
        <f t="shared" si="169"/>
        <v>#DIV/0!</v>
      </c>
      <c r="U948" s="306" t="e">
        <f t="shared" si="166"/>
        <v>#DIV/0!</v>
      </c>
    </row>
    <row r="949" spans="4:21" x14ac:dyDescent="0.35">
      <c r="D949" s="3"/>
      <c r="G949" s="3" t="s">
        <v>87</v>
      </c>
      <c r="M949" s="3"/>
      <c r="N949" s="356" t="e" cm="1">
        <f t="array" ref="N949">_xlfn.IFS(I949="AEX",H949/400,I949="RP",H949/200)</f>
        <v>#N/A</v>
      </c>
      <c r="P949" s="75" t="e">
        <f t="shared" si="167"/>
        <v>#DIV/0!</v>
      </c>
      <c r="Q949" s="3" t="e" cm="1">
        <f t="array" ref="Q949">_xlfn.IFS(P949&lt;200, "10", P949&lt;400, "12", P949&lt;600, "14", P949&gt;600, "16")</f>
        <v>#DIV/0!</v>
      </c>
      <c r="R949" s="75">
        <f t="shared" si="168"/>
        <v>0</v>
      </c>
      <c r="S949" s="75" t="e">
        <f t="shared" si="169"/>
        <v>#DIV/0!</v>
      </c>
      <c r="U949" s="306" t="e">
        <f t="shared" si="166"/>
        <v>#DIV/0!</v>
      </c>
    </row>
    <row r="950" spans="4:21" x14ac:dyDescent="0.35">
      <c r="D950" s="3"/>
      <c r="G950" s="3" t="s">
        <v>87</v>
      </c>
      <c r="M950" s="3"/>
      <c r="N950" s="356" t="e" cm="1">
        <f t="array" ref="N950">_xlfn.IFS(I950="AEX",H950/400,I950="RP",H950/200)</f>
        <v>#N/A</v>
      </c>
      <c r="P950" s="75" t="e">
        <f t="shared" si="167"/>
        <v>#DIV/0!</v>
      </c>
      <c r="Q950" s="3" t="e" cm="1">
        <f t="array" ref="Q950">_xlfn.IFS(P950&lt;200, "10", P950&lt;400, "12", P950&lt;600, "14", P950&gt;600, "16")</f>
        <v>#DIV/0!</v>
      </c>
      <c r="R950" s="75">
        <f t="shared" si="168"/>
        <v>0</v>
      </c>
      <c r="S950" s="75" t="e">
        <f t="shared" si="169"/>
        <v>#DIV/0!</v>
      </c>
      <c r="U950" s="306" t="e">
        <f t="shared" si="166"/>
        <v>#DIV/0!</v>
      </c>
    </row>
    <row r="951" spans="4:21" x14ac:dyDescent="0.35">
      <c r="D951" s="3"/>
      <c r="G951" s="3" t="s">
        <v>87</v>
      </c>
      <c r="M951" s="3"/>
      <c r="N951" s="356" t="e" cm="1">
        <f t="array" ref="N951">_xlfn.IFS(I951="AEX",H951/400,I951="RP",H951/200)</f>
        <v>#N/A</v>
      </c>
      <c r="P951" s="75" t="e">
        <f t="shared" si="167"/>
        <v>#DIV/0!</v>
      </c>
      <c r="Q951" s="3" t="e" cm="1">
        <f t="array" ref="Q951">_xlfn.IFS(P951&lt;200, "10", P951&lt;400, "12", P951&lt;600, "14", P951&gt;600, "16")</f>
        <v>#DIV/0!</v>
      </c>
      <c r="R951" s="75">
        <f t="shared" si="168"/>
        <v>0</v>
      </c>
      <c r="S951" s="75" t="e">
        <f t="shared" si="169"/>
        <v>#DIV/0!</v>
      </c>
      <c r="U951" s="306" t="e">
        <f t="shared" si="166"/>
        <v>#DIV/0!</v>
      </c>
    </row>
    <row r="952" spans="4:21" x14ac:dyDescent="0.35">
      <c r="D952" s="3"/>
      <c r="G952" s="3" t="s">
        <v>87</v>
      </c>
      <c r="M952" s="3"/>
      <c r="N952" s="356" t="e" cm="1">
        <f t="array" ref="N952">_xlfn.IFS(I952="AEX",H952/400,I952="RP",H952/200)</f>
        <v>#N/A</v>
      </c>
      <c r="P952" s="75" t="e">
        <f t="shared" si="167"/>
        <v>#DIV/0!</v>
      </c>
      <c r="Q952" s="3" t="e" cm="1">
        <f t="array" ref="Q952">_xlfn.IFS(P952&lt;200, "10", P952&lt;400, "12", P952&lt;600, "14", P952&gt;600, "16")</f>
        <v>#DIV/0!</v>
      </c>
      <c r="R952" s="75">
        <f t="shared" si="168"/>
        <v>0</v>
      </c>
      <c r="S952" s="75" t="e">
        <f t="shared" si="169"/>
        <v>#DIV/0!</v>
      </c>
      <c r="U952" s="306" t="e">
        <f t="shared" si="166"/>
        <v>#DIV/0!</v>
      </c>
    </row>
    <row r="953" spans="4:21" x14ac:dyDescent="0.35">
      <c r="D953" s="3"/>
      <c r="G953" s="3" t="s">
        <v>87</v>
      </c>
      <c r="M953" s="3"/>
      <c r="N953" s="356" t="e" cm="1">
        <f t="array" ref="N953">_xlfn.IFS(I953="AEX",H953/400,I953="RP",H953/200)</f>
        <v>#N/A</v>
      </c>
      <c r="P953" s="75" t="e">
        <f t="shared" si="167"/>
        <v>#DIV/0!</v>
      </c>
      <c r="Q953" s="3" t="e" cm="1">
        <f t="array" ref="Q953">_xlfn.IFS(P953&lt;200, "10", P953&lt;400, "12", P953&lt;600, "14", P953&gt;600, "16")</f>
        <v>#DIV/0!</v>
      </c>
      <c r="R953" s="75">
        <f t="shared" si="168"/>
        <v>0</v>
      </c>
      <c r="S953" s="75" t="e">
        <f t="shared" si="169"/>
        <v>#DIV/0!</v>
      </c>
      <c r="U953" s="306" t="e">
        <f t="shared" si="166"/>
        <v>#DIV/0!</v>
      </c>
    </row>
    <row r="954" spans="4:21" x14ac:dyDescent="0.35">
      <c r="D954" s="3"/>
      <c r="G954" s="3" t="s">
        <v>87</v>
      </c>
      <c r="M954" s="3"/>
      <c r="N954" s="356" t="e" cm="1">
        <f t="array" ref="N954">_xlfn.IFS(I954="AEX",H954/400,I954="RP",H954/200)</f>
        <v>#N/A</v>
      </c>
      <c r="P954" s="75" t="e">
        <f t="shared" si="167"/>
        <v>#DIV/0!</v>
      </c>
      <c r="Q954" s="3" t="e" cm="1">
        <f t="array" ref="Q954">_xlfn.IFS(P954&lt;200, "10", P954&lt;400, "12", P954&lt;600, "14", P954&gt;600, "16")</f>
        <v>#DIV/0!</v>
      </c>
      <c r="R954" s="75">
        <f t="shared" si="168"/>
        <v>0</v>
      </c>
      <c r="S954" s="75" t="e">
        <f t="shared" si="169"/>
        <v>#DIV/0!</v>
      </c>
      <c r="U954" s="306" t="e">
        <f t="shared" si="166"/>
        <v>#DIV/0!</v>
      </c>
    </row>
    <row r="955" spans="4:21" x14ac:dyDescent="0.35">
      <c r="D955" s="3"/>
      <c r="G955" s="3" t="s">
        <v>87</v>
      </c>
      <c r="M955" s="3"/>
      <c r="N955" s="356" t="e" cm="1">
        <f t="array" ref="N955">_xlfn.IFS(I955="AEX",H955/400,I955="RP",H955/200)</f>
        <v>#N/A</v>
      </c>
      <c r="P955" s="75" t="e">
        <f t="shared" si="167"/>
        <v>#DIV/0!</v>
      </c>
      <c r="Q955" s="3" t="e" cm="1">
        <f t="array" ref="Q955">_xlfn.IFS(P955&lt;200, "10", P955&lt;400, "12", P955&lt;600, "14", P955&gt;600, "16")</f>
        <v>#DIV/0!</v>
      </c>
      <c r="R955" s="75">
        <f t="shared" si="168"/>
        <v>0</v>
      </c>
      <c r="S955" s="75" t="e">
        <f t="shared" si="169"/>
        <v>#DIV/0!</v>
      </c>
      <c r="U955" s="306" t="e">
        <f t="shared" si="166"/>
        <v>#DIV/0!</v>
      </c>
    </row>
    <row r="956" spans="4:21" x14ac:dyDescent="0.35">
      <c r="D956" s="3"/>
      <c r="G956" s="3" t="s">
        <v>87</v>
      </c>
      <c r="M956" s="3"/>
      <c r="N956" s="356" t="e" cm="1">
        <f t="array" ref="N956">_xlfn.IFS(I956="AEX",H956/400,I956="RP",H956/200)</f>
        <v>#N/A</v>
      </c>
      <c r="P956" s="75" t="e">
        <f t="shared" si="167"/>
        <v>#DIV/0!</v>
      </c>
      <c r="Q956" s="3" t="e" cm="1">
        <f t="array" ref="Q956">_xlfn.IFS(P956&lt;200, "10", P956&lt;400, "12", P956&lt;600, "14", P956&gt;600, "16")</f>
        <v>#DIV/0!</v>
      </c>
      <c r="R956" s="75">
        <f t="shared" si="168"/>
        <v>0</v>
      </c>
      <c r="S956" s="75" t="e">
        <f t="shared" si="169"/>
        <v>#DIV/0!</v>
      </c>
      <c r="U956" s="306" t="e">
        <f t="shared" si="166"/>
        <v>#DIV/0!</v>
      </c>
    </row>
    <row r="957" spans="4:21" x14ac:dyDescent="0.35">
      <c r="D957" s="3"/>
      <c r="G957" s="3" t="s">
        <v>87</v>
      </c>
      <c r="M957" s="3"/>
      <c r="N957" s="356" t="e" cm="1">
        <f t="array" ref="N957">_xlfn.IFS(I957="AEX",H957/400,I957="RP",H957/200)</f>
        <v>#N/A</v>
      </c>
      <c r="P957" s="75" t="e">
        <f t="shared" si="167"/>
        <v>#DIV/0!</v>
      </c>
      <c r="Q957" s="3" t="e" cm="1">
        <f t="array" ref="Q957">_xlfn.IFS(P957&lt;200, "10", P957&lt;400, "12", P957&lt;600, "14", P957&gt;600, "16")</f>
        <v>#DIV/0!</v>
      </c>
      <c r="R957" s="75">
        <f t="shared" si="168"/>
        <v>0</v>
      </c>
      <c r="S957" s="75" t="e">
        <f t="shared" si="169"/>
        <v>#DIV/0!</v>
      </c>
      <c r="U957" s="306" t="e">
        <f t="shared" si="166"/>
        <v>#DIV/0!</v>
      </c>
    </row>
    <row r="958" spans="4:21" x14ac:dyDescent="0.35">
      <c r="D958" s="3"/>
      <c r="G958" s="3" t="s">
        <v>87</v>
      </c>
      <c r="M958" s="3"/>
      <c r="N958" s="356" t="e" cm="1">
        <f t="array" ref="N958">_xlfn.IFS(I958="AEX",H958/400,I958="RP",H958/200)</f>
        <v>#N/A</v>
      </c>
      <c r="P958" s="75" t="e">
        <f t="shared" si="167"/>
        <v>#DIV/0!</v>
      </c>
      <c r="Q958" s="3" t="e" cm="1">
        <f t="array" ref="Q958">_xlfn.IFS(P958&lt;200, "10", P958&lt;400, "12", P958&lt;600, "14", P958&gt;600, "16")</f>
        <v>#DIV/0!</v>
      </c>
      <c r="R958" s="75">
        <f t="shared" si="168"/>
        <v>0</v>
      </c>
      <c r="S958" s="75" t="e">
        <f t="shared" si="169"/>
        <v>#DIV/0!</v>
      </c>
      <c r="U958" s="306" t="e">
        <f t="shared" si="166"/>
        <v>#DIV/0!</v>
      </c>
    </row>
    <row r="959" spans="4:21" x14ac:dyDescent="0.35">
      <c r="D959" s="3"/>
      <c r="G959" s="3" t="s">
        <v>87</v>
      </c>
      <c r="M959" s="3"/>
      <c r="N959" s="356" t="e" cm="1">
        <f t="array" ref="N959">_xlfn.IFS(I959="AEX",H959/400,I959="RP",H959/200)</f>
        <v>#N/A</v>
      </c>
      <c r="P959" s="75" t="e">
        <f t="shared" si="167"/>
        <v>#DIV/0!</v>
      </c>
      <c r="Q959" s="3" t="e" cm="1">
        <f t="array" ref="Q959">_xlfn.IFS(P959&lt;200, "10", P959&lt;400, "12", P959&lt;600, "14", P959&gt;600, "16")</f>
        <v>#DIV/0!</v>
      </c>
      <c r="R959" s="75">
        <f t="shared" si="168"/>
        <v>0</v>
      </c>
      <c r="S959" s="75" t="e">
        <f t="shared" si="169"/>
        <v>#DIV/0!</v>
      </c>
      <c r="U959" s="306" t="e">
        <f t="shared" si="166"/>
        <v>#DIV/0!</v>
      </c>
    </row>
    <row r="960" spans="4:21" x14ac:dyDescent="0.35">
      <c r="D960" s="3"/>
      <c r="G960" s="3" t="s">
        <v>87</v>
      </c>
      <c r="M960" s="3"/>
      <c r="N960" s="356" t="e" cm="1">
        <f t="array" ref="N960">_xlfn.IFS(I960="AEX",H960/400,I960="RP",H960/200)</f>
        <v>#N/A</v>
      </c>
      <c r="P960" s="75" t="e">
        <f t="shared" si="167"/>
        <v>#DIV/0!</v>
      </c>
      <c r="Q960" s="3" t="e" cm="1">
        <f t="array" ref="Q960">_xlfn.IFS(P960&lt;200, "10", P960&lt;400, "12", P960&lt;600, "14", P960&gt;600, "16")</f>
        <v>#DIV/0!</v>
      </c>
      <c r="R960" s="75">
        <f t="shared" si="168"/>
        <v>0</v>
      </c>
      <c r="S960" s="75" t="e">
        <f t="shared" si="169"/>
        <v>#DIV/0!</v>
      </c>
      <c r="U960" s="306" t="e">
        <f t="shared" si="166"/>
        <v>#DIV/0!</v>
      </c>
    </row>
    <row r="961" spans="4:21" x14ac:dyDescent="0.35">
      <c r="D961" s="3"/>
      <c r="G961" s="3" t="s">
        <v>87</v>
      </c>
      <c r="M961" s="3"/>
      <c r="N961" s="356" t="e" cm="1">
        <f t="array" ref="N961">_xlfn.IFS(I961="AEX",H961/400,I961="RP",H961/200)</f>
        <v>#N/A</v>
      </c>
      <c r="P961" s="75" t="e">
        <f t="shared" si="167"/>
        <v>#DIV/0!</v>
      </c>
      <c r="Q961" s="3" t="e" cm="1">
        <f t="array" ref="Q961">_xlfn.IFS(P961&lt;200, "10", P961&lt;400, "12", P961&lt;600, "14", P961&gt;600, "16")</f>
        <v>#DIV/0!</v>
      </c>
      <c r="R961" s="75">
        <f t="shared" si="168"/>
        <v>0</v>
      </c>
      <c r="S961" s="75" t="e">
        <f t="shared" si="169"/>
        <v>#DIV/0!</v>
      </c>
      <c r="U961" s="306" t="e">
        <f t="shared" si="166"/>
        <v>#DIV/0!</v>
      </c>
    </row>
    <row r="962" spans="4:21" x14ac:dyDescent="0.35">
      <c r="D962" s="3"/>
      <c r="G962" s="3" t="s">
        <v>87</v>
      </c>
      <c r="M962" s="3"/>
      <c r="N962" s="356" t="e" cm="1">
        <f t="array" ref="N962">_xlfn.IFS(I962="AEX",H962/400,I962="RP",H962/200)</f>
        <v>#N/A</v>
      </c>
      <c r="P962" s="75" t="e">
        <f t="shared" si="167"/>
        <v>#DIV/0!</v>
      </c>
      <c r="Q962" s="3" t="e" cm="1">
        <f t="array" ref="Q962">_xlfn.IFS(P962&lt;200, "10", P962&lt;400, "12", P962&lt;600, "14", P962&gt;600, "16")</f>
        <v>#DIV/0!</v>
      </c>
      <c r="R962" s="75">
        <f t="shared" si="168"/>
        <v>0</v>
      </c>
      <c r="S962" s="75" t="e">
        <f t="shared" si="169"/>
        <v>#DIV/0!</v>
      </c>
      <c r="U962" s="306" t="e">
        <f t="shared" ref="U962:U1025" si="170">T962/H962*100</f>
        <v>#DIV/0!</v>
      </c>
    </row>
    <row r="963" spans="4:21" x14ac:dyDescent="0.35">
      <c r="D963" s="3"/>
      <c r="G963" s="3" t="s">
        <v>87</v>
      </c>
      <c r="M963" s="3"/>
      <c r="N963" s="356" t="e" cm="1">
        <f t="array" ref="N963">_xlfn.IFS(I963="AEX",H963/400,I963="RP",H963/200)</f>
        <v>#N/A</v>
      </c>
      <c r="P963" s="75" t="e">
        <f t="shared" si="167"/>
        <v>#DIV/0!</v>
      </c>
      <c r="Q963" s="3" t="e" cm="1">
        <f t="array" ref="Q963">_xlfn.IFS(P963&lt;200, "10", P963&lt;400, "12", P963&lt;600, "14", P963&gt;600, "16")</f>
        <v>#DIV/0!</v>
      </c>
      <c r="R963" s="75">
        <f t="shared" si="168"/>
        <v>0</v>
      </c>
      <c r="S963" s="75" t="e">
        <f t="shared" si="169"/>
        <v>#DIV/0!</v>
      </c>
      <c r="U963" s="306" t="e">
        <f t="shared" si="170"/>
        <v>#DIV/0!</v>
      </c>
    </row>
    <row r="964" spans="4:21" x14ac:dyDescent="0.35">
      <c r="D964" s="3"/>
      <c r="G964" s="3" t="s">
        <v>87</v>
      </c>
      <c r="M964" s="3"/>
      <c r="N964" s="356" t="e" cm="1">
        <f t="array" ref="N964">_xlfn.IFS(I964="AEX",H964/400,I964="RP",H964/200)</f>
        <v>#N/A</v>
      </c>
      <c r="P964" s="75" t="e">
        <f t="shared" si="167"/>
        <v>#DIV/0!</v>
      </c>
      <c r="Q964" s="3" t="e" cm="1">
        <f t="array" ref="Q964">_xlfn.IFS(P964&lt;200, "10", P964&lt;400, "12", P964&lt;600, "14", P964&gt;600, "16")</f>
        <v>#DIV/0!</v>
      </c>
      <c r="R964" s="75">
        <f t="shared" si="168"/>
        <v>0</v>
      </c>
      <c r="S964" s="75" t="e">
        <f t="shared" si="169"/>
        <v>#DIV/0!</v>
      </c>
      <c r="U964" s="306" t="e">
        <f t="shared" si="170"/>
        <v>#DIV/0!</v>
      </c>
    </row>
    <row r="965" spans="4:21" x14ac:dyDescent="0.35">
      <c r="D965" s="3"/>
      <c r="G965" s="3" t="s">
        <v>87</v>
      </c>
      <c r="M965" s="3"/>
      <c r="N965" s="356" t="e" cm="1">
        <f t="array" ref="N965">_xlfn.IFS(I965="AEX",H965/400,I965="RP",H965/200)</f>
        <v>#N/A</v>
      </c>
      <c r="P965" s="75" t="e">
        <f t="shared" si="167"/>
        <v>#DIV/0!</v>
      </c>
      <c r="Q965" s="3" t="e" cm="1">
        <f t="array" ref="Q965">_xlfn.IFS(P965&lt;200, "10", P965&lt;400, "12", P965&lt;600, "14", P965&gt;600, "16")</f>
        <v>#DIV/0!</v>
      </c>
      <c r="R965" s="75">
        <f t="shared" si="168"/>
        <v>0</v>
      </c>
      <c r="S965" s="75" t="e">
        <f t="shared" si="169"/>
        <v>#DIV/0!</v>
      </c>
      <c r="U965" s="306" t="e">
        <f t="shared" si="170"/>
        <v>#DIV/0!</v>
      </c>
    </row>
    <row r="966" spans="4:21" x14ac:dyDescent="0.35">
      <c r="D966" s="3"/>
      <c r="G966" s="3" t="s">
        <v>87</v>
      </c>
      <c r="M966" s="3"/>
      <c r="N966" s="356" t="e" cm="1">
        <f t="array" ref="N966">_xlfn.IFS(I966="AEX",H966/400,I966="RP",H966/200)</f>
        <v>#N/A</v>
      </c>
      <c r="P966" s="75" t="e">
        <f t="shared" si="167"/>
        <v>#DIV/0!</v>
      </c>
      <c r="Q966" s="3" t="e" cm="1">
        <f t="array" ref="Q966">_xlfn.IFS(P966&lt;200, "10", P966&lt;400, "12", P966&lt;600, "14", P966&gt;600, "16")</f>
        <v>#DIV/0!</v>
      </c>
      <c r="R966" s="75">
        <f t="shared" si="168"/>
        <v>0</v>
      </c>
      <c r="S966" s="75" t="e">
        <f t="shared" si="169"/>
        <v>#DIV/0!</v>
      </c>
      <c r="U966" s="306" t="e">
        <f t="shared" si="170"/>
        <v>#DIV/0!</v>
      </c>
    </row>
    <row r="967" spans="4:21" x14ac:dyDescent="0.35">
      <c r="D967" s="3"/>
      <c r="G967" s="3" t="s">
        <v>87</v>
      </c>
      <c r="M967" s="3"/>
      <c r="N967" s="356" t="e" cm="1">
        <f t="array" ref="N967">_xlfn.IFS(I967="AEX",H967/400,I967="RP",H967/200)</f>
        <v>#N/A</v>
      </c>
      <c r="P967" s="75" t="e">
        <f t="shared" si="167"/>
        <v>#DIV/0!</v>
      </c>
      <c r="Q967" s="3" t="e" cm="1">
        <f t="array" ref="Q967">_xlfn.IFS(P967&lt;200, "10", P967&lt;400, "12", P967&lt;600, "14", P967&gt;600, "16")</f>
        <v>#DIV/0!</v>
      </c>
      <c r="R967" s="75">
        <f t="shared" si="168"/>
        <v>0</v>
      </c>
      <c r="S967" s="75" t="e">
        <f t="shared" si="169"/>
        <v>#DIV/0!</v>
      </c>
      <c r="U967" s="306" t="e">
        <f t="shared" si="170"/>
        <v>#DIV/0!</v>
      </c>
    </row>
    <row r="968" spans="4:21" x14ac:dyDescent="0.35">
      <c r="D968" s="3"/>
      <c r="G968" s="3" t="s">
        <v>87</v>
      </c>
      <c r="M968" s="3"/>
      <c r="N968" s="356" t="e" cm="1">
        <f t="array" ref="N968">_xlfn.IFS(I968="AEX",H968/400,I968="RP",H968/200)</f>
        <v>#N/A</v>
      </c>
      <c r="P968" s="75" t="e">
        <f t="shared" si="167"/>
        <v>#DIV/0!</v>
      </c>
      <c r="Q968" s="3" t="e" cm="1">
        <f t="array" ref="Q968">_xlfn.IFS(P968&lt;200, "10", P968&lt;400, "12", P968&lt;600, "14", P968&gt;600, "16")</f>
        <v>#DIV/0!</v>
      </c>
      <c r="R968" s="75">
        <f t="shared" si="168"/>
        <v>0</v>
      </c>
      <c r="S968" s="75" t="e">
        <f t="shared" si="169"/>
        <v>#DIV/0!</v>
      </c>
      <c r="U968" s="306" t="e">
        <f t="shared" si="170"/>
        <v>#DIV/0!</v>
      </c>
    </row>
    <row r="969" spans="4:21" x14ac:dyDescent="0.35">
      <c r="D969" s="3"/>
      <c r="G969" s="3" t="s">
        <v>87</v>
      </c>
      <c r="M969" s="3"/>
      <c r="N969" s="356" t="e" cm="1">
        <f t="array" ref="N969">_xlfn.IFS(I969="AEX",H969/400,I969="RP",H969/200)</f>
        <v>#N/A</v>
      </c>
      <c r="P969" s="75" t="e">
        <f t="shared" si="167"/>
        <v>#DIV/0!</v>
      </c>
      <c r="Q969" s="3" t="e" cm="1">
        <f t="array" ref="Q969">_xlfn.IFS(P969&lt;200, "10", P969&lt;400, "12", P969&lt;600, "14", P969&gt;600, "16")</f>
        <v>#DIV/0!</v>
      </c>
      <c r="R969" s="75">
        <f t="shared" si="168"/>
        <v>0</v>
      </c>
      <c r="S969" s="75" t="e">
        <f t="shared" si="169"/>
        <v>#DIV/0!</v>
      </c>
      <c r="U969" s="306" t="e">
        <f t="shared" si="170"/>
        <v>#DIV/0!</v>
      </c>
    </row>
    <row r="970" spans="4:21" x14ac:dyDescent="0.35">
      <c r="D970" s="3"/>
      <c r="G970" s="3" t="s">
        <v>87</v>
      </c>
      <c r="M970" s="3"/>
      <c r="N970" s="356" t="e" cm="1">
        <f t="array" ref="N970">_xlfn.IFS(I970="AEX",H970/400,I970="RP",H970/200)</f>
        <v>#N/A</v>
      </c>
      <c r="P970" s="75" t="e">
        <f t="shared" si="167"/>
        <v>#DIV/0!</v>
      </c>
      <c r="Q970" s="3" t="e" cm="1">
        <f t="array" ref="Q970">_xlfn.IFS(P970&lt;200, "10", P970&lt;400, "12", P970&lt;600, "14", P970&gt;600, "16")</f>
        <v>#DIV/0!</v>
      </c>
      <c r="R970" s="75">
        <f t="shared" si="168"/>
        <v>0</v>
      </c>
      <c r="S970" s="75" t="e">
        <f t="shared" si="169"/>
        <v>#DIV/0!</v>
      </c>
      <c r="U970" s="306" t="e">
        <f t="shared" si="170"/>
        <v>#DIV/0!</v>
      </c>
    </row>
    <row r="971" spans="4:21" x14ac:dyDescent="0.35">
      <c r="D971" s="3"/>
      <c r="G971" s="3" t="s">
        <v>87</v>
      </c>
      <c r="M971" s="3"/>
      <c r="N971" s="356" t="e" cm="1">
        <f t="array" ref="N971">_xlfn.IFS(I971="AEX",H971/400,I971="RP",H971/200)</f>
        <v>#N/A</v>
      </c>
      <c r="P971" s="75" t="e">
        <f t="shared" si="167"/>
        <v>#DIV/0!</v>
      </c>
      <c r="Q971" s="3" t="e" cm="1">
        <f t="array" ref="Q971">_xlfn.IFS(P971&lt;200, "10", P971&lt;400, "12", P971&lt;600, "14", P971&gt;600, "16")</f>
        <v>#DIV/0!</v>
      </c>
      <c r="R971" s="75">
        <f t="shared" si="168"/>
        <v>0</v>
      </c>
      <c r="S971" s="75" t="e">
        <f t="shared" si="169"/>
        <v>#DIV/0!</v>
      </c>
      <c r="U971" s="306" t="e">
        <f t="shared" si="170"/>
        <v>#DIV/0!</v>
      </c>
    </row>
    <row r="972" spans="4:21" x14ac:dyDescent="0.35">
      <c r="D972" s="3"/>
      <c r="G972" s="3" t="s">
        <v>87</v>
      </c>
      <c r="M972" s="3"/>
      <c r="N972" s="356" t="e" cm="1">
        <f t="array" ref="N972">_xlfn.IFS(I972="AEX",H972/400,I972="RP",H972/200)</f>
        <v>#N/A</v>
      </c>
      <c r="P972" s="75" t="e">
        <f t="shared" si="167"/>
        <v>#DIV/0!</v>
      </c>
      <c r="Q972" s="3" t="e" cm="1">
        <f t="array" ref="Q972">_xlfn.IFS(P972&lt;200, "10", P972&lt;400, "12", P972&lt;600, "14", P972&gt;600, "16")</f>
        <v>#DIV/0!</v>
      </c>
      <c r="R972" s="75">
        <f t="shared" si="168"/>
        <v>0</v>
      </c>
      <c r="S972" s="75" t="e">
        <f t="shared" si="169"/>
        <v>#DIV/0!</v>
      </c>
      <c r="U972" s="306" t="e">
        <f t="shared" si="170"/>
        <v>#DIV/0!</v>
      </c>
    </row>
    <row r="973" spans="4:21" x14ac:dyDescent="0.35">
      <c r="D973" s="3"/>
      <c r="G973" s="3" t="s">
        <v>87</v>
      </c>
      <c r="M973" s="3"/>
      <c r="N973" s="356" t="e" cm="1">
        <f t="array" ref="N973">_xlfn.IFS(I973="AEX",H973/400,I973="RP",H973/200)</f>
        <v>#N/A</v>
      </c>
      <c r="P973" s="75" t="e">
        <f t="shared" si="167"/>
        <v>#DIV/0!</v>
      </c>
      <c r="Q973" s="3" t="e" cm="1">
        <f t="array" ref="Q973">_xlfn.IFS(P973&lt;200, "10", P973&lt;400, "12", P973&lt;600, "14", P973&gt;600, "16")</f>
        <v>#DIV/0!</v>
      </c>
      <c r="R973" s="75">
        <f t="shared" si="168"/>
        <v>0</v>
      </c>
      <c r="S973" s="75" t="e">
        <f t="shared" si="169"/>
        <v>#DIV/0!</v>
      </c>
      <c r="U973" s="306" t="e">
        <f t="shared" si="170"/>
        <v>#DIV/0!</v>
      </c>
    </row>
    <row r="974" spans="4:21" x14ac:dyDescent="0.35">
      <c r="D974" s="3"/>
      <c r="G974" s="3" t="s">
        <v>87</v>
      </c>
      <c r="M974" s="3"/>
      <c r="N974" s="356" t="e" cm="1">
        <f t="array" ref="N974">_xlfn.IFS(I974="AEX",H974/400,I974="RP",H974/200)</f>
        <v>#N/A</v>
      </c>
      <c r="P974" s="75" t="e">
        <f t="shared" si="167"/>
        <v>#DIV/0!</v>
      </c>
      <c r="Q974" s="3" t="e" cm="1">
        <f t="array" ref="Q974">_xlfn.IFS(P974&lt;200, "10", P974&lt;400, "12", P974&lt;600, "14", P974&gt;600, "16")</f>
        <v>#DIV/0!</v>
      </c>
      <c r="R974" s="75">
        <f t="shared" si="168"/>
        <v>0</v>
      </c>
      <c r="S974" s="75" t="e">
        <f t="shared" si="169"/>
        <v>#DIV/0!</v>
      </c>
      <c r="U974" s="306" t="e">
        <f t="shared" si="170"/>
        <v>#DIV/0!</v>
      </c>
    </row>
    <row r="975" spans="4:21" x14ac:dyDescent="0.35">
      <c r="D975" s="3"/>
      <c r="G975" s="3" t="s">
        <v>87</v>
      </c>
      <c r="M975" s="3"/>
      <c r="N975" s="356" t="e" cm="1">
        <f t="array" ref="N975">_xlfn.IFS(I975="AEX",H975/400,I975="RP",H975/200)</f>
        <v>#N/A</v>
      </c>
      <c r="P975" s="75" t="e">
        <f t="shared" si="167"/>
        <v>#DIV/0!</v>
      </c>
      <c r="Q975" s="3" t="e" cm="1">
        <f t="array" ref="Q975">_xlfn.IFS(P975&lt;200, "10", P975&lt;400, "12", P975&lt;600, "14", P975&gt;600, "16")</f>
        <v>#DIV/0!</v>
      </c>
      <c r="R975" s="75">
        <f t="shared" si="168"/>
        <v>0</v>
      </c>
      <c r="S975" s="75" t="e">
        <f t="shared" si="169"/>
        <v>#DIV/0!</v>
      </c>
      <c r="U975" s="306" t="e">
        <f t="shared" si="170"/>
        <v>#DIV/0!</v>
      </c>
    </row>
    <row r="976" spans="4:21" x14ac:dyDescent="0.35">
      <c r="D976" s="3"/>
      <c r="G976" s="3" t="s">
        <v>87</v>
      </c>
      <c r="M976" s="3"/>
      <c r="N976" s="356" t="e" cm="1">
        <f t="array" ref="N976">_xlfn.IFS(I976="AEX",H976/400,I976="RP",H976/200)</f>
        <v>#N/A</v>
      </c>
      <c r="P976" s="75" t="e">
        <f t="shared" si="167"/>
        <v>#DIV/0!</v>
      </c>
      <c r="Q976" s="3" t="e" cm="1">
        <f t="array" ref="Q976">_xlfn.IFS(P976&lt;200, "10", P976&lt;400, "12", P976&lt;600, "14", P976&gt;600, "16")</f>
        <v>#DIV/0!</v>
      </c>
      <c r="R976" s="75">
        <f t="shared" si="168"/>
        <v>0</v>
      </c>
      <c r="S976" s="75" t="e">
        <f t="shared" si="169"/>
        <v>#DIV/0!</v>
      </c>
      <c r="U976" s="306" t="e">
        <f t="shared" si="170"/>
        <v>#DIV/0!</v>
      </c>
    </row>
    <row r="977" spans="4:21" x14ac:dyDescent="0.35">
      <c r="D977" s="3"/>
      <c r="G977" s="3" t="s">
        <v>87</v>
      </c>
      <c r="M977" s="3"/>
      <c r="N977" s="356" t="e" cm="1">
        <f t="array" ref="N977">_xlfn.IFS(I977="AEX",H977/400,I977="RP",H977/200)</f>
        <v>#N/A</v>
      </c>
      <c r="P977" s="75" t="e">
        <f t="shared" si="167"/>
        <v>#DIV/0!</v>
      </c>
      <c r="Q977" s="3" t="e" cm="1">
        <f t="array" ref="Q977">_xlfn.IFS(P977&lt;200, "10", P977&lt;400, "12", P977&lt;600, "14", P977&gt;600, "16")</f>
        <v>#DIV/0!</v>
      </c>
      <c r="R977" s="75">
        <f t="shared" si="168"/>
        <v>0</v>
      </c>
      <c r="S977" s="75" t="e">
        <f t="shared" si="169"/>
        <v>#DIV/0!</v>
      </c>
      <c r="U977" s="306" t="e">
        <f t="shared" si="170"/>
        <v>#DIV/0!</v>
      </c>
    </row>
    <row r="978" spans="4:21" x14ac:dyDescent="0.35">
      <c r="D978" s="3"/>
      <c r="G978" s="3" t="s">
        <v>87</v>
      </c>
      <c r="M978" s="3"/>
      <c r="N978" s="356" t="e" cm="1">
        <f t="array" ref="N978">_xlfn.IFS(I978="AEX",H978/400,I978="RP",H978/200)</f>
        <v>#N/A</v>
      </c>
      <c r="P978" s="75" t="e">
        <f t="shared" si="167"/>
        <v>#DIV/0!</v>
      </c>
      <c r="Q978" s="3" t="e" cm="1">
        <f t="array" ref="Q978">_xlfn.IFS(P978&lt;200, "10", P978&lt;400, "12", P978&lt;600, "14", P978&gt;600, "16")</f>
        <v>#DIV/0!</v>
      </c>
      <c r="R978" s="75">
        <f t="shared" si="168"/>
        <v>0</v>
      </c>
      <c r="S978" s="75" t="e">
        <f t="shared" si="169"/>
        <v>#DIV/0!</v>
      </c>
      <c r="U978" s="306" t="e">
        <f t="shared" si="170"/>
        <v>#DIV/0!</v>
      </c>
    </row>
    <row r="979" spans="4:21" x14ac:dyDescent="0.35">
      <c r="D979" s="3"/>
      <c r="G979" s="3" t="s">
        <v>87</v>
      </c>
      <c r="M979" s="3"/>
      <c r="N979" s="356" t="e" cm="1">
        <f t="array" ref="N979">_xlfn.IFS(I979="AEX",H979/400,I979="RP",H979/200)</f>
        <v>#N/A</v>
      </c>
      <c r="P979" s="75" t="e">
        <f t="shared" si="167"/>
        <v>#DIV/0!</v>
      </c>
      <c r="Q979" s="3" t="e" cm="1">
        <f t="array" ref="Q979">_xlfn.IFS(P979&lt;200, "10", P979&lt;400, "12", P979&lt;600, "14", P979&gt;600, "16")</f>
        <v>#DIV/0!</v>
      </c>
      <c r="R979" s="75">
        <f t="shared" si="168"/>
        <v>0</v>
      </c>
      <c r="S979" s="75" t="e">
        <f t="shared" si="169"/>
        <v>#DIV/0!</v>
      </c>
      <c r="U979" s="306" t="e">
        <f t="shared" si="170"/>
        <v>#DIV/0!</v>
      </c>
    </row>
    <row r="980" spans="4:21" x14ac:dyDescent="0.35">
      <c r="D980" s="3"/>
      <c r="G980" s="3" t="s">
        <v>87</v>
      </c>
      <c r="M980" s="3"/>
      <c r="N980" s="356" t="e" cm="1">
        <f t="array" ref="N980">_xlfn.IFS(I980="AEX",H980/400,I980="RP",H980/200)</f>
        <v>#N/A</v>
      </c>
      <c r="P980" s="75" t="e">
        <f t="shared" si="167"/>
        <v>#DIV/0!</v>
      </c>
      <c r="Q980" s="3" t="e" cm="1">
        <f t="array" ref="Q980">_xlfn.IFS(P980&lt;200, "10", P980&lt;400, "12", P980&lt;600, "14", P980&gt;600, "16")</f>
        <v>#DIV/0!</v>
      </c>
      <c r="R980" s="75">
        <f t="shared" si="168"/>
        <v>0</v>
      </c>
      <c r="S980" s="75" t="e">
        <f t="shared" si="169"/>
        <v>#DIV/0!</v>
      </c>
      <c r="U980" s="306" t="e">
        <f t="shared" si="170"/>
        <v>#DIV/0!</v>
      </c>
    </row>
    <row r="981" spans="4:21" x14ac:dyDescent="0.35">
      <c r="D981" s="3"/>
      <c r="G981" s="3" t="s">
        <v>87</v>
      </c>
      <c r="M981" s="3"/>
      <c r="N981" s="356" t="e" cm="1">
        <f t="array" ref="N981">_xlfn.IFS(I981="AEX",H981/400,I981="RP",H981/200)</f>
        <v>#N/A</v>
      </c>
      <c r="P981" s="75" t="e">
        <f t="shared" si="167"/>
        <v>#DIV/0!</v>
      </c>
      <c r="Q981" s="3" t="e" cm="1">
        <f t="array" ref="Q981">_xlfn.IFS(P981&lt;200, "10", P981&lt;400, "12", P981&lt;600, "14", P981&gt;600, "16")</f>
        <v>#DIV/0!</v>
      </c>
      <c r="R981" s="75">
        <f t="shared" si="168"/>
        <v>0</v>
      </c>
      <c r="S981" s="75" t="e">
        <f t="shared" si="169"/>
        <v>#DIV/0!</v>
      </c>
      <c r="U981" s="306" t="e">
        <f t="shared" si="170"/>
        <v>#DIV/0!</v>
      </c>
    </row>
    <row r="982" spans="4:21" x14ac:dyDescent="0.35">
      <c r="D982" s="3"/>
      <c r="G982" s="3" t="s">
        <v>87</v>
      </c>
      <c r="M982" s="3"/>
      <c r="N982" s="356" t="e" cm="1">
        <f t="array" ref="N982">_xlfn.IFS(I982="AEX",H982/400,I982="RP",H982/200)</f>
        <v>#N/A</v>
      </c>
      <c r="P982" s="75" t="e">
        <f t="shared" si="167"/>
        <v>#DIV/0!</v>
      </c>
      <c r="Q982" s="3" t="e" cm="1">
        <f t="array" ref="Q982">_xlfn.IFS(P982&lt;200, "10", P982&lt;400, "12", P982&lt;600, "14", P982&gt;600, "16")</f>
        <v>#DIV/0!</v>
      </c>
      <c r="R982" s="75">
        <f t="shared" si="168"/>
        <v>0</v>
      </c>
      <c r="S982" s="75" t="e">
        <f t="shared" si="169"/>
        <v>#DIV/0!</v>
      </c>
      <c r="U982" s="306" t="e">
        <f t="shared" si="170"/>
        <v>#DIV/0!</v>
      </c>
    </row>
    <row r="983" spans="4:21" x14ac:dyDescent="0.35">
      <c r="D983" s="3"/>
      <c r="G983" s="3" t="s">
        <v>87</v>
      </c>
      <c r="M983" s="3"/>
      <c r="N983" s="356" t="e" cm="1">
        <f t="array" ref="N983">_xlfn.IFS(I983="AEX",H983/400,I983="RP",H983/200)</f>
        <v>#N/A</v>
      </c>
      <c r="P983" s="75" t="e">
        <f t="shared" si="167"/>
        <v>#DIV/0!</v>
      </c>
      <c r="Q983" s="3" t="e" cm="1">
        <f t="array" ref="Q983">_xlfn.IFS(P983&lt;200, "10", P983&lt;400, "12", P983&lt;600, "14", P983&gt;600, "16")</f>
        <v>#DIV/0!</v>
      </c>
      <c r="R983" s="75">
        <f t="shared" si="168"/>
        <v>0</v>
      </c>
      <c r="S983" s="75" t="e">
        <f t="shared" si="169"/>
        <v>#DIV/0!</v>
      </c>
      <c r="U983" s="306" t="e">
        <f t="shared" si="170"/>
        <v>#DIV/0!</v>
      </c>
    </row>
    <row r="984" spans="4:21" x14ac:dyDescent="0.35">
      <c r="D984" s="3"/>
      <c r="G984" s="3" t="s">
        <v>87</v>
      </c>
      <c r="M984" s="3"/>
      <c r="N984" s="356" t="e" cm="1">
        <f t="array" ref="N984">_xlfn.IFS(I984="AEX",H984/400,I984="RP",H984/200)</f>
        <v>#N/A</v>
      </c>
      <c r="P984" s="75" t="e">
        <f t="shared" si="167"/>
        <v>#DIV/0!</v>
      </c>
      <c r="Q984" s="3" t="e" cm="1">
        <f t="array" ref="Q984">_xlfn.IFS(P984&lt;200, "10", P984&lt;400, "12", P984&lt;600, "14", P984&gt;600, "16")</f>
        <v>#DIV/0!</v>
      </c>
      <c r="R984" s="75">
        <f t="shared" si="168"/>
        <v>0</v>
      </c>
      <c r="S984" s="75" t="e">
        <f t="shared" si="169"/>
        <v>#DIV/0!</v>
      </c>
      <c r="U984" s="306" t="e">
        <f t="shared" si="170"/>
        <v>#DIV/0!</v>
      </c>
    </row>
    <row r="985" spans="4:21" x14ac:dyDescent="0.35">
      <c r="D985" s="3"/>
      <c r="G985" s="3" t="s">
        <v>87</v>
      </c>
      <c r="M985" s="3"/>
      <c r="N985" s="356" t="e" cm="1">
        <f t="array" ref="N985">_xlfn.IFS(I985="AEX",H985/400,I985="RP",H985/200)</f>
        <v>#N/A</v>
      </c>
      <c r="P985" s="75" t="e">
        <f t="shared" si="167"/>
        <v>#DIV/0!</v>
      </c>
      <c r="Q985" s="3" t="e" cm="1">
        <f t="array" ref="Q985">_xlfn.IFS(P985&lt;200, "10", P985&lt;400, "12", P985&lt;600, "14", P985&gt;600, "16")</f>
        <v>#DIV/0!</v>
      </c>
      <c r="R985" s="75">
        <f t="shared" si="168"/>
        <v>0</v>
      </c>
      <c r="S985" s="75" t="e">
        <f t="shared" si="169"/>
        <v>#DIV/0!</v>
      </c>
      <c r="U985" s="306" t="e">
        <f t="shared" si="170"/>
        <v>#DIV/0!</v>
      </c>
    </row>
    <row r="986" spans="4:21" x14ac:dyDescent="0.35">
      <c r="D986" s="3"/>
      <c r="G986" s="3" t="s">
        <v>87</v>
      </c>
      <c r="M986" s="3"/>
      <c r="N986" s="356" t="e" cm="1">
        <f t="array" ref="N986">_xlfn.IFS(I986="AEX",H986/400,I986="RP",H986/200)</f>
        <v>#N/A</v>
      </c>
      <c r="P986" s="75" t="e">
        <f t="shared" si="167"/>
        <v>#DIV/0!</v>
      </c>
      <c r="Q986" s="3" t="e" cm="1">
        <f t="array" ref="Q986">_xlfn.IFS(P986&lt;200, "10", P986&lt;400, "12", P986&lt;600, "14", P986&gt;600, "16")</f>
        <v>#DIV/0!</v>
      </c>
      <c r="R986" s="75">
        <f t="shared" si="168"/>
        <v>0</v>
      </c>
      <c r="S986" s="75" t="e">
        <f t="shared" si="169"/>
        <v>#DIV/0!</v>
      </c>
      <c r="U986" s="306" t="e">
        <f t="shared" si="170"/>
        <v>#DIV/0!</v>
      </c>
    </row>
    <row r="987" spans="4:21" x14ac:dyDescent="0.35">
      <c r="D987" s="3"/>
      <c r="G987" s="3" t="s">
        <v>87</v>
      </c>
      <c r="M987" s="3"/>
      <c r="N987" s="356" t="e" cm="1">
        <f t="array" ref="N987">_xlfn.IFS(I987="AEX",H987/400,I987="RP",H987/200)</f>
        <v>#N/A</v>
      </c>
      <c r="P987" s="75" t="e">
        <f t="shared" si="167"/>
        <v>#DIV/0!</v>
      </c>
      <c r="Q987" s="3" t="e" cm="1">
        <f t="array" ref="Q987">_xlfn.IFS(P987&lt;200, "10", P987&lt;400, "12", P987&lt;600, "14", P987&gt;600, "16")</f>
        <v>#DIV/0!</v>
      </c>
      <c r="R987" s="75">
        <f t="shared" si="168"/>
        <v>0</v>
      </c>
      <c r="S987" s="75" t="e">
        <f t="shared" si="169"/>
        <v>#DIV/0!</v>
      </c>
      <c r="U987" s="306" t="e">
        <f t="shared" si="170"/>
        <v>#DIV/0!</v>
      </c>
    </row>
    <row r="988" spans="4:21" x14ac:dyDescent="0.35">
      <c r="D988" s="3"/>
      <c r="G988" s="3" t="s">
        <v>87</v>
      </c>
      <c r="M988" s="3"/>
      <c r="N988" s="356" t="e" cm="1">
        <f t="array" ref="N988">_xlfn.IFS(I988="AEX",H988/400,I988="RP",H988/200)</f>
        <v>#N/A</v>
      </c>
      <c r="P988" s="75" t="e">
        <f t="shared" si="167"/>
        <v>#DIV/0!</v>
      </c>
      <c r="Q988" s="3" t="e" cm="1">
        <f t="array" ref="Q988">_xlfn.IFS(P988&lt;200, "10", P988&lt;400, "12", P988&lt;600, "14", P988&gt;600, "16")</f>
        <v>#DIV/0!</v>
      </c>
      <c r="R988" s="75">
        <f t="shared" si="168"/>
        <v>0</v>
      </c>
      <c r="S988" s="75" t="e">
        <f t="shared" si="169"/>
        <v>#DIV/0!</v>
      </c>
      <c r="U988" s="306" t="e">
        <f t="shared" si="170"/>
        <v>#DIV/0!</v>
      </c>
    </row>
    <row r="989" spans="4:21" x14ac:dyDescent="0.35">
      <c r="D989" s="3"/>
      <c r="G989" s="3" t="s">
        <v>87</v>
      </c>
      <c r="M989" s="3"/>
      <c r="N989" s="356" t="e" cm="1">
        <f t="array" ref="N989">_xlfn.IFS(I989="AEX",H989/400,I989="RP",H989/200)</f>
        <v>#N/A</v>
      </c>
      <c r="P989" s="75" t="e">
        <f t="shared" si="167"/>
        <v>#DIV/0!</v>
      </c>
      <c r="Q989" s="3" t="e" cm="1">
        <f t="array" ref="Q989">_xlfn.IFS(P989&lt;200, "10", P989&lt;400, "12", P989&lt;600, "14", P989&gt;600, "16")</f>
        <v>#DIV/0!</v>
      </c>
      <c r="R989" s="75">
        <f t="shared" si="168"/>
        <v>0</v>
      </c>
      <c r="S989" s="75" t="e">
        <f t="shared" si="169"/>
        <v>#DIV/0!</v>
      </c>
      <c r="U989" s="306" t="e">
        <f t="shared" si="170"/>
        <v>#DIV/0!</v>
      </c>
    </row>
    <row r="990" spans="4:21" x14ac:dyDescent="0.35">
      <c r="D990" s="3"/>
      <c r="G990" s="3" t="s">
        <v>87</v>
      </c>
      <c r="M990" s="3"/>
      <c r="N990" s="356" t="e" cm="1">
        <f t="array" ref="N990">_xlfn.IFS(I990="AEX",H990/400,I990="RP",H990/200)</f>
        <v>#N/A</v>
      </c>
      <c r="P990" s="75" t="e">
        <f t="shared" si="167"/>
        <v>#DIV/0!</v>
      </c>
      <c r="Q990" s="3" t="e" cm="1">
        <f t="array" ref="Q990">_xlfn.IFS(P990&lt;200, "10", P990&lt;400, "12", P990&lt;600, "14", P990&gt;600, "16")</f>
        <v>#DIV/0!</v>
      </c>
      <c r="R990" s="75">
        <f t="shared" si="168"/>
        <v>0</v>
      </c>
      <c r="S990" s="75" t="e">
        <f t="shared" si="169"/>
        <v>#DIV/0!</v>
      </c>
      <c r="U990" s="306" t="e">
        <f t="shared" si="170"/>
        <v>#DIV/0!</v>
      </c>
    </row>
    <row r="991" spans="4:21" x14ac:dyDescent="0.35">
      <c r="D991" s="3"/>
      <c r="G991" s="3" t="s">
        <v>87</v>
      </c>
      <c r="M991" s="3"/>
      <c r="N991" s="356" t="e" cm="1">
        <f t="array" ref="N991">_xlfn.IFS(I991="AEX",H991/400,I991="RP",H991/200)</f>
        <v>#N/A</v>
      </c>
      <c r="P991" s="75" t="e">
        <f t="shared" si="167"/>
        <v>#DIV/0!</v>
      </c>
      <c r="Q991" s="3" t="e" cm="1">
        <f t="array" ref="Q991">_xlfn.IFS(P991&lt;200, "10", P991&lt;400, "12", P991&lt;600, "14", P991&gt;600, "16")</f>
        <v>#DIV/0!</v>
      </c>
      <c r="R991" s="75">
        <f t="shared" si="168"/>
        <v>0</v>
      </c>
      <c r="S991" s="75" t="e">
        <f t="shared" si="169"/>
        <v>#DIV/0!</v>
      </c>
      <c r="U991" s="306" t="e">
        <f t="shared" si="170"/>
        <v>#DIV/0!</v>
      </c>
    </row>
    <row r="992" spans="4:21" x14ac:dyDescent="0.35">
      <c r="D992" s="3"/>
      <c r="G992" s="3" t="s">
        <v>87</v>
      </c>
      <c r="M992" s="3"/>
      <c r="N992" s="356" t="e" cm="1">
        <f t="array" ref="N992">_xlfn.IFS(I992="AEX",H992/400,I992="RP",H992/200)</f>
        <v>#N/A</v>
      </c>
      <c r="P992" s="75" t="e">
        <f t="shared" si="167"/>
        <v>#DIV/0!</v>
      </c>
      <c r="Q992" s="3" t="e" cm="1">
        <f t="array" ref="Q992">_xlfn.IFS(P992&lt;200, "10", P992&lt;400, "12", P992&lt;600, "14", P992&gt;600, "16")</f>
        <v>#DIV/0!</v>
      </c>
      <c r="R992" s="75">
        <f t="shared" si="168"/>
        <v>0</v>
      </c>
      <c r="S992" s="75" t="e">
        <f t="shared" si="169"/>
        <v>#DIV/0!</v>
      </c>
      <c r="U992" s="306" t="e">
        <f t="shared" si="170"/>
        <v>#DIV/0!</v>
      </c>
    </row>
    <row r="993" spans="4:21" x14ac:dyDescent="0.35">
      <c r="D993" s="3"/>
      <c r="G993" s="3" t="s">
        <v>87</v>
      </c>
      <c r="M993" s="3"/>
      <c r="N993" s="356" t="e" cm="1">
        <f t="array" ref="N993">_xlfn.IFS(I993="AEX",H993/400,I993="RP",H993/200)</f>
        <v>#N/A</v>
      </c>
      <c r="P993" s="75" t="e">
        <f t="shared" si="167"/>
        <v>#DIV/0!</v>
      </c>
      <c r="Q993" s="3" t="e" cm="1">
        <f t="array" ref="Q993">_xlfn.IFS(P993&lt;200, "10", P993&lt;400, "12", P993&lt;600, "14", P993&gt;600, "16")</f>
        <v>#DIV/0!</v>
      </c>
      <c r="R993" s="75">
        <f t="shared" si="168"/>
        <v>0</v>
      </c>
      <c r="S993" s="75" t="e">
        <f t="shared" si="169"/>
        <v>#DIV/0!</v>
      </c>
      <c r="U993" s="306" t="e">
        <f t="shared" si="170"/>
        <v>#DIV/0!</v>
      </c>
    </row>
    <row r="994" spans="4:21" x14ac:dyDescent="0.35">
      <c r="D994" s="3"/>
      <c r="G994" s="3" t="s">
        <v>87</v>
      </c>
      <c r="M994" s="3"/>
      <c r="N994" s="356" t="e" cm="1">
        <f t="array" ref="N994">_xlfn.IFS(I994="AEX",H994/400,I994="RP",H994/200)</f>
        <v>#N/A</v>
      </c>
      <c r="P994" s="75" t="e">
        <f t="shared" si="167"/>
        <v>#DIV/0!</v>
      </c>
      <c r="Q994" s="3" t="e" cm="1">
        <f t="array" ref="Q994">_xlfn.IFS(P994&lt;200, "10", P994&lt;400, "12", P994&lt;600, "14", P994&gt;600, "16")</f>
        <v>#DIV/0!</v>
      </c>
      <c r="R994" s="75">
        <f t="shared" si="168"/>
        <v>0</v>
      </c>
      <c r="S994" s="75" t="e">
        <f t="shared" si="169"/>
        <v>#DIV/0!</v>
      </c>
      <c r="U994" s="306" t="e">
        <f t="shared" si="170"/>
        <v>#DIV/0!</v>
      </c>
    </row>
    <row r="995" spans="4:21" x14ac:dyDescent="0.35">
      <c r="D995" s="3"/>
      <c r="G995" s="3" t="s">
        <v>87</v>
      </c>
      <c r="M995" s="3"/>
      <c r="N995" s="356" t="e" cm="1">
        <f t="array" ref="N995">_xlfn.IFS(I995="AEX",H995/400,I995="RP",H995/200)</f>
        <v>#N/A</v>
      </c>
      <c r="P995" s="75" t="e">
        <f t="shared" si="167"/>
        <v>#DIV/0!</v>
      </c>
      <c r="Q995" s="3" t="e" cm="1">
        <f t="array" ref="Q995">_xlfn.IFS(P995&lt;200, "10", P995&lt;400, "12", P995&lt;600, "14", P995&gt;600, "16")</f>
        <v>#DIV/0!</v>
      </c>
      <c r="R995" s="75">
        <f t="shared" si="168"/>
        <v>0</v>
      </c>
      <c r="S995" s="75" t="e">
        <f t="shared" si="169"/>
        <v>#DIV/0!</v>
      </c>
      <c r="U995" s="306" t="e">
        <f t="shared" si="170"/>
        <v>#DIV/0!</v>
      </c>
    </row>
    <row r="996" spans="4:21" x14ac:dyDescent="0.35">
      <c r="D996" s="3"/>
      <c r="G996" s="3" t="s">
        <v>87</v>
      </c>
      <c r="M996" s="3"/>
      <c r="N996" s="356" t="e" cm="1">
        <f t="array" ref="N996">_xlfn.IFS(I996="AEX",H996/400,I996="RP",H996/200)</f>
        <v>#N/A</v>
      </c>
      <c r="P996" s="75" t="e">
        <f t="shared" si="167"/>
        <v>#DIV/0!</v>
      </c>
      <c r="Q996" s="3" t="e" cm="1">
        <f t="array" ref="Q996">_xlfn.IFS(P996&lt;200, "10", P996&lt;400, "12", P996&lt;600, "14", P996&gt;600, "16")</f>
        <v>#DIV/0!</v>
      </c>
      <c r="R996" s="75">
        <f t="shared" si="168"/>
        <v>0</v>
      </c>
      <c r="S996" s="75" t="e">
        <f t="shared" si="169"/>
        <v>#DIV/0!</v>
      </c>
      <c r="U996" s="306" t="e">
        <f t="shared" si="170"/>
        <v>#DIV/0!</v>
      </c>
    </row>
    <row r="997" spans="4:21" x14ac:dyDescent="0.35">
      <c r="D997" s="3"/>
      <c r="G997" s="3" t="s">
        <v>87</v>
      </c>
      <c r="M997" s="3"/>
      <c r="N997" s="356" t="e" cm="1">
        <f t="array" ref="N997">_xlfn.IFS(I997="AEX",H997/400,I997="RP",H997/200)</f>
        <v>#N/A</v>
      </c>
      <c r="P997" s="75" t="e">
        <f t="shared" si="167"/>
        <v>#DIV/0!</v>
      </c>
      <c r="Q997" s="3" t="e" cm="1">
        <f t="array" ref="Q997">_xlfn.IFS(P997&lt;200, "10", P997&lt;400, "12", P997&lt;600, "14", P997&gt;600, "16")</f>
        <v>#DIV/0!</v>
      </c>
      <c r="R997" s="75">
        <f t="shared" si="168"/>
        <v>0</v>
      </c>
      <c r="S997" s="75" t="e">
        <f t="shared" si="169"/>
        <v>#DIV/0!</v>
      </c>
      <c r="U997" s="306" t="e">
        <f t="shared" si="170"/>
        <v>#DIV/0!</v>
      </c>
    </row>
    <row r="998" spans="4:21" x14ac:dyDescent="0.35">
      <c r="D998" s="3"/>
      <c r="G998" s="3" t="s">
        <v>87</v>
      </c>
      <c r="M998" s="3"/>
      <c r="N998" s="356" t="e" cm="1">
        <f t="array" ref="N998">_xlfn.IFS(I998="AEX",H998/400,I998="RP",H998/200)</f>
        <v>#N/A</v>
      </c>
      <c r="P998" s="75" t="e">
        <f t="shared" si="167"/>
        <v>#DIV/0!</v>
      </c>
      <c r="Q998" s="3" t="e" cm="1">
        <f t="array" ref="Q998">_xlfn.IFS(P998&lt;200, "10", P998&lt;400, "12", P998&lt;600, "14", P998&gt;600, "16")</f>
        <v>#DIV/0!</v>
      </c>
      <c r="R998" s="75">
        <f t="shared" si="168"/>
        <v>0</v>
      </c>
      <c r="S998" s="75" t="e">
        <f t="shared" si="169"/>
        <v>#DIV/0!</v>
      </c>
      <c r="U998" s="306" t="e">
        <f t="shared" si="170"/>
        <v>#DIV/0!</v>
      </c>
    </row>
    <row r="999" spans="4:21" x14ac:dyDescent="0.35">
      <c r="D999" s="3"/>
      <c r="G999" s="3" t="s">
        <v>87</v>
      </c>
      <c r="M999" s="3"/>
      <c r="N999" s="356" t="e" cm="1">
        <f t="array" ref="N999">_xlfn.IFS(I999="AEX",H999/400,I999="RP",H999/200)</f>
        <v>#N/A</v>
      </c>
      <c r="P999" s="75" t="e">
        <f t="shared" si="167"/>
        <v>#DIV/0!</v>
      </c>
      <c r="Q999" s="3" t="e" cm="1">
        <f t="array" ref="Q999">_xlfn.IFS(P999&lt;200, "10", P999&lt;400, "12", P999&lt;600, "14", P999&gt;600, "16")</f>
        <v>#DIV/0!</v>
      </c>
      <c r="R999" s="75">
        <f t="shared" si="168"/>
        <v>0</v>
      </c>
      <c r="S999" s="75" t="e">
        <f t="shared" si="169"/>
        <v>#DIV/0!</v>
      </c>
      <c r="U999" s="306" t="e">
        <f t="shared" si="170"/>
        <v>#DIV/0!</v>
      </c>
    </row>
    <row r="1000" spans="4:21" x14ac:dyDescent="0.35">
      <c r="D1000" s="3"/>
      <c r="G1000" s="3" t="s">
        <v>87</v>
      </c>
      <c r="M1000" s="3"/>
      <c r="N1000" s="356" t="e" cm="1">
        <f t="array" ref="N1000">_xlfn.IFS(I1000="AEX",H1000/400,I1000="RP",H1000/200)</f>
        <v>#N/A</v>
      </c>
      <c r="P1000" s="75" t="e">
        <f t="shared" si="167"/>
        <v>#DIV/0!</v>
      </c>
      <c r="Q1000" s="3" t="e" cm="1">
        <f t="array" ref="Q1000">_xlfn.IFS(P1000&lt;200, "10", P1000&lt;400, "12", P1000&lt;600, "14", P1000&gt;600, "16")</f>
        <v>#DIV/0!</v>
      </c>
      <c r="R1000" s="75">
        <f t="shared" si="168"/>
        <v>0</v>
      </c>
      <c r="S1000" s="75" t="e">
        <f t="shared" si="169"/>
        <v>#DIV/0!</v>
      </c>
      <c r="U1000" s="306" t="e">
        <f t="shared" si="170"/>
        <v>#DIV/0!</v>
      </c>
    </row>
    <row r="1001" spans="4:21" x14ac:dyDescent="0.35">
      <c r="D1001" s="3"/>
      <c r="G1001" s="3" t="s">
        <v>87</v>
      </c>
      <c r="M1001" s="3"/>
      <c r="N1001" s="356" t="e" cm="1">
        <f t="array" ref="N1001">_xlfn.IFS(I1001="AEX",H1001/400,I1001="RP",H1001/200)</f>
        <v>#N/A</v>
      </c>
      <c r="P1001" s="75" t="e">
        <f t="shared" si="167"/>
        <v>#DIV/0!</v>
      </c>
      <c r="Q1001" s="3" t="e" cm="1">
        <f t="array" ref="Q1001">_xlfn.IFS(P1001&lt;200, "10", P1001&lt;400, "12", P1001&lt;600, "14", P1001&gt;600, "16")</f>
        <v>#DIV/0!</v>
      </c>
      <c r="R1001" s="75">
        <f t="shared" si="168"/>
        <v>0</v>
      </c>
      <c r="S1001" s="75" t="e">
        <f t="shared" si="169"/>
        <v>#DIV/0!</v>
      </c>
      <c r="U1001" s="306" t="e">
        <f t="shared" si="170"/>
        <v>#DIV/0!</v>
      </c>
    </row>
    <row r="1002" spans="4:21" x14ac:dyDescent="0.35">
      <c r="D1002" s="3"/>
      <c r="G1002" s="3" t="s">
        <v>87</v>
      </c>
      <c r="M1002" s="3"/>
      <c r="N1002" s="356" t="e" cm="1">
        <f t="array" ref="N1002">_xlfn.IFS(I1002="AEX",H1002/400,I1002="RP",H1002/200)</f>
        <v>#N/A</v>
      </c>
      <c r="P1002" s="75" t="e">
        <f t="shared" ref="P1002:P1065" si="171">H1002/O1002</f>
        <v>#DIV/0!</v>
      </c>
      <c r="Q1002" s="3" t="e" cm="1">
        <f t="array" ref="Q1002">_xlfn.IFS(P1002&lt;200, "10", P1002&lt;400, "12", P1002&lt;600, "14", P1002&gt;600, "16")</f>
        <v>#DIV/0!</v>
      </c>
      <c r="R1002" s="75">
        <f t="shared" ref="R1002:R1065" si="172">IF(I1002="AEX",H1002*0.3/400,H1002*0.3/200)</f>
        <v>0</v>
      </c>
      <c r="S1002" s="75" t="e">
        <f t="shared" si="169"/>
        <v>#DIV/0!</v>
      </c>
      <c r="U1002" s="306" t="e">
        <f t="shared" si="170"/>
        <v>#DIV/0!</v>
      </c>
    </row>
    <row r="1003" spans="4:21" x14ac:dyDescent="0.35">
      <c r="D1003" s="3"/>
      <c r="G1003" s="3" t="s">
        <v>87</v>
      </c>
      <c r="M1003" s="3"/>
      <c r="N1003" s="356" t="e" cm="1">
        <f t="array" ref="N1003">_xlfn.IFS(I1003="AEX",H1003/400,I1003="RP",H1003/200)</f>
        <v>#N/A</v>
      </c>
      <c r="P1003" s="75" t="e">
        <f t="shared" si="171"/>
        <v>#DIV/0!</v>
      </c>
      <c r="Q1003" s="3" t="e" cm="1">
        <f t="array" ref="Q1003">_xlfn.IFS(P1003&lt;200, "10", P1003&lt;400, "12", P1003&lt;600, "14", P1003&gt;600, "16")</f>
        <v>#DIV/0!</v>
      </c>
      <c r="R1003" s="75">
        <f t="shared" si="172"/>
        <v>0</v>
      </c>
      <c r="S1003" s="75" t="e">
        <f t="shared" si="169"/>
        <v>#DIV/0!</v>
      </c>
      <c r="U1003" s="306" t="e">
        <f t="shared" si="170"/>
        <v>#DIV/0!</v>
      </c>
    </row>
    <row r="1004" spans="4:21" x14ac:dyDescent="0.35">
      <c r="D1004" s="3"/>
      <c r="G1004" s="3" t="s">
        <v>87</v>
      </c>
      <c r="M1004" s="3"/>
      <c r="N1004" s="356" t="e" cm="1">
        <f t="array" ref="N1004">_xlfn.IFS(I1004="AEX",H1004/400,I1004="RP",H1004/200)</f>
        <v>#N/A</v>
      </c>
      <c r="P1004" s="75" t="e">
        <f t="shared" si="171"/>
        <v>#DIV/0!</v>
      </c>
      <c r="Q1004" s="3" t="e" cm="1">
        <f t="array" ref="Q1004">_xlfn.IFS(P1004&lt;200, "10", P1004&lt;400, "12", P1004&lt;600, "14", P1004&gt;600, "16")</f>
        <v>#DIV/0!</v>
      </c>
      <c r="R1004" s="75">
        <f t="shared" si="172"/>
        <v>0</v>
      </c>
      <c r="S1004" s="75" t="e">
        <f t="shared" si="169"/>
        <v>#DIV/0!</v>
      </c>
      <c r="U1004" s="306" t="e">
        <f t="shared" si="170"/>
        <v>#DIV/0!</v>
      </c>
    </row>
    <row r="1005" spans="4:21" x14ac:dyDescent="0.35">
      <c r="D1005" s="3"/>
      <c r="G1005" s="3" t="s">
        <v>87</v>
      </c>
      <c r="M1005" s="3"/>
      <c r="N1005" s="356" t="e" cm="1">
        <f t="array" ref="N1005">_xlfn.IFS(I1005="AEX",H1005/400,I1005="RP",H1005/200)</f>
        <v>#N/A</v>
      </c>
      <c r="P1005" s="75" t="e">
        <f t="shared" si="171"/>
        <v>#DIV/0!</v>
      </c>
      <c r="Q1005" s="3" t="e" cm="1">
        <f t="array" ref="Q1005">_xlfn.IFS(P1005&lt;200, "10", P1005&lt;400, "12", P1005&lt;600, "14", P1005&gt;600, "16")</f>
        <v>#DIV/0!</v>
      </c>
      <c r="R1005" s="75">
        <f t="shared" si="172"/>
        <v>0</v>
      </c>
      <c r="S1005" s="75" t="e">
        <f t="shared" si="169"/>
        <v>#DIV/0!</v>
      </c>
      <c r="U1005" s="306" t="e">
        <f t="shared" si="170"/>
        <v>#DIV/0!</v>
      </c>
    </row>
    <row r="1006" spans="4:21" x14ac:dyDescent="0.35">
      <c r="D1006" s="3"/>
      <c r="G1006" s="3" t="s">
        <v>87</v>
      </c>
      <c r="M1006" s="3"/>
      <c r="N1006" s="356" t="e" cm="1">
        <f t="array" ref="N1006">_xlfn.IFS(I1006="AEX",H1006/400,I1006="RP",H1006/200)</f>
        <v>#N/A</v>
      </c>
      <c r="P1006" s="75" t="e">
        <f t="shared" si="171"/>
        <v>#DIV/0!</v>
      </c>
      <c r="Q1006" s="3" t="e" cm="1">
        <f t="array" ref="Q1006">_xlfn.IFS(P1006&lt;200, "10", P1006&lt;400, "12", P1006&lt;600, "14", P1006&gt;600, "16")</f>
        <v>#DIV/0!</v>
      </c>
      <c r="R1006" s="75">
        <f t="shared" si="172"/>
        <v>0</v>
      </c>
      <c r="S1006" s="75" t="e">
        <f t="shared" si="169"/>
        <v>#DIV/0!</v>
      </c>
      <c r="U1006" s="306" t="e">
        <f t="shared" si="170"/>
        <v>#DIV/0!</v>
      </c>
    </row>
    <row r="1007" spans="4:21" x14ac:dyDescent="0.35">
      <c r="D1007" s="3"/>
      <c r="G1007" s="3" t="s">
        <v>87</v>
      </c>
      <c r="M1007" s="3"/>
      <c r="N1007" s="356" t="e" cm="1">
        <f t="array" ref="N1007">_xlfn.IFS(I1007="AEX",H1007/400,I1007="RP",H1007/200)</f>
        <v>#N/A</v>
      </c>
      <c r="P1007" s="75" t="e">
        <f t="shared" si="171"/>
        <v>#DIV/0!</v>
      </c>
      <c r="Q1007" s="3" t="e" cm="1">
        <f t="array" ref="Q1007">_xlfn.IFS(P1007&lt;200, "10", P1007&lt;400, "12", P1007&lt;600, "14", P1007&gt;600, "16")</f>
        <v>#DIV/0!</v>
      </c>
      <c r="R1007" s="75">
        <f t="shared" si="172"/>
        <v>0</v>
      </c>
      <c r="S1007" s="75" t="e">
        <f t="shared" si="169"/>
        <v>#DIV/0!</v>
      </c>
      <c r="U1007" s="306" t="e">
        <f t="shared" si="170"/>
        <v>#DIV/0!</v>
      </c>
    </row>
    <row r="1008" spans="4:21" x14ac:dyDescent="0.35">
      <c r="D1008" s="3"/>
      <c r="G1008" s="3" t="s">
        <v>87</v>
      </c>
      <c r="M1008" s="3"/>
      <c r="N1008" s="356" t="e" cm="1">
        <f t="array" ref="N1008">_xlfn.IFS(I1008="AEX",H1008/400,I1008="RP",H1008/200)</f>
        <v>#N/A</v>
      </c>
      <c r="P1008" s="75" t="e">
        <f t="shared" si="171"/>
        <v>#DIV/0!</v>
      </c>
      <c r="Q1008" s="3" t="e" cm="1">
        <f t="array" ref="Q1008">_xlfn.IFS(P1008&lt;200, "10", P1008&lt;400, "12", P1008&lt;600, "14", P1008&gt;600, "16")</f>
        <v>#DIV/0!</v>
      </c>
      <c r="R1008" s="75">
        <f t="shared" si="172"/>
        <v>0</v>
      </c>
      <c r="S1008" s="75" t="e">
        <f t="shared" si="169"/>
        <v>#DIV/0!</v>
      </c>
      <c r="U1008" s="306" t="e">
        <f t="shared" si="170"/>
        <v>#DIV/0!</v>
      </c>
    </row>
    <row r="1009" spans="4:21" x14ac:dyDescent="0.35">
      <c r="D1009" s="3"/>
      <c r="G1009" s="3" t="s">
        <v>87</v>
      </c>
      <c r="M1009" s="3"/>
      <c r="N1009" s="356" t="e" cm="1">
        <f t="array" ref="N1009">_xlfn.IFS(I1009="AEX",H1009/400,I1009="RP",H1009/200)</f>
        <v>#N/A</v>
      </c>
      <c r="P1009" s="75" t="e">
        <f t="shared" si="171"/>
        <v>#DIV/0!</v>
      </c>
      <c r="Q1009" s="3" t="e" cm="1">
        <f t="array" ref="Q1009">_xlfn.IFS(P1009&lt;200, "10", P1009&lt;400, "12", P1009&lt;600, "14", P1009&gt;600, "16")</f>
        <v>#DIV/0!</v>
      </c>
      <c r="R1009" s="75">
        <f t="shared" si="172"/>
        <v>0</v>
      </c>
      <c r="S1009" s="75" t="e">
        <f t="shared" si="169"/>
        <v>#DIV/0!</v>
      </c>
      <c r="U1009" s="306" t="e">
        <f t="shared" si="170"/>
        <v>#DIV/0!</v>
      </c>
    </row>
    <row r="1010" spans="4:21" x14ac:dyDescent="0.35">
      <c r="D1010" s="3"/>
      <c r="G1010" s="3" t="s">
        <v>87</v>
      </c>
      <c r="M1010" s="3"/>
      <c r="N1010" s="356" t="e" cm="1">
        <f t="array" ref="N1010">_xlfn.IFS(I1010="AEX",H1010/400,I1010="RP",H1010/200)</f>
        <v>#N/A</v>
      </c>
      <c r="P1010" s="75" t="e">
        <f t="shared" si="171"/>
        <v>#DIV/0!</v>
      </c>
      <c r="Q1010" s="3" t="e" cm="1">
        <f t="array" ref="Q1010">_xlfn.IFS(P1010&lt;200, "10", P1010&lt;400, "12", P1010&lt;600, "14", P1010&gt;600, "16")</f>
        <v>#DIV/0!</v>
      </c>
      <c r="R1010" s="75">
        <f t="shared" si="172"/>
        <v>0</v>
      </c>
      <c r="S1010" s="75" t="e">
        <f t="shared" si="169"/>
        <v>#DIV/0!</v>
      </c>
      <c r="U1010" s="306" t="e">
        <f t="shared" si="170"/>
        <v>#DIV/0!</v>
      </c>
    </row>
    <row r="1011" spans="4:21" x14ac:dyDescent="0.35">
      <c r="D1011" s="3"/>
      <c r="G1011" s="3" t="s">
        <v>87</v>
      </c>
      <c r="M1011" s="3"/>
      <c r="N1011" s="356" t="e" cm="1">
        <f t="array" ref="N1011">_xlfn.IFS(I1011="AEX",H1011/400,I1011="RP",H1011/200)</f>
        <v>#N/A</v>
      </c>
      <c r="P1011" s="75" t="e">
        <f t="shared" si="171"/>
        <v>#DIV/0!</v>
      </c>
      <c r="Q1011" s="3" t="e" cm="1">
        <f t="array" ref="Q1011">_xlfn.IFS(P1011&lt;200, "10", P1011&lt;400, "12", P1011&lt;600, "14", P1011&gt;600, "16")</f>
        <v>#DIV/0!</v>
      </c>
      <c r="R1011" s="75">
        <f t="shared" si="172"/>
        <v>0</v>
      </c>
      <c r="S1011" s="75" t="e">
        <f t="shared" ref="S1011:S1074" si="173">R1011/O1011</f>
        <v>#DIV/0!</v>
      </c>
      <c r="U1011" s="306" t="e">
        <f t="shared" si="170"/>
        <v>#DIV/0!</v>
      </c>
    </row>
    <row r="1012" spans="4:21" x14ac:dyDescent="0.35">
      <c r="D1012" s="3"/>
      <c r="G1012" s="3" t="s">
        <v>87</v>
      </c>
      <c r="M1012" s="3"/>
      <c r="N1012" s="356" t="e" cm="1">
        <f t="array" ref="N1012">_xlfn.IFS(I1012="AEX",H1012/400,I1012="RP",H1012/200)</f>
        <v>#N/A</v>
      </c>
      <c r="P1012" s="75" t="e">
        <f t="shared" si="171"/>
        <v>#DIV/0!</v>
      </c>
      <c r="Q1012" s="3" t="e" cm="1">
        <f t="array" ref="Q1012">_xlfn.IFS(P1012&lt;200, "10", P1012&lt;400, "12", P1012&lt;600, "14", P1012&gt;600, "16")</f>
        <v>#DIV/0!</v>
      </c>
      <c r="R1012" s="75">
        <f t="shared" si="172"/>
        <v>0</v>
      </c>
      <c r="S1012" s="75" t="e">
        <f t="shared" si="173"/>
        <v>#DIV/0!</v>
      </c>
      <c r="U1012" s="306" t="e">
        <f t="shared" si="170"/>
        <v>#DIV/0!</v>
      </c>
    </row>
    <row r="1013" spans="4:21" x14ac:dyDescent="0.35">
      <c r="D1013" s="3"/>
      <c r="G1013" s="3" t="s">
        <v>87</v>
      </c>
      <c r="M1013" s="3"/>
      <c r="N1013" s="356" t="e" cm="1">
        <f t="array" ref="N1013">_xlfn.IFS(I1013="AEX",H1013/400,I1013="RP",H1013/200)</f>
        <v>#N/A</v>
      </c>
      <c r="P1013" s="75" t="e">
        <f t="shared" si="171"/>
        <v>#DIV/0!</v>
      </c>
      <c r="Q1013" s="3" t="e" cm="1">
        <f t="array" ref="Q1013">_xlfn.IFS(P1013&lt;200, "10", P1013&lt;400, "12", P1013&lt;600, "14", P1013&gt;600, "16")</f>
        <v>#DIV/0!</v>
      </c>
      <c r="R1013" s="75">
        <f t="shared" si="172"/>
        <v>0</v>
      </c>
      <c r="S1013" s="75" t="e">
        <f t="shared" si="173"/>
        <v>#DIV/0!</v>
      </c>
      <c r="U1013" s="306" t="e">
        <f t="shared" si="170"/>
        <v>#DIV/0!</v>
      </c>
    </row>
    <row r="1014" spans="4:21" x14ac:dyDescent="0.35">
      <c r="D1014" s="3"/>
      <c r="G1014" s="3" t="s">
        <v>87</v>
      </c>
      <c r="M1014" s="3"/>
      <c r="N1014" s="356" t="e" cm="1">
        <f t="array" ref="N1014">_xlfn.IFS(I1014="AEX",H1014/400,I1014="RP",H1014/200)</f>
        <v>#N/A</v>
      </c>
      <c r="P1014" s="75" t="e">
        <f t="shared" si="171"/>
        <v>#DIV/0!</v>
      </c>
      <c r="Q1014" s="3" t="e" cm="1">
        <f t="array" ref="Q1014">_xlfn.IFS(P1014&lt;200, "10", P1014&lt;400, "12", P1014&lt;600, "14", P1014&gt;600, "16")</f>
        <v>#DIV/0!</v>
      </c>
      <c r="R1014" s="75">
        <f t="shared" si="172"/>
        <v>0</v>
      </c>
      <c r="S1014" s="75" t="e">
        <f t="shared" si="173"/>
        <v>#DIV/0!</v>
      </c>
      <c r="U1014" s="306" t="e">
        <f t="shared" si="170"/>
        <v>#DIV/0!</v>
      </c>
    </row>
    <row r="1015" spans="4:21" x14ac:dyDescent="0.35">
      <c r="D1015" s="3"/>
      <c r="G1015" s="3" t="s">
        <v>87</v>
      </c>
      <c r="M1015" s="3"/>
      <c r="N1015" s="356" t="e" cm="1">
        <f t="array" ref="N1015">_xlfn.IFS(I1015="AEX",H1015/400,I1015="RP",H1015/200)</f>
        <v>#N/A</v>
      </c>
      <c r="P1015" s="75" t="e">
        <f t="shared" si="171"/>
        <v>#DIV/0!</v>
      </c>
      <c r="Q1015" s="3" t="e" cm="1">
        <f t="array" ref="Q1015">_xlfn.IFS(P1015&lt;200, "10", P1015&lt;400, "12", P1015&lt;600, "14", P1015&gt;600, "16")</f>
        <v>#DIV/0!</v>
      </c>
      <c r="R1015" s="75">
        <f t="shared" si="172"/>
        <v>0</v>
      </c>
      <c r="S1015" s="75" t="e">
        <f t="shared" si="173"/>
        <v>#DIV/0!</v>
      </c>
      <c r="U1015" s="306" t="e">
        <f t="shared" si="170"/>
        <v>#DIV/0!</v>
      </c>
    </row>
    <row r="1016" spans="4:21" x14ac:dyDescent="0.35">
      <c r="D1016" s="3"/>
      <c r="G1016" s="3" t="s">
        <v>87</v>
      </c>
      <c r="M1016" s="3"/>
      <c r="N1016" s="356" t="e" cm="1">
        <f t="array" ref="N1016">_xlfn.IFS(I1016="AEX",H1016/400,I1016="RP",H1016/200)</f>
        <v>#N/A</v>
      </c>
      <c r="P1016" s="75" t="e">
        <f t="shared" si="171"/>
        <v>#DIV/0!</v>
      </c>
      <c r="Q1016" s="3" t="e" cm="1">
        <f t="array" ref="Q1016">_xlfn.IFS(P1016&lt;200, "10", P1016&lt;400, "12", P1016&lt;600, "14", P1016&gt;600, "16")</f>
        <v>#DIV/0!</v>
      </c>
      <c r="R1016" s="75">
        <f t="shared" si="172"/>
        <v>0</v>
      </c>
      <c r="S1016" s="75" t="e">
        <f t="shared" si="173"/>
        <v>#DIV/0!</v>
      </c>
      <c r="U1016" s="306" t="e">
        <f t="shared" si="170"/>
        <v>#DIV/0!</v>
      </c>
    </row>
    <row r="1017" spans="4:21" x14ac:dyDescent="0.35">
      <c r="D1017" s="3"/>
      <c r="G1017" s="3" t="s">
        <v>87</v>
      </c>
      <c r="M1017" s="3"/>
      <c r="N1017" s="356" t="e" cm="1">
        <f t="array" ref="N1017">_xlfn.IFS(I1017="AEX",H1017/400,I1017="RP",H1017/200)</f>
        <v>#N/A</v>
      </c>
      <c r="P1017" s="75" t="e">
        <f t="shared" si="171"/>
        <v>#DIV/0!</v>
      </c>
      <c r="Q1017" s="3" t="e" cm="1">
        <f t="array" ref="Q1017">_xlfn.IFS(P1017&lt;200, "10", P1017&lt;400, "12", P1017&lt;600, "14", P1017&gt;600, "16")</f>
        <v>#DIV/0!</v>
      </c>
      <c r="R1017" s="75">
        <f t="shared" si="172"/>
        <v>0</v>
      </c>
      <c r="S1017" s="75" t="e">
        <f t="shared" si="173"/>
        <v>#DIV/0!</v>
      </c>
      <c r="U1017" s="306" t="e">
        <f t="shared" si="170"/>
        <v>#DIV/0!</v>
      </c>
    </row>
    <row r="1018" spans="4:21" x14ac:dyDescent="0.35">
      <c r="D1018" s="3"/>
      <c r="G1018" s="3" t="s">
        <v>87</v>
      </c>
      <c r="M1018" s="3"/>
      <c r="N1018" s="356" t="e" cm="1">
        <f t="array" ref="N1018">_xlfn.IFS(I1018="AEX",H1018/400,I1018="RP",H1018/200)</f>
        <v>#N/A</v>
      </c>
      <c r="P1018" s="75" t="e">
        <f t="shared" si="171"/>
        <v>#DIV/0!</v>
      </c>
      <c r="Q1018" s="3" t="e" cm="1">
        <f t="array" ref="Q1018">_xlfn.IFS(P1018&lt;200, "10", P1018&lt;400, "12", P1018&lt;600, "14", P1018&gt;600, "16")</f>
        <v>#DIV/0!</v>
      </c>
      <c r="R1018" s="75">
        <f t="shared" si="172"/>
        <v>0</v>
      </c>
      <c r="S1018" s="75" t="e">
        <f t="shared" si="173"/>
        <v>#DIV/0!</v>
      </c>
      <c r="U1018" s="306" t="e">
        <f t="shared" si="170"/>
        <v>#DIV/0!</v>
      </c>
    </row>
    <row r="1019" spans="4:21" x14ac:dyDescent="0.35">
      <c r="D1019" s="3"/>
      <c r="G1019" s="3" t="s">
        <v>87</v>
      </c>
      <c r="M1019" s="3"/>
      <c r="N1019" s="356" t="e" cm="1">
        <f t="array" ref="N1019">_xlfn.IFS(I1019="AEX",H1019/400,I1019="RP",H1019/200)</f>
        <v>#N/A</v>
      </c>
      <c r="P1019" s="75" t="e">
        <f t="shared" si="171"/>
        <v>#DIV/0!</v>
      </c>
      <c r="Q1019" s="3" t="e" cm="1">
        <f t="array" ref="Q1019">_xlfn.IFS(P1019&lt;200, "10", P1019&lt;400, "12", P1019&lt;600, "14", P1019&gt;600, "16")</f>
        <v>#DIV/0!</v>
      </c>
      <c r="R1019" s="75">
        <f t="shared" si="172"/>
        <v>0</v>
      </c>
      <c r="S1019" s="75" t="e">
        <f t="shared" si="173"/>
        <v>#DIV/0!</v>
      </c>
      <c r="U1019" s="306" t="e">
        <f t="shared" si="170"/>
        <v>#DIV/0!</v>
      </c>
    </row>
    <row r="1020" spans="4:21" x14ac:dyDescent="0.35">
      <c r="D1020" s="3"/>
      <c r="G1020" s="3" t="s">
        <v>87</v>
      </c>
      <c r="M1020" s="3"/>
      <c r="N1020" s="356" t="e" cm="1">
        <f t="array" ref="N1020">_xlfn.IFS(I1020="AEX",H1020/400,I1020="RP",H1020/200)</f>
        <v>#N/A</v>
      </c>
      <c r="P1020" s="75" t="e">
        <f t="shared" si="171"/>
        <v>#DIV/0!</v>
      </c>
      <c r="Q1020" s="3" t="e" cm="1">
        <f t="array" ref="Q1020">_xlfn.IFS(P1020&lt;200, "10", P1020&lt;400, "12", P1020&lt;600, "14", P1020&gt;600, "16")</f>
        <v>#DIV/0!</v>
      </c>
      <c r="R1020" s="75">
        <f t="shared" si="172"/>
        <v>0</v>
      </c>
      <c r="S1020" s="75" t="e">
        <f t="shared" si="173"/>
        <v>#DIV/0!</v>
      </c>
      <c r="U1020" s="306" t="e">
        <f t="shared" si="170"/>
        <v>#DIV/0!</v>
      </c>
    </row>
    <row r="1021" spans="4:21" x14ac:dyDescent="0.35">
      <c r="D1021" s="3"/>
      <c r="G1021" s="3" t="s">
        <v>87</v>
      </c>
      <c r="M1021" s="3"/>
      <c r="N1021" s="356" t="e" cm="1">
        <f t="array" ref="N1021">_xlfn.IFS(I1021="AEX",H1021/400,I1021="RP",H1021/200)</f>
        <v>#N/A</v>
      </c>
      <c r="P1021" s="75" t="e">
        <f t="shared" si="171"/>
        <v>#DIV/0!</v>
      </c>
      <c r="Q1021" s="3" t="e" cm="1">
        <f t="array" ref="Q1021">_xlfn.IFS(P1021&lt;200, "10", P1021&lt;400, "12", P1021&lt;600, "14", P1021&gt;600, "16")</f>
        <v>#DIV/0!</v>
      </c>
      <c r="R1021" s="75">
        <f t="shared" si="172"/>
        <v>0</v>
      </c>
      <c r="S1021" s="75" t="e">
        <f t="shared" si="173"/>
        <v>#DIV/0!</v>
      </c>
      <c r="U1021" s="306" t="e">
        <f t="shared" si="170"/>
        <v>#DIV/0!</v>
      </c>
    </row>
    <row r="1022" spans="4:21" x14ac:dyDescent="0.35">
      <c r="D1022" s="3"/>
      <c r="G1022" s="3" t="s">
        <v>87</v>
      </c>
      <c r="M1022" s="3"/>
      <c r="N1022" s="356" t="e" cm="1">
        <f t="array" ref="N1022">_xlfn.IFS(I1022="AEX",H1022/400,I1022="RP",H1022/200)</f>
        <v>#N/A</v>
      </c>
      <c r="P1022" s="75" t="e">
        <f t="shared" si="171"/>
        <v>#DIV/0!</v>
      </c>
      <c r="Q1022" s="3" t="e" cm="1">
        <f t="array" ref="Q1022">_xlfn.IFS(P1022&lt;200, "10", P1022&lt;400, "12", P1022&lt;600, "14", P1022&gt;600, "16")</f>
        <v>#DIV/0!</v>
      </c>
      <c r="R1022" s="75">
        <f t="shared" si="172"/>
        <v>0</v>
      </c>
      <c r="S1022" s="75" t="e">
        <f t="shared" si="173"/>
        <v>#DIV/0!</v>
      </c>
      <c r="U1022" s="306" t="e">
        <f t="shared" si="170"/>
        <v>#DIV/0!</v>
      </c>
    </row>
    <row r="1023" spans="4:21" x14ac:dyDescent="0.35">
      <c r="D1023" s="3"/>
      <c r="G1023" s="3" t="s">
        <v>87</v>
      </c>
      <c r="M1023" s="3"/>
      <c r="N1023" s="356" t="e" cm="1">
        <f t="array" ref="N1023">_xlfn.IFS(I1023="AEX",H1023/400,I1023="RP",H1023/200)</f>
        <v>#N/A</v>
      </c>
      <c r="P1023" s="75" t="e">
        <f t="shared" si="171"/>
        <v>#DIV/0!</v>
      </c>
      <c r="Q1023" s="3" t="e" cm="1">
        <f t="array" ref="Q1023">_xlfn.IFS(P1023&lt;200, "10", P1023&lt;400, "12", P1023&lt;600, "14", P1023&gt;600, "16")</f>
        <v>#DIV/0!</v>
      </c>
      <c r="R1023" s="75">
        <f t="shared" si="172"/>
        <v>0</v>
      </c>
      <c r="S1023" s="75" t="e">
        <f t="shared" si="173"/>
        <v>#DIV/0!</v>
      </c>
      <c r="U1023" s="306" t="e">
        <f t="shared" si="170"/>
        <v>#DIV/0!</v>
      </c>
    </row>
    <row r="1024" spans="4:21" x14ac:dyDescent="0.35">
      <c r="D1024" s="3"/>
      <c r="G1024" s="3" t="s">
        <v>87</v>
      </c>
      <c r="M1024" s="3"/>
      <c r="N1024" s="356" t="e" cm="1">
        <f t="array" ref="N1024">_xlfn.IFS(I1024="AEX",H1024/400,I1024="RP",H1024/200)</f>
        <v>#N/A</v>
      </c>
      <c r="P1024" s="75" t="e">
        <f t="shared" si="171"/>
        <v>#DIV/0!</v>
      </c>
      <c r="Q1024" s="3" t="e" cm="1">
        <f t="array" ref="Q1024">_xlfn.IFS(P1024&lt;200, "10", P1024&lt;400, "12", P1024&lt;600, "14", P1024&gt;600, "16")</f>
        <v>#DIV/0!</v>
      </c>
      <c r="R1024" s="75">
        <f t="shared" si="172"/>
        <v>0</v>
      </c>
      <c r="S1024" s="75" t="e">
        <f t="shared" si="173"/>
        <v>#DIV/0!</v>
      </c>
      <c r="U1024" s="306" t="e">
        <f t="shared" si="170"/>
        <v>#DIV/0!</v>
      </c>
    </row>
    <row r="1025" spans="4:21" x14ac:dyDescent="0.35">
      <c r="D1025" s="3"/>
      <c r="G1025" s="3" t="s">
        <v>87</v>
      </c>
      <c r="M1025" s="3"/>
      <c r="N1025" s="356" t="e" cm="1">
        <f t="array" ref="N1025">_xlfn.IFS(I1025="AEX",H1025/400,I1025="RP",H1025/200)</f>
        <v>#N/A</v>
      </c>
      <c r="P1025" s="75" t="e">
        <f t="shared" si="171"/>
        <v>#DIV/0!</v>
      </c>
      <c r="Q1025" s="3" t="e" cm="1">
        <f t="array" ref="Q1025">_xlfn.IFS(P1025&lt;200, "10", P1025&lt;400, "12", P1025&lt;600, "14", P1025&gt;600, "16")</f>
        <v>#DIV/0!</v>
      </c>
      <c r="R1025" s="75">
        <f t="shared" si="172"/>
        <v>0</v>
      </c>
      <c r="S1025" s="75" t="e">
        <f t="shared" si="173"/>
        <v>#DIV/0!</v>
      </c>
      <c r="U1025" s="306" t="e">
        <f t="shared" si="170"/>
        <v>#DIV/0!</v>
      </c>
    </row>
    <row r="1026" spans="4:21" x14ac:dyDescent="0.35">
      <c r="D1026" s="3"/>
      <c r="G1026" s="3" t="s">
        <v>87</v>
      </c>
      <c r="M1026" s="3"/>
      <c r="N1026" s="356" t="e" cm="1">
        <f t="array" ref="N1026">_xlfn.IFS(I1026="AEX",H1026/400,I1026="RP",H1026/200)</f>
        <v>#N/A</v>
      </c>
      <c r="P1026" s="75" t="e">
        <f t="shared" si="171"/>
        <v>#DIV/0!</v>
      </c>
      <c r="Q1026" s="3" t="e" cm="1">
        <f t="array" ref="Q1026">_xlfn.IFS(P1026&lt;200, "10", P1026&lt;400, "12", P1026&lt;600, "14", P1026&gt;600, "16")</f>
        <v>#DIV/0!</v>
      </c>
      <c r="R1026" s="75">
        <f t="shared" si="172"/>
        <v>0</v>
      </c>
      <c r="S1026" s="75" t="e">
        <f t="shared" si="173"/>
        <v>#DIV/0!</v>
      </c>
      <c r="U1026" s="306" t="e">
        <f t="shared" ref="U1026:U1089" si="174">T1026/H1026*100</f>
        <v>#DIV/0!</v>
      </c>
    </row>
    <row r="1027" spans="4:21" x14ac:dyDescent="0.35">
      <c r="D1027" s="3"/>
      <c r="G1027" s="3" t="s">
        <v>87</v>
      </c>
      <c r="M1027" s="3"/>
      <c r="N1027" s="356" t="e" cm="1">
        <f t="array" ref="N1027">_xlfn.IFS(I1027="AEX",H1027/400,I1027="RP",H1027/200)</f>
        <v>#N/A</v>
      </c>
      <c r="P1027" s="75" t="e">
        <f t="shared" si="171"/>
        <v>#DIV/0!</v>
      </c>
      <c r="Q1027" s="3" t="e" cm="1">
        <f t="array" ref="Q1027">_xlfn.IFS(P1027&lt;200, "10", P1027&lt;400, "12", P1027&lt;600, "14", P1027&gt;600, "16")</f>
        <v>#DIV/0!</v>
      </c>
      <c r="R1027" s="75">
        <f t="shared" si="172"/>
        <v>0</v>
      </c>
      <c r="S1027" s="75" t="e">
        <f t="shared" si="173"/>
        <v>#DIV/0!</v>
      </c>
      <c r="U1027" s="306" t="e">
        <f t="shared" si="174"/>
        <v>#DIV/0!</v>
      </c>
    </row>
    <row r="1028" spans="4:21" x14ac:dyDescent="0.35">
      <c r="D1028" s="3"/>
      <c r="G1028" s="3" t="s">
        <v>87</v>
      </c>
      <c r="M1028" s="3"/>
      <c r="N1028" s="356" t="e" cm="1">
        <f t="array" ref="N1028">_xlfn.IFS(I1028="AEX",H1028/400,I1028="RP",H1028/200)</f>
        <v>#N/A</v>
      </c>
      <c r="P1028" s="75" t="e">
        <f t="shared" si="171"/>
        <v>#DIV/0!</v>
      </c>
      <c r="Q1028" s="3" t="e" cm="1">
        <f t="array" ref="Q1028">_xlfn.IFS(P1028&lt;200, "10", P1028&lt;400, "12", P1028&lt;600, "14", P1028&gt;600, "16")</f>
        <v>#DIV/0!</v>
      </c>
      <c r="R1028" s="75">
        <f t="shared" si="172"/>
        <v>0</v>
      </c>
      <c r="S1028" s="75" t="e">
        <f t="shared" si="173"/>
        <v>#DIV/0!</v>
      </c>
      <c r="U1028" s="306" t="e">
        <f t="shared" si="174"/>
        <v>#DIV/0!</v>
      </c>
    </row>
    <row r="1029" spans="4:21" x14ac:dyDescent="0.35">
      <c r="D1029" s="3"/>
      <c r="G1029" s="3" t="s">
        <v>87</v>
      </c>
      <c r="M1029" s="3"/>
      <c r="N1029" s="356" t="e" cm="1">
        <f t="array" ref="N1029">_xlfn.IFS(I1029="AEX",H1029/400,I1029="RP",H1029/200)</f>
        <v>#N/A</v>
      </c>
      <c r="P1029" s="75" t="e">
        <f t="shared" si="171"/>
        <v>#DIV/0!</v>
      </c>
      <c r="Q1029" s="3" t="e" cm="1">
        <f t="array" ref="Q1029">_xlfn.IFS(P1029&lt;200, "10", P1029&lt;400, "12", P1029&lt;600, "14", P1029&gt;600, "16")</f>
        <v>#DIV/0!</v>
      </c>
      <c r="R1029" s="75">
        <f t="shared" si="172"/>
        <v>0</v>
      </c>
      <c r="S1029" s="75" t="e">
        <f t="shared" si="173"/>
        <v>#DIV/0!</v>
      </c>
      <c r="U1029" s="306" t="e">
        <f t="shared" si="174"/>
        <v>#DIV/0!</v>
      </c>
    </row>
    <row r="1030" spans="4:21" x14ac:dyDescent="0.35">
      <c r="D1030" s="3"/>
      <c r="G1030" s="3" t="s">
        <v>87</v>
      </c>
      <c r="M1030" s="3"/>
      <c r="N1030" s="356" t="e" cm="1">
        <f t="array" ref="N1030">_xlfn.IFS(I1030="AEX",H1030/400,I1030="RP",H1030/200)</f>
        <v>#N/A</v>
      </c>
      <c r="P1030" s="75" t="e">
        <f t="shared" si="171"/>
        <v>#DIV/0!</v>
      </c>
      <c r="Q1030" s="3" t="e" cm="1">
        <f t="array" ref="Q1030">_xlfn.IFS(P1030&lt;200, "10", P1030&lt;400, "12", P1030&lt;600, "14", P1030&gt;600, "16")</f>
        <v>#DIV/0!</v>
      </c>
      <c r="R1030" s="75">
        <f t="shared" si="172"/>
        <v>0</v>
      </c>
      <c r="S1030" s="75" t="e">
        <f t="shared" si="173"/>
        <v>#DIV/0!</v>
      </c>
      <c r="U1030" s="306" t="e">
        <f t="shared" si="174"/>
        <v>#DIV/0!</v>
      </c>
    </row>
    <row r="1031" spans="4:21" x14ac:dyDescent="0.35">
      <c r="D1031" s="3"/>
      <c r="G1031" s="3" t="s">
        <v>87</v>
      </c>
      <c r="M1031" s="3"/>
      <c r="N1031" s="356" t="e" cm="1">
        <f t="array" ref="N1031">_xlfn.IFS(I1031="AEX",H1031/400,I1031="RP",H1031/200)</f>
        <v>#N/A</v>
      </c>
      <c r="P1031" s="75" t="e">
        <f t="shared" si="171"/>
        <v>#DIV/0!</v>
      </c>
      <c r="Q1031" s="3" t="e" cm="1">
        <f t="array" ref="Q1031">_xlfn.IFS(P1031&lt;200, "10", P1031&lt;400, "12", P1031&lt;600, "14", P1031&gt;600, "16")</f>
        <v>#DIV/0!</v>
      </c>
      <c r="R1031" s="75">
        <f t="shared" si="172"/>
        <v>0</v>
      </c>
      <c r="S1031" s="75" t="e">
        <f t="shared" si="173"/>
        <v>#DIV/0!</v>
      </c>
      <c r="U1031" s="306" t="e">
        <f t="shared" si="174"/>
        <v>#DIV/0!</v>
      </c>
    </row>
    <row r="1032" spans="4:21" x14ac:dyDescent="0.35">
      <c r="D1032" s="3"/>
      <c r="G1032" s="3" t="s">
        <v>87</v>
      </c>
      <c r="M1032" s="3"/>
      <c r="N1032" s="356" t="e" cm="1">
        <f t="array" ref="N1032">_xlfn.IFS(I1032="AEX",H1032/400,I1032="RP",H1032/200)</f>
        <v>#N/A</v>
      </c>
      <c r="P1032" s="75" t="e">
        <f t="shared" si="171"/>
        <v>#DIV/0!</v>
      </c>
      <c r="Q1032" s="3" t="e" cm="1">
        <f t="array" ref="Q1032">_xlfn.IFS(P1032&lt;200, "10", P1032&lt;400, "12", P1032&lt;600, "14", P1032&gt;600, "16")</f>
        <v>#DIV/0!</v>
      </c>
      <c r="R1032" s="75">
        <f t="shared" si="172"/>
        <v>0</v>
      </c>
      <c r="S1032" s="75" t="e">
        <f t="shared" si="173"/>
        <v>#DIV/0!</v>
      </c>
      <c r="U1032" s="306" t="e">
        <f t="shared" si="174"/>
        <v>#DIV/0!</v>
      </c>
    </row>
    <row r="1033" spans="4:21" x14ac:dyDescent="0.35">
      <c r="D1033" s="3"/>
      <c r="G1033" s="3" t="s">
        <v>87</v>
      </c>
      <c r="M1033" s="3"/>
      <c r="N1033" s="356" t="e" cm="1">
        <f t="array" ref="N1033">_xlfn.IFS(I1033="AEX",H1033/400,I1033="RP",H1033/200)</f>
        <v>#N/A</v>
      </c>
      <c r="P1033" s="75" t="e">
        <f t="shared" si="171"/>
        <v>#DIV/0!</v>
      </c>
      <c r="Q1033" s="3" t="e" cm="1">
        <f t="array" ref="Q1033">_xlfn.IFS(P1033&lt;200, "10", P1033&lt;400, "12", P1033&lt;600, "14", P1033&gt;600, "16")</f>
        <v>#DIV/0!</v>
      </c>
      <c r="R1033" s="75">
        <f t="shared" si="172"/>
        <v>0</v>
      </c>
      <c r="S1033" s="75" t="e">
        <f t="shared" si="173"/>
        <v>#DIV/0!</v>
      </c>
      <c r="U1033" s="306" t="e">
        <f t="shared" si="174"/>
        <v>#DIV/0!</v>
      </c>
    </row>
    <row r="1034" spans="4:21" x14ac:dyDescent="0.35">
      <c r="D1034" s="3"/>
      <c r="G1034" s="3" t="s">
        <v>87</v>
      </c>
      <c r="M1034" s="3"/>
      <c r="N1034" s="356" t="e" cm="1">
        <f t="array" ref="N1034">_xlfn.IFS(I1034="AEX",H1034/400,I1034="RP",H1034/200)</f>
        <v>#N/A</v>
      </c>
      <c r="P1034" s="75" t="e">
        <f t="shared" si="171"/>
        <v>#DIV/0!</v>
      </c>
      <c r="Q1034" s="3" t="e" cm="1">
        <f t="array" ref="Q1034">_xlfn.IFS(P1034&lt;200, "10", P1034&lt;400, "12", P1034&lt;600, "14", P1034&gt;600, "16")</f>
        <v>#DIV/0!</v>
      </c>
      <c r="R1034" s="75">
        <f t="shared" si="172"/>
        <v>0</v>
      </c>
      <c r="S1034" s="75" t="e">
        <f t="shared" si="173"/>
        <v>#DIV/0!</v>
      </c>
      <c r="U1034" s="306" t="e">
        <f t="shared" si="174"/>
        <v>#DIV/0!</v>
      </c>
    </row>
    <row r="1035" spans="4:21" x14ac:dyDescent="0.35">
      <c r="D1035" s="3"/>
      <c r="G1035" s="3" t="s">
        <v>87</v>
      </c>
      <c r="M1035" s="3"/>
      <c r="N1035" s="356" t="e" cm="1">
        <f t="array" ref="N1035">_xlfn.IFS(I1035="AEX",H1035/400,I1035="RP",H1035/200)</f>
        <v>#N/A</v>
      </c>
      <c r="P1035" s="75" t="e">
        <f t="shared" si="171"/>
        <v>#DIV/0!</v>
      </c>
      <c r="Q1035" s="3" t="e" cm="1">
        <f t="array" ref="Q1035">_xlfn.IFS(P1035&lt;200, "10", P1035&lt;400, "12", P1035&lt;600, "14", P1035&gt;600, "16")</f>
        <v>#DIV/0!</v>
      </c>
      <c r="R1035" s="75">
        <f t="shared" si="172"/>
        <v>0</v>
      </c>
      <c r="S1035" s="75" t="e">
        <f t="shared" si="173"/>
        <v>#DIV/0!</v>
      </c>
      <c r="U1035" s="306" t="e">
        <f t="shared" si="174"/>
        <v>#DIV/0!</v>
      </c>
    </row>
    <row r="1036" spans="4:21" x14ac:dyDescent="0.35">
      <c r="D1036" s="3"/>
      <c r="G1036" s="3" t="s">
        <v>87</v>
      </c>
      <c r="M1036" s="3"/>
      <c r="N1036" s="356" t="e" cm="1">
        <f t="array" ref="N1036">_xlfn.IFS(I1036="AEX",H1036/400,I1036="RP",H1036/200)</f>
        <v>#N/A</v>
      </c>
      <c r="P1036" s="75" t="e">
        <f t="shared" si="171"/>
        <v>#DIV/0!</v>
      </c>
      <c r="Q1036" s="3" t="e" cm="1">
        <f t="array" ref="Q1036">_xlfn.IFS(P1036&lt;200, "10", P1036&lt;400, "12", P1036&lt;600, "14", P1036&gt;600, "16")</f>
        <v>#DIV/0!</v>
      </c>
      <c r="R1036" s="75">
        <f t="shared" si="172"/>
        <v>0</v>
      </c>
      <c r="S1036" s="75" t="e">
        <f t="shared" si="173"/>
        <v>#DIV/0!</v>
      </c>
      <c r="U1036" s="306" t="e">
        <f t="shared" si="174"/>
        <v>#DIV/0!</v>
      </c>
    </row>
    <row r="1037" spans="4:21" x14ac:dyDescent="0.35">
      <c r="D1037" s="3"/>
      <c r="G1037" s="3" t="s">
        <v>87</v>
      </c>
      <c r="M1037" s="3"/>
      <c r="N1037" s="356" t="e" cm="1">
        <f t="array" ref="N1037">_xlfn.IFS(I1037="AEX",H1037/400,I1037="RP",H1037/200)</f>
        <v>#N/A</v>
      </c>
      <c r="P1037" s="75" t="e">
        <f t="shared" si="171"/>
        <v>#DIV/0!</v>
      </c>
      <c r="Q1037" s="3" t="e" cm="1">
        <f t="array" ref="Q1037">_xlfn.IFS(P1037&lt;200, "10", P1037&lt;400, "12", P1037&lt;600, "14", P1037&gt;600, "16")</f>
        <v>#DIV/0!</v>
      </c>
      <c r="R1037" s="75">
        <f t="shared" si="172"/>
        <v>0</v>
      </c>
      <c r="S1037" s="75" t="e">
        <f t="shared" si="173"/>
        <v>#DIV/0!</v>
      </c>
      <c r="U1037" s="306" t="e">
        <f t="shared" si="174"/>
        <v>#DIV/0!</v>
      </c>
    </row>
    <row r="1038" spans="4:21" x14ac:dyDescent="0.35">
      <c r="D1038" s="3"/>
      <c r="G1038" s="3" t="s">
        <v>87</v>
      </c>
      <c r="M1038" s="3"/>
      <c r="N1038" s="356" t="e" cm="1">
        <f t="array" ref="N1038">_xlfn.IFS(I1038="AEX",H1038/400,I1038="RP",H1038/200)</f>
        <v>#N/A</v>
      </c>
      <c r="P1038" s="75" t="e">
        <f t="shared" si="171"/>
        <v>#DIV/0!</v>
      </c>
      <c r="Q1038" s="3" t="e" cm="1">
        <f t="array" ref="Q1038">_xlfn.IFS(P1038&lt;200, "10", P1038&lt;400, "12", P1038&lt;600, "14", P1038&gt;600, "16")</f>
        <v>#DIV/0!</v>
      </c>
      <c r="R1038" s="75">
        <f t="shared" si="172"/>
        <v>0</v>
      </c>
      <c r="S1038" s="75" t="e">
        <f t="shared" si="173"/>
        <v>#DIV/0!</v>
      </c>
      <c r="U1038" s="306" t="e">
        <f t="shared" si="174"/>
        <v>#DIV/0!</v>
      </c>
    </row>
    <row r="1039" spans="4:21" x14ac:dyDescent="0.35">
      <c r="D1039" s="3"/>
      <c r="G1039" s="3" t="s">
        <v>87</v>
      </c>
      <c r="M1039" s="3"/>
      <c r="N1039" s="356" t="e" cm="1">
        <f t="array" ref="N1039">_xlfn.IFS(I1039="AEX",H1039/400,I1039="RP",H1039/200)</f>
        <v>#N/A</v>
      </c>
      <c r="P1039" s="75" t="e">
        <f t="shared" si="171"/>
        <v>#DIV/0!</v>
      </c>
      <c r="Q1039" s="3" t="e" cm="1">
        <f t="array" ref="Q1039">_xlfn.IFS(P1039&lt;200, "10", P1039&lt;400, "12", P1039&lt;600, "14", P1039&gt;600, "16")</f>
        <v>#DIV/0!</v>
      </c>
      <c r="R1039" s="75">
        <f t="shared" si="172"/>
        <v>0</v>
      </c>
      <c r="S1039" s="75" t="e">
        <f t="shared" si="173"/>
        <v>#DIV/0!</v>
      </c>
      <c r="U1039" s="306" t="e">
        <f t="shared" si="174"/>
        <v>#DIV/0!</v>
      </c>
    </row>
    <row r="1040" spans="4:21" x14ac:dyDescent="0.35">
      <c r="D1040" s="3"/>
      <c r="G1040" s="3" t="s">
        <v>87</v>
      </c>
      <c r="M1040" s="3"/>
      <c r="N1040" s="356" t="e" cm="1">
        <f t="array" ref="N1040">_xlfn.IFS(I1040="AEX",H1040/400,I1040="RP",H1040/200)</f>
        <v>#N/A</v>
      </c>
      <c r="P1040" s="75" t="e">
        <f t="shared" si="171"/>
        <v>#DIV/0!</v>
      </c>
      <c r="Q1040" s="3" t="e" cm="1">
        <f t="array" ref="Q1040">_xlfn.IFS(P1040&lt;200, "10", P1040&lt;400, "12", P1040&lt;600, "14", P1040&gt;600, "16")</f>
        <v>#DIV/0!</v>
      </c>
      <c r="R1040" s="75">
        <f t="shared" si="172"/>
        <v>0</v>
      </c>
      <c r="S1040" s="75" t="e">
        <f t="shared" si="173"/>
        <v>#DIV/0!</v>
      </c>
      <c r="U1040" s="306" t="e">
        <f t="shared" si="174"/>
        <v>#DIV/0!</v>
      </c>
    </row>
    <row r="1041" spans="4:21" x14ac:dyDescent="0.35">
      <c r="D1041" s="3"/>
      <c r="G1041" s="3" t="s">
        <v>87</v>
      </c>
      <c r="M1041" s="3"/>
      <c r="N1041" s="356" t="e" cm="1">
        <f t="array" ref="N1041">_xlfn.IFS(I1041="AEX",H1041/400,I1041="RP",H1041/200)</f>
        <v>#N/A</v>
      </c>
      <c r="P1041" s="75" t="e">
        <f t="shared" si="171"/>
        <v>#DIV/0!</v>
      </c>
      <c r="Q1041" s="3" t="e" cm="1">
        <f t="array" ref="Q1041">_xlfn.IFS(P1041&lt;200, "10", P1041&lt;400, "12", P1041&lt;600, "14", P1041&gt;600, "16")</f>
        <v>#DIV/0!</v>
      </c>
      <c r="R1041" s="75">
        <f t="shared" si="172"/>
        <v>0</v>
      </c>
      <c r="S1041" s="75" t="e">
        <f t="shared" si="173"/>
        <v>#DIV/0!</v>
      </c>
      <c r="U1041" s="306" t="e">
        <f t="shared" si="174"/>
        <v>#DIV/0!</v>
      </c>
    </row>
    <row r="1042" spans="4:21" x14ac:dyDescent="0.35">
      <c r="D1042" s="3"/>
      <c r="G1042" s="3" t="s">
        <v>87</v>
      </c>
      <c r="M1042" s="3"/>
      <c r="N1042" s="356" t="e" cm="1">
        <f t="array" ref="N1042">_xlfn.IFS(I1042="AEX",H1042/400,I1042="RP",H1042/200)</f>
        <v>#N/A</v>
      </c>
      <c r="P1042" s="75" t="e">
        <f t="shared" si="171"/>
        <v>#DIV/0!</v>
      </c>
      <c r="Q1042" s="3" t="e" cm="1">
        <f t="array" ref="Q1042">_xlfn.IFS(P1042&lt;200, "10", P1042&lt;400, "12", P1042&lt;600, "14", P1042&gt;600, "16")</f>
        <v>#DIV/0!</v>
      </c>
      <c r="R1042" s="75">
        <f t="shared" si="172"/>
        <v>0</v>
      </c>
      <c r="S1042" s="75" t="e">
        <f t="shared" si="173"/>
        <v>#DIV/0!</v>
      </c>
      <c r="U1042" s="306" t="e">
        <f t="shared" si="174"/>
        <v>#DIV/0!</v>
      </c>
    </row>
    <row r="1043" spans="4:21" x14ac:dyDescent="0.35">
      <c r="D1043" s="3"/>
      <c r="G1043" s="3" t="s">
        <v>87</v>
      </c>
      <c r="M1043" s="3"/>
      <c r="N1043" s="356" t="e" cm="1">
        <f t="array" ref="N1043">_xlfn.IFS(I1043="AEX",H1043/400,I1043="RP",H1043/200)</f>
        <v>#N/A</v>
      </c>
      <c r="P1043" s="75" t="e">
        <f t="shared" si="171"/>
        <v>#DIV/0!</v>
      </c>
      <c r="Q1043" s="3" t="e" cm="1">
        <f t="array" ref="Q1043">_xlfn.IFS(P1043&lt;200, "10", P1043&lt;400, "12", P1043&lt;600, "14", P1043&gt;600, "16")</f>
        <v>#DIV/0!</v>
      </c>
      <c r="R1043" s="75">
        <f t="shared" si="172"/>
        <v>0</v>
      </c>
      <c r="S1043" s="75" t="e">
        <f t="shared" si="173"/>
        <v>#DIV/0!</v>
      </c>
      <c r="U1043" s="306" t="e">
        <f t="shared" si="174"/>
        <v>#DIV/0!</v>
      </c>
    </row>
    <row r="1044" spans="4:21" x14ac:dyDescent="0.35">
      <c r="D1044" s="3"/>
      <c r="G1044" s="3" t="s">
        <v>87</v>
      </c>
      <c r="M1044" s="3"/>
      <c r="N1044" s="356" t="e" cm="1">
        <f t="array" ref="N1044">_xlfn.IFS(I1044="AEX",H1044/400,I1044="RP",H1044/200)</f>
        <v>#N/A</v>
      </c>
      <c r="P1044" s="75" t="e">
        <f t="shared" si="171"/>
        <v>#DIV/0!</v>
      </c>
      <c r="Q1044" s="3" t="e" cm="1">
        <f t="array" ref="Q1044">_xlfn.IFS(P1044&lt;200, "10", P1044&lt;400, "12", P1044&lt;600, "14", P1044&gt;600, "16")</f>
        <v>#DIV/0!</v>
      </c>
      <c r="R1044" s="75">
        <f t="shared" si="172"/>
        <v>0</v>
      </c>
      <c r="S1044" s="75" t="e">
        <f t="shared" si="173"/>
        <v>#DIV/0!</v>
      </c>
      <c r="U1044" s="306" t="e">
        <f t="shared" si="174"/>
        <v>#DIV/0!</v>
      </c>
    </row>
    <row r="1045" spans="4:21" x14ac:dyDescent="0.35">
      <c r="D1045" s="3"/>
      <c r="G1045" s="3" t="s">
        <v>87</v>
      </c>
      <c r="M1045" s="3"/>
      <c r="N1045" s="356" t="e" cm="1">
        <f t="array" ref="N1045">_xlfn.IFS(I1045="AEX",H1045/400,I1045="RP",H1045/200)</f>
        <v>#N/A</v>
      </c>
      <c r="P1045" s="75" t="e">
        <f t="shared" si="171"/>
        <v>#DIV/0!</v>
      </c>
      <c r="Q1045" s="3" t="e" cm="1">
        <f t="array" ref="Q1045">_xlfn.IFS(P1045&lt;200, "10", P1045&lt;400, "12", P1045&lt;600, "14", P1045&gt;600, "16")</f>
        <v>#DIV/0!</v>
      </c>
      <c r="R1045" s="75">
        <f t="shared" si="172"/>
        <v>0</v>
      </c>
      <c r="S1045" s="75" t="e">
        <f t="shared" si="173"/>
        <v>#DIV/0!</v>
      </c>
      <c r="U1045" s="306" t="e">
        <f t="shared" si="174"/>
        <v>#DIV/0!</v>
      </c>
    </row>
    <row r="1046" spans="4:21" x14ac:dyDescent="0.35">
      <c r="D1046" s="3"/>
      <c r="G1046" s="3" t="s">
        <v>87</v>
      </c>
      <c r="M1046" s="3"/>
      <c r="N1046" s="356" t="e" cm="1">
        <f t="array" ref="N1046">_xlfn.IFS(I1046="AEX",H1046/400,I1046="RP",H1046/200)</f>
        <v>#N/A</v>
      </c>
      <c r="P1046" s="75" t="e">
        <f t="shared" si="171"/>
        <v>#DIV/0!</v>
      </c>
      <c r="Q1046" s="3" t="e" cm="1">
        <f t="array" ref="Q1046">_xlfn.IFS(P1046&lt;200, "10", P1046&lt;400, "12", P1046&lt;600, "14", P1046&gt;600, "16")</f>
        <v>#DIV/0!</v>
      </c>
      <c r="R1046" s="75">
        <f t="shared" si="172"/>
        <v>0</v>
      </c>
      <c r="S1046" s="75" t="e">
        <f t="shared" si="173"/>
        <v>#DIV/0!</v>
      </c>
      <c r="U1046" s="306" t="e">
        <f t="shared" si="174"/>
        <v>#DIV/0!</v>
      </c>
    </row>
    <row r="1047" spans="4:21" x14ac:dyDescent="0.35">
      <c r="D1047" s="3"/>
      <c r="G1047" s="3" t="s">
        <v>87</v>
      </c>
      <c r="M1047" s="3"/>
      <c r="N1047" s="356" t="e" cm="1">
        <f t="array" ref="N1047">_xlfn.IFS(I1047="AEX",H1047/400,I1047="RP",H1047/200)</f>
        <v>#N/A</v>
      </c>
      <c r="P1047" s="75" t="e">
        <f t="shared" si="171"/>
        <v>#DIV/0!</v>
      </c>
      <c r="Q1047" s="3" t="e" cm="1">
        <f t="array" ref="Q1047">_xlfn.IFS(P1047&lt;200, "10", P1047&lt;400, "12", P1047&lt;600, "14", P1047&gt;600, "16")</f>
        <v>#DIV/0!</v>
      </c>
      <c r="R1047" s="75">
        <f t="shared" si="172"/>
        <v>0</v>
      </c>
      <c r="S1047" s="75" t="e">
        <f t="shared" si="173"/>
        <v>#DIV/0!</v>
      </c>
      <c r="U1047" s="306" t="e">
        <f t="shared" si="174"/>
        <v>#DIV/0!</v>
      </c>
    </row>
    <row r="1048" spans="4:21" x14ac:dyDescent="0.35">
      <c r="D1048" s="3"/>
      <c r="G1048" s="3" t="s">
        <v>87</v>
      </c>
      <c r="M1048" s="3"/>
      <c r="N1048" s="356" t="e" cm="1">
        <f t="array" ref="N1048">_xlfn.IFS(I1048="AEX",H1048/400,I1048="RP",H1048/200)</f>
        <v>#N/A</v>
      </c>
      <c r="P1048" s="75" t="e">
        <f t="shared" si="171"/>
        <v>#DIV/0!</v>
      </c>
      <c r="Q1048" s="3" t="e" cm="1">
        <f t="array" ref="Q1048">_xlfn.IFS(P1048&lt;200, "10", P1048&lt;400, "12", P1048&lt;600, "14", P1048&gt;600, "16")</f>
        <v>#DIV/0!</v>
      </c>
      <c r="R1048" s="75">
        <f t="shared" si="172"/>
        <v>0</v>
      </c>
      <c r="S1048" s="75" t="e">
        <f t="shared" si="173"/>
        <v>#DIV/0!</v>
      </c>
      <c r="U1048" s="306" t="e">
        <f t="shared" si="174"/>
        <v>#DIV/0!</v>
      </c>
    </row>
    <row r="1049" spans="4:21" x14ac:dyDescent="0.35">
      <c r="D1049" s="3"/>
      <c r="G1049" s="3" t="s">
        <v>87</v>
      </c>
      <c r="M1049" s="3"/>
      <c r="N1049" s="356" t="e" cm="1">
        <f t="array" ref="N1049">_xlfn.IFS(I1049="AEX",H1049/400,I1049="RP",H1049/200)</f>
        <v>#N/A</v>
      </c>
      <c r="P1049" s="75" t="e">
        <f t="shared" si="171"/>
        <v>#DIV/0!</v>
      </c>
      <c r="Q1049" s="3" t="e" cm="1">
        <f t="array" ref="Q1049">_xlfn.IFS(P1049&lt;200, "10", P1049&lt;400, "12", P1049&lt;600, "14", P1049&gt;600, "16")</f>
        <v>#DIV/0!</v>
      </c>
      <c r="R1049" s="75">
        <f t="shared" si="172"/>
        <v>0</v>
      </c>
      <c r="S1049" s="75" t="e">
        <f t="shared" si="173"/>
        <v>#DIV/0!</v>
      </c>
      <c r="U1049" s="306" t="e">
        <f t="shared" si="174"/>
        <v>#DIV/0!</v>
      </c>
    </row>
    <row r="1050" spans="4:21" x14ac:dyDescent="0.35">
      <c r="D1050" s="3"/>
      <c r="G1050" s="3" t="s">
        <v>87</v>
      </c>
      <c r="M1050" s="3"/>
      <c r="N1050" s="356" t="e" cm="1">
        <f t="array" ref="N1050">_xlfn.IFS(I1050="AEX",H1050/400,I1050="RP",H1050/200)</f>
        <v>#N/A</v>
      </c>
      <c r="P1050" s="75" t="e">
        <f t="shared" si="171"/>
        <v>#DIV/0!</v>
      </c>
      <c r="Q1050" s="3" t="e" cm="1">
        <f t="array" ref="Q1050">_xlfn.IFS(P1050&lt;200, "10", P1050&lt;400, "12", P1050&lt;600, "14", P1050&gt;600, "16")</f>
        <v>#DIV/0!</v>
      </c>
      <c r="R1050" s="75">
        <f t="shared" si="172"/>
        <v>0</v>
      </c>
      <c r="S1050" s="75" t="e">
        <f t="shared" si="173"/>
        <v>#DIV/0!</v>
      </c>
      <c r="U1050" s="306" t="e">
        <f t="shared" si="174"/>
        <v>#DIV/0!</v>
      </c>
    </row>
    <row r="1051" spans="4:21" x14ac:dyDescent="0.35">
      <c r="D1051" s="3"/>
      <c r="G1051" s="3" t="s">
        <v>87</v>
      </c>
      <c r="M1051" s="3"/>
      <c r="N1051" s="356" t="e" cm="1">
        <f t="array" ref="N1051">_xlfn.IFS(I1051="AEX",H1051/400,I1051="RP",H1051/200)</f>
        <v>#N/A</v>
      </c>
      <c r="P1051" s="75" t="e">
        <f t="shared" si="171"/>
        <v>#DIV/0!</v>
      </c>
      <c r="Q1051" s="3" t="e" cm="1">
        <f t="array" ref="Q1051">_xlfn.IFS(P1051&lt;200, "10", P1051&lt;400, "12", P1051&lt;600, "14", P1051&gt;600, "16")</f>
        <v>#DIV/0!</v>
      </c>
      <c r="R1051" s="75">
        <f t="shared" si="172"/>
        <v>0</v>
      </c>
      <c r="S1051" s="75" t="e">
        <f t="shared" si="173"/>
        <v>#DIV/0!</v>
      </c>
      <c r="U1051" s="306" t="e">
        <f t="shared" si="174"/>
        <v>#DIV/0!</v>
      </c>
    </row>
    <row r="1052" spans="4:21" x14ac:dyDescent="0.35">
      <c r="D1052" s="3"/>
      <c r="G1052" s="3" t="s">
        <v>87</v>
      </c>
      <c r="M1052" s="3"/>
      <c r="N1052" s="356" t="e" cm="1">
        <f t="array" ref="N1052">_xlfn.IFS(I1052="AEX",H1052/400,I1052="RP",H1052/200)</f>
        <v>#N/A</v>
      </c>
      <c r="P1052" s="75" t="e">
        <f t="shared" si="171"/>
        <v>#DIV/0!</v>
      </c>
      <c r="Q1052" s="3" t="e" cm="1">
        <f t="array" ref="Q1052">_xlfn.IFS(P1052&lt;200, "10", P1052&lt;400, "12", P1052&lt;600, "14", P1052&gt;600, "16")</f>
        <v>#DIV/0!</v>
      </c>
      <c r="R1052" s="75">
        <f t="shared" si="172"/>
        <v>0</v>
      </c>
      <c r="S1052" s="75" t="e">
        <f t="shared" si="173"/>
        <v>#DIV/0!</v>
      </c>
      <c r="U1052" s="306" t="e">
        <f t="shared" si="174"/>
        <v>#DIV/0!</v>
      </c>
    </row>
    <row r="1053" spans="4:21" x14ac:dyDescent="0.35">
      <c r="D1053" s="3"/>
      <c r="G1053" s="3" t="s">
        <v>87</v>
      </c>
      <c r="M1053" s="3"/>
      <c r="N1053" s="356" t="e" cm="1">
        <f t="array" ref="N1053">_xlfn.IFS(I1053="AEX",H1053/400,I1053="RP",H1053/200)</f>
        <v>#N/A</v>
      </c>
      <c r="P1053" s="75" t="e">
        <f t="shared" si="171"/>
        <v>#DIV/0!</v>
      </c>
      <c r="Q1053" s="3" t="e" cm="1">
        <f t="array" ref="Q1053">_xlfn.IFS(P1053&lt;200, "10", P1053&lt;400, "12", P1053&lt;600, "14", P1053&gt;600, "16")</f>
        <v>#DIV/0!</v>
      </c>
      <c r="R1053" s="75">
        <f t="shared" si="172"/>
        <v>0</v>
      </c>
      <c r="S1053" s="75" t="e">
        <f t="shared" si="173"/>
        <v>#DIV/0!</v>
      </c>
      <c r="U1053" s="306" t="e">
        <f t="shared" si="174"/>
        <v>#DIV/0!</v>
      </c>
    </row>
    <row r="1054" spans="4:21" x14ac:dyDescent="0.35">
      <c r="D1054" s="3"/>
      <c r="G1054" s="3" t="s">
        <v>87</v>
      </c>
      <c r="M1054" s="3"/>
      <c r="N1054" s="356" t="e" cm="1">
        <f t="array" ref="N1054">_xlfn.IFS(I1054="AEX",H1054/400,I1054="RP",H1054/200)</f>
        <v>#N/A</v>
      </c>
      <c r="P1054" s="75" t="e">
        <f t="shared" si="171"/>
        <v>#DIV/0!</v>
      </c>
      <c r="Q1054" s="3" t="e" cm="1">
        <f t="array" ref="Q1054">_xlfn.IFS(P1054&lt;200, "10", P1054&lt;400, "12", P1054&lt;600, "14", P1054&gt;600, "16")</f>
        <v>#DIV/0!</v>
      </c>
      <c r="R1054" s="75">
        <f t="shared" si="172"/>
        <v>0</v>
      </c>
      <c r="S1054" s="75" t="e">
        <f t="shared" si="173"/>
        <v>#DIV/0!</v>
      </c>
      <c r="U1054" s="306" t="e">
        <f t="shared" si="174"/>
        <v>#DIV/0!</v>
      </c>
    </row>
    <row r="1055" spans="4:21" x14ac:dyDescent="0.35">
      <c r="D1055" s="3"/>
      <c r="G1055" s="3" t="s">
        <v>87</v>
      </c>
      <c r="M1055" s="3"/>
      <c r="N1055" s="356" t="e" cm="1">
        <f t="array" ref="N1055">_xlfn.IFS(I1055="AEX",H1055/400,I1055="RP",H1055/200)</f>
        <v>#N/A</v>
      </c>
      <c r="P1055" s="75" t="e">
        <f t="shared" si="171"/>
        <v>#DIV/0!</v>
      </c>
      <c r="Q1055" s="3" t="e" cm="1">
        <f t="array" ref="Q1055">_xlfn.IFS(P1055&lt;200, "10", P1055&lt;400, "12", P1055&lt;600, "14", P1055&gt;600, "16")</f>
        <v>#DIV/0!</v>
      </c>
      <c r="R1055" s="75">
        <f t="shared" si="172"/>
        <v>0</v>
      </c>
      <c r="S1055" s="75" t="e">
        <f t="shared" si="173"/>
        <v>#DIV/0!</v>
      </c>
      <c r="U1055" s="306" t="e">
        <f t="shared" si="174"/>
        <v>#DIV/0!</v>
      </c>
    </row>
    <row r="1056" spans="4:21" x14ac:dyDescent="0.35">
      <c r="D1056" s="3"/>
      <c r="G1056" s="3" t="s">
        <v>87</v>
      </c>
      <c r="M1056" s="3"/>
      <c r="N1056" s="356" t="e" cm="1">
        <f t="array" ref="N1056">_xlfn.IFS(I1056="AEX",H1056/400,I1056="RP",H1056/200)</f>
        <v>#N/A</v>
      </c>
      <c r="P1056" s="75" t="e">
        <f t="shared" si="171"/>
        <v>#DIV/0!</v>
      </c>
      <c r="Q1056" s="3" t="e" cm="1">
        <f t="array" ref="Q1056">_xlfn.IFS(P1056&lt;200, "10", P1056&lt;400, "12", P1056&lt;600, "14", P1056&gt;600, "16")</f>
        <v>#DIV/0!</v>
      </c>
      <c r="R1056" s="75">
        <f t="shared" si="172"/>
        <v>0</v>
      </c>
      <c r="S1056" s="75" t="e">
        <f t="shared" si="173"/>
        <v>#DIV/0!</v>
      </c>
      <c r="U1056" s="306" t="e">
        <f t="shared" si="174"/>
        <v>#DIV/0!</v>
      </c>
    </row>
    <row r="1057" spans="4:21" x14ac:dyDescent="0.35">
      <c r="D1057" s="3"/>
      <c r="G1057" s="3" t="s">
        <v>87</v>
      </c>
      <c r="M1057" s="3"/>
      <c r="N1057" s="356" t="e" cm="1">
        <f t="array" ref="N1057">_xlfn.IFS(I1057="AEX",H1057/400,I1057="RP",H1057/200)</f>
        <v>#N/A</v>
      </c>
      <c r="P1057" s="75" t="e">
        <f t="shared" si="171"/>
        <v>#DIV/0!</v>
      </c>
      <c r="Q1057" s="3" t="e" cm="1">
        <f t="array" ref="Q1057">_xlfn.IFS(P1057&lt;200, "10", P1057&lt;400, "12", P1057&lt;600, "14", P1057&gt;600, "16")</f>
        <v>#DIV/0!</v>
      </c>
      <c r="R1057" s="75">
        <f t="shared" si="172"/>
        <v>0</v>
      </c>
      <c r="S1057" s="75" t="e">
        <f t="shared" si="173"/>
        <v>#DIV/0!</v>
      </c>
      <c r="U1057" s="306" t="e">
        <f t="shared" si="174"/>
        <v>#DIV/0!</v>
      </c>
    </row>
    <row r="1058" spans="4:21" x14ac:dyDescent="0.35">
      <c r="D1058" s="3"/>
      <c r="G1058" s="3" t="s">
        <v>87</v>
      </c>
      <c r="M1058" s="3"/>
      <c r="N1058" s="356" t="e" cm="1">
        <f t="array" ref="N1058">_xlfn.IFS(I1058="AEX",H1058/400,I1058="RP",H1058/200)</f>
        <v>#N/A</v>
      </c>
      <c r="P1058" s="75" t="e">
        <f t="shared" si="171"/>
        <v>#DIV/0!</v>
      </c>
      <c r="Q1058" s="3" t="e" cm="1">
        <f t="array" ref="Q1058">_xlfn.IFS(P1058&lt;200, "10", P1058&lt;400, "12", P1058&lt;600, "14", P1058&gt;600, "16")</f>
        <v>#DIV/0!</v>
      </c>
      <c r="R1058" s="75">
        <f t="shared" si="172"/>
        <v>0</v>
      </c>
      <c r="S1058" s="75" t="e">
        <f t="shared" si="173"/>
        <v>#DIV/0!</v>
      </c>
      <c r="U1058" s="306" t="e">
        <f t="shared" si="174"/>
        <v>#DIV/0!</v>
      </c>
    </row>
    <row r="1059" spans="4:21" x14ac:dyDescent="0.35">
      <c r="D1059" s="3"/>
      <c r="G1059" s="3" t="s">
        <v>87</v>
      </c>
      <c r="M1059" s="3"/>
      <c r="N1059" s="356" t="e" cm="1">
        <f t="array" ref="N1059">_xlfn.IFS(I1059="AEX",H1059/400,I1059="RP",H1059/200)</f>
        <v>#N/A</v>
      </c>
      <c r="P1059" s="75" t="e">
        <f t="shared" si="171"/>
        <v>#DIV/0!</v>
      </c>
      <c r="Q1059" s="3" t="e" cm="1">
        <f t="array" ref="Q1059">_xlfn.IFS(P1059&lt;200, "10", P1059&lt;400, "12", P1059&lt;600, "14", P1059&gt;600, "16")</f>
        <v>#DIV/0!</v>
      </c>
      <c r="R1059" s="75">
        <f t="shared" si="172"/>
        <v>0</v>
      </c>
      <c r="S1059" s="75" t="e">
        <f t="shared" si="173"/>
        <v>#DIV/0!</v>
      </c>
      <c r="U1059" s="306" t="e">
        <f t="shared" si="174"/>
        <v>#DIV/0!</v>
      </c>
    </row>
    <row r="1060" spans="4:21" x14ac:dyDescent="0.35">
      <c r="D1060" s="3"/>
      <c r="G1060" s="3" t="s">
        <v>87</v>
      </c>
      <c r="M1060" s="3"/>
      <c r="N1060" s="356" t="e" cm="1">
        <f t="array" ref="N1060">_xlfn.IFS(I1060="AEX",H1060/400,I1060="RP",H1060/200)</f>
        <v>#N/A</v>
      </c>
      <c r="P1060" s="75" t="e">
        <f t="shared" si="171"/>
        <v>#DIV/0!</v>
      </c>
      <c r="Q1060" s="3" t="e" cm="1">
        <f t="array" ref="Q1060">_xlfn.IFS(P1060&lt;200, "10", P1060&lt;400, "12", P1060&lt;600, "14", P1060&gt;600, "16")</f>
        <v>#DIV/0!</v>
      </c>
      <c r="R1060" s="75">
        <f t="shared" si="172"/>
        <v>0</v>
      </c>
      <c r="S1060" s="75" t="e">
        <f t="shared" si="173"/>
        <v>#DIV/0!</v>
      </c>
      <c r="U1060" s="306" t="e">
        <f t="shared" si="174"/>
        <v>#DIV/0!</v>
      </c>
    </row>
    <row r="1061" spans="4:21" x14ac:dyDescent="0.35">
      <c r="D1061" s="3"/>
      <c r="G1061" s="3" t="s">
        <v>87</v>
      </c>
      <c r="M1061" s="3"/>
      <c r="N1061" s="356" t="e" cm="1">
        <f t="array" ref="N1061">_xlfn.IFS(I1061="AEX",H1061/400,I1061="RP",H1061/200)</f>
        <v>#N/A</v>
      </c>
      <c r="P1061" s="75" t="e">
        <f t="shared" si="171"/>
        <v>#DIV/0!</v>
      </c>
      <c r="Q1061" s="3" t="e" cm="1">
        <f t="array" ref="Q1061">_xlfn.IFS(P1061&lt;200, "10", P1061&lt;400, "12", P1061&lt;600, "14", P1061&gt;600, "16")</f>
        <v>#DIV/0!</v>
      </c>
      <c r="R1061" s="75">
        <f t="shared" si="172"/>
        <v>0</v>
      </c>
      <c r="S1061" s="75" t="e">
        <f t="shared" si="173"/>
        <v>#DIV/0!</v>
      </c>
      <c r="U1061" s="306" t="e">
        <f t="shared" si="174"/>
        <v>#DIV/0!</v>
      </c>
    </row>
    <row r="1062" spans="4:21" x14ac:dyDescent="0.35">
      <c r="D1062" s="3"/>
      <c r="G1062" s="3" t="s">
        <v>87</v>
      </c>
      <c r="M1062" s="3"/>
      <c r="N1062" s="356" t="e" cm="1">
        <f t="array" ref="N1062">_xlfn.IFS(I1062="AEX",H1062/400,I1062="RP",H1062/200)</f>
        <v>#N/A</v>
      </c>
      <c r="P1062" s="75" t="e">
        <f t="shared" si="171"/>
        <v>#DIV/0!</v>
      </c>
      <c r="Q1062" s="3" t="e" cm="1">
        <f t="array" ref="Q1062">_xlfn.IFS(P1062&lt;200, "10", P1062&lt;400, "12", P1062&lt;600, "14", P1062&gt;600, "16")</f>
        <v>#DIV/0!</v>
      </c>
      <c r="R1062" s="75">
        <f t="shared" si="172"/>
        <v>0</v>
      </c>
      <c r="S1062" s="75" t="e">
        <f t="shared" si="173"/>
        <v>#DIV/0!</v>
      </c>
      <c r="U1062" s="306" t="e">
        <f t="shared" si="174"/>
        <v>#DIV/0!</v>
      </c>
    </row>
    <row r="1063" spans="4:21" x14ac:dyDescent="0.35">
      <c r="D1063" s="3"/>
      <c r="G1063" s="3" t="s">
        <v>87</v>
      </c>
      <c r="M1063" s="3"/>
      <c r="N1063" s="356" t="e" cm="1">
        <f t="array" ref="N1063">_xlfn.IFS(I1063="AEX",H1063/400,I1063="RP",H1063/200)</f>
        <v>#N/A</v>
      </c>
      <c r="P1063" s="75" t="e">
        <f t="shared" si="171"/>
        <v>#DIV/0!</v>
      </c>
      <c r="Q1063" s="3" t="e" cm="1">
        <f t="array" ref="Q1063">_xlfn.IFS(P1063&lt;200, "10", P1063&lt;400, "12", P1063&lt;600, "14", P1063&gt;600, "16")</f>
        <v>#DIV/0!</v>
      </c>
      <c r="R1063" s="75">
        <f t="shared" si="172"/>
        <v>0</v>
      </c>
      <c r="S1063" s="75" t="e">
        <f t="shared" si="173"/>
        <v>#DIV/0!</v>
      </c>
      <c r="U1063" s="306" t="e">
        <f t="shared" si="174"/>
        <v>#DIV/0!</v>
      </c>
    </row>
    <row r="1064" spans="4:21" x14ac:dyDescent="0.35">
      <c r="D1064" s="3"/>
      <c r="G1064" s="3" t="s">
        <v>87</v>
      </c>
      <c r="M1064" s="3"/>
      <c r="N1064" s="356" t="e" cm="1">
        <f t="array" ref="N1064">_xlfn.IFS(I1064="AEX",H1064/400,I1064="RP",H1064/200)</f>
        <v>#N/A</v>
      </c>
      <c r="P1064" s="75" t="e">
        <f t="shared" si="171"/>
        <v>#DIV/0!</v>
      </c>
      <c r="Q1064" s="3" t="e" cm="1">
        <f t="array" ref="Q1064">_xlfn.IFS(P1064&lt;200, "10", P1064&lt;400, "12", P1064&lt;600, "14", P1064&gt;600, "16")</f>
        <v>#DIV/0!</v>
      </c>
      <c r="R1064" s="75">
        <f t="shared" si="172"/>
        <v>0</v>
      </c>
      <c r="S1064" s="75" t="e">
        <f t="shared" si="173"/>
        <v>#DIV/0!</v>
      </c>
      <c r="U1064" s="306" t="e">
        <f t="shared" si="174"/>
        <v>#DIV/0!</v>
      </c>
    </row>
    <row r="1065" spans="4:21" x14ac:dyDescent="0.35">
      <c r="D1065" s="3"/>
      <c r="G1065" s="3" t="s">
        <v>87</v>
      </c>
      <c r="M1065" s="3"/>
      <c r="N1065" s="356" t="e" cm="1">
        <f t="array" ref="N1065">_xlfn.IFS(I1065="AEX",H1065/400,I1065="RP",H1065/200)</f>
        <v>#N/A</v>
      </c>
      <c r="P1065" s="75" t="e">
        <f t="shared" si="171"/>
        <v>#DIV/0!</v>
      </c>
      <c r="Q1065" s="3" t="e" cm="1">
        <f t="array" ref="Q1065">_xlfn.IFS(P1065&lt;200, "10", P1065&lt;400, "12", P1065&lt;600, "14", P1065&gt;600, "16")</f>
        <v>#DIV/0!</v>
      </c>
      <c r="R1065" s="75">
        <f t="shared" si="172"/>
        <v>0</v>
      </c>
      <c r="S1065" s="75" t="e">
        <f t="shared" si="173"/>
        <v>#DIV/0!</v>
      </c>
      <c r="U1065" s="306" t="e">
        <f t="shared" si="174"/>
        <v>#DIV/0!</v>
      </c>
    </row>
    <row r="1066" spans="4:21" x14ac:dyDescent="0.35">
      <c r="D1066" s="3"/>
      <c r="G1066" s="3" t="s">
        <v>87</v>
      </c>
      <c r="M1066" s="3"/>
      <c r="N1066" s="356" t="e" cm="1">
        <f t="array" ref="N1066">_xlfn.IFS(I1066="AEX",H1066/400,I1066="RP",H1066/200)</f>
        <v>#N/A</v>
      </c>
      <c r="P1066" s="75" t="e">
        <f t="shared" ref="P1066:P1129" si="175">H1066/O1066</f>
        <v>#DIV/0!</v>
      </c>
      <c r="Q1066" s="3" t="e" cm="1">
        <f t="array" ref="Q1066">_xlfn.IFS(P1066&lt;200, "10", P1066&lt;400, "12", P1066&lt;600, "14", P1066&gt;600, "16")</f>
        <v>#DIV/0!</v>
      </c>
      <c r="R1066" s="75">
        <f t="shared" ref="R1066:R1129" si="176">IF(I1066="AEX",H1066*0.3/400,H1066*0.3/200)</f>
        <v>0</v>
      </c>
      <c r="S1066" s="75" t="e">
        <f t="shared" si="173"/>
        <v>#DIV/0!</v>
      </c>
      <c r="U1066" s="306" t="e">
        <f t="shared" si="174"/>
        <v>#DIV/0!</v>
      </c>
    </row>
    <row r="1067" spans="4:21" x14ac:dyDescent="0.35">
      <c r="D1067" s="3"/>
      <c r="G1067" s="3" t="s">
        <v>87</v>
      </c>
      <c r="M1067" s="3"/>
      <c r="N1067" s="356" t="e" cm="1">
        <f t="array" ref="N1067">_xlfn.IFS(I1067="AEX",H1067/400,I1067="RP",H1067/200)</f>
        <v>#N/A</v>
      </c>
      <c r="P1067" s="75" t="e">
        <f t="shared" si="175"/>
        <v>#DIV/0!</v>
      </c>
      <c r="Q1067" s="3" t="e" cm="1">
        <f t="array" ref="Q1067">_xlfn.IFS(P1067&lt;200, "10", P1067&lt;400, "12", P1067&lt;600, "14", P1067&gt;600, "16")</f>
        <v>#DIV/0!</v>
      </c>
      <c r="R1067" s="75">
        <f t="shared" si="176"/>
        <v>0</v>
      </c>
      <c r="S1067" s="75" t="e">
        <f t="shared" si="173"/>
        <v>#DIV/0!</v>
      </c>
      <c r="U1067" s="306" t="e">
        <f t="shared" si="174"/>
        <v>#DIV/0!</v>
      </c>
    </row>
    <row r="1068" spans="4:21" x14ac:dyDescent="0.35">
      <c r="D1068" s="3"/>
      <c r="G1068" s="3" t="s">
        <v>87</v>
      </c>
      <c r="M1068" s="3"/>
      <c r="N1068" s="356" t="e" cm="1">
        <f t="array" ref="N1068">_xlfn.IFS(I1068="AEX",H1068/400,I1068="RP",H1068/200)</f>
        <v>#N/A</v>
      </c>
      <c r="P1068" s="75" t="e">
        <f t="shared" si="175"/>
        <v>#DIV/0!</v>
      </c>
      <c r="Q1068" s="3" t="e" cm="1">
        <f t="array" ref="Q1068">_xlfn.IFS(P1068&lt;200, "10", P1068&lt;400, "12", P1068&lt;600, "14", P1068&gt;600, "16")</f>
        <v>#DIV/0!</v>
      </c>
      <c r="R1068" s="75">
        <f t="shared" si="176"/>
        <v>0</v>
      </c>
      <c r="S1068" s="75" t="e">
        <f t="shared" si="173"/>
        <v>#DIV/0!</v>
      </c>
      <c r="U1068" s="306" t="e">
        <f t="shared" si="174"/>
        <v>#DIV/0!</v>
      </c>
    </row>
    <row r="1069" spans="4:21" x14ac:dyDescent="0.35">
      <c r="D1069" s="3"/>
      <c r="G1069" s="3" t="s">
        <v>87</v>
      </c>
      <c r="M1069" s="3"/>
      <c r="N1069" s="356" t="e" cm="1">
        <f t="array" ref="N1069">_xlfn.IFS(I1069="AEX",H1069/400,I1069="RP",H1069/200)</f>
        <v>#N/A</v>
      </c>
      <c r="P1069" s="75" t="e">
        <f t="shared" si="175"/>
        <v>#DIV/0!</v>
      </c>
      <c r="Q1069" s="3" t="e" cm="1">
        <f t="array" ref="Q1069">_xlfn.IFS(P1069&lt;200, "10", P1069&lt;400, "12", P1069&lt;600, "14", P1069&gt;600, "16")</f>
        <v>#DIV/0!</v>
      </c>
      <c r="R1069" s="75">
        <f t="shared" si="176"/>
        <v>0</v>
      </c>
      <c r="S1069" s="75" t="e">
        <f t="shared" si="173"/>
        <v>#DIV/0!</v>
      </c>
      <c r="U1069" s="306" t="e">
        <f t="shared" si="174"/>
        <v>#DIV/0!</v>
      </c>
    </row>
    <row r="1070" spans="4:21" x14ac:dyDescent="0.35">
      <c r="D1070" s="3"/>
      <c r="G1070" s="3" t="s">
        <v>87</v>
      </c>
      <c r="M1070" s="3"/>
      <c r="N1070" s="356" t="e" cm="1">
        <f t="array" ref="N1070">_xlfn.IFS(I1070="AEX",H1070/400,I1070="RP",H1070/200)</f>
        <v>#N/A</v>
      </c>
      <c r="P1070" s="75" t="e">
        <f t="shared" si="175"/>
        <v>#DIV/0!</v>
      </c>
      <c r="Q1070" s="3" t="e" cm="1">
        <f t="array" ref="Q1070">_xlfn.IFS(P1070&lt;200, "10", P1070&lt;400, "12", P1070&lt;600, "14", P1070&gt;600, "16")</f>
        <v>#DIV/0!</v>
      </c>
      <c r="R1070" s="75">
        <f t="shared" si="176"/>
        <v>0</v>
      </c>
      <c r="S1070" s="75" t="e">
        <f t="shared" si="173"/>
        <v>#DIV/0!</v>
      </c>
      <c r="U1070" s="306" t="e">
        <f t="shared" si="174"/>
        <v>#DIV/0!</v>
      </c>
    </row>
    <row r="1071" spans="4:21" x14ac:dyDescent="0.35">
      <c r="D1071" s="3"/>
      <c r="G1071" s="3" t="s">
        <v>87</v>
      </c>
      <c r="M1071" s="3"/>
      <c r="N1071" s="356" t="e" cm="1">
        <f t="array" ref="N1071">_xlfn.IFS(I1071="AEX",H1071/400,I1071="RP",H1071/200)</f>
        <v>#N/A</v>
      </c>
      <c r="P1071" s="75" t="e">
        <f t="shared" si="175"/>
        <v>#DIV/0!</v>
      </c>
      <c r="Q1071" s="3" t="e" cm="1">
        <f t="array" ref="Q1071">_xlfn.IFS(P1071&lt;200, "10", P1071&lt;400, "12", P1071&lt;600, "14", P1071&gt;600, "16")</f>
        <v>#DIV/0!</v>
      </c>
      <c r="R1071" s="75">
        <f t="shared" si="176"/>
        <v>0</v>
      </c>
      <c r="S1071" s="75" t="e">
        <f t="shared" si="173"/>
        <v>#DIV/0!</v>
      </c>
      <c r="U1071" s="306" t="e">
        <f t="shared" si="174"/>
        <v>#DIV/0!</v>
      </c>
    </row>
    <row r="1072" spans="4:21" x14ac:dyDescent="0.35">
      <c r="D1072" s="3"/>
      <c r="G1072" s="3" t="s">
        <v>87</v>
      </c>
      <c r="M1072" s="3"/>
      <c r="N1072" s="356" t="e" cm="1">
        <f t="array" ref="N1072">_xlfn.IFS(I1072="AEX",H1072/400,I1072="RP",H1072/200)</f>
        <v>#N/A</v>
      </c>
      <c r="P1072" s="75" t="e">
        <f t="shared" si="175"/>
        <v>#DIV/0!</v>
      </c>
      <c r="Q1072" s="3" t="e" cm="1">
        <f t="array" ref="Q1072">_xlfn.IFS(P1072&lt;200, "10", P1072&lt;400, "12", P1072&lt;600, "14", P1072&gt;600, "16")</f>
        <v>#DIV/0!</v>
      </c>
      <c r="R1072" s="75">
        <f t="shared" si="176"/>
        <v>0</v>
      </c>
      <c r="S1072" s="75" t="e">
        <f t="shared" si="173"/>
        <v>#DIV/0!</v>
      </c>
      <c r="U1072" s="306" t="e">
        <f t="shared" si="174"/>
        <v>#DIV/0!</v>
      </c>
    </row>
    <row r="1073" spans="4:21" x14ac:dyDescent="0.35">
      <c r="D1073" s="3"/>
      <c r="G1073" s="3" t="s">
        <v>87</v>
      </c>
      <c r="M1073" s="3"/>
      <c r="N1073" s="356" t="e" cm="1">
        <f t="array" ref="N1073">_xlfn.IFS(I1073="AEX",H1073/400,I1073="RP",H1073/200)</f>
        <v>#N/A</v>
      </c>
      <c r="P1073" s="75" t="e">
        <f t="shared" si="175"/>
        <v>#DIV/0!</v>
      </c>
      <c r="Q1073" s="3" t="e" cm="1">
        <f t="array" ref="Q1073">_xlfn.IFS(P1073&lt;200, "10", P1073&lt;400, "12", P1073&lt;600, "14", P1073&gt;600, "16")</f>
        <v>#DIV/0!</v>
      </c>
      <c r="R1073" s="75">
        <f t="shared" si="176"/>
        <v>0</v>
      </c>
      <c r="S1073" s="75" t="e">
        <f t="shared" si="173"/>
        <v>#DIV/0!</v>
      </c>
      <c r="U1073" s="306" t="e">
        <f t="shared" si="174"/>
        <v>#DIV/0!</v>
      </c>
    </row>
    <row r="1074" spans="4:21" x14ac:dyDescent="0.35">
      <c r="D1074" s="3"/>
      <c r="G1074" s="3" t="s">
        <v>87</v>
      </c>
      <c r="M1074" s="3"/>
      <c r="N1074" s="356" t="e" cm="1">
        <f t="array" ref="N1074">_xlfn.IFS(I1074="AEX",H1074/400,I1074="RP",H1074/200)</f>
        <v>#N/A</v>
      </c>
      <c r="P1074" s="75" t="e">
        <f t="shared" si="175"/>
        <v>#DIV/0!</v>
      </c>
      <c r="Q1074" s="3" t="e" cm="1">
        <f t="array" ref="Q1074">_xlfn.IFS(P1074&lt;200, "10", P1074&lt;400, "12", P1074&lt;600, "14", P1074&gt;600, "16")</f>
        <v>#DIV/0!</v>
      </c>
      <c r="R1074" s="75">
        <f t="shared" si="176"/>
        <v>0</v>
      </c>
      <c r="S1074" s="75" t="e">
        <f t="shared" si="173"/>
        <v>#DIV/0!</v>
      </c>
      <c r="U1074" s="306" t="e">
        <f t="shared" si="174"/>
        <v>#DIV/0!</v>
      </c>
    </row>
    <row r="1075" spans="4:21" x14ac:dyDescent="0.35">
      <c r="D1075" s="3"/>
      <c r="G1075" s="3" t="s">
        <v>87</v>
      </c>
      <c r="M1075" s="3"/>
      <c r="N1075" s="356" t="e" cm="1">
        <f t="array" ref="N1075">_xlfn.IFS(I1075="AEX",H1075/400,I1075="RP",H1075/200)</f>
        <v>#N/A</v>
      </c>
      <c r="P1075" s="75" t="e">
        <f t="shared" si="175"/>
        <v>#DIV/0!</v>
      </c>
      <c r="Q1075" s="3" t="e" cm="1">
        <f t="array" ref="Q1075">_xlfn.IFS(P1075&lt;200, "10", P1075&lt;400, "12", P1075&lt;600, "14", P1075&gt;600, "16")</f>
        <v>#DIV/0!</v>
      </c>
      <c r="R1075" s="75">
        <f t="shared" si="176"/>
        <v>0</v>
      </c>
      <c r="S1075" s="75" t="e">
        <f t="shared" ref="S1075:S1138" si="177">R1075/O1075</f>
        <v>#DIV/0!</v>
      </c>
      <c r="U1075" s="306" t="e">
        <f t="shared" si="174"/>
        <v>#DIV/0!</v>
      </c>
    </row>
    <row r="1076" spans="4:21" x14ac:dyDescent="0.35">
      <c r="D1076" s="3"/>
      <c r="G1076" s="3" t="s">
        <v>87</v>
      </c>
      <c r="M1076" s="3"/>
      <c r="N1076" s="356" t="e" cm="1">
        <f t="array" ref="N1076">_xlfn.IFS(I1076="AEX",H1076/400,I1076="RP",H1076/200)</f>
        <v>#N/A</v>
      </c>
      <c r="P1076" s="75" t="e">
        <f t="shared" si="175"/>
        <v>#DIV/0!</v>
      </c>
      <c r="Q1076" s="3" t="e" cm="1">
        <f t="array" ref="Q1076">_xlfn.IFS(P1076&lt;200, "10", P1076&lt;400, "12", P1076&lt;600, "14", P1076&gt;600, "16")</f>
        <v>#DIV/0!</v>
      </c>
      <c r="R1076" s="75">
        <f t="shared" si="176"/>
        <v>0</v>
      </c>
      <c r="S1076" s="75" t="e">
        <f t="shared" si="177"/>
        <v>#DIV/0!</v>
      </c>
      <c r="U1076" s="306" t="e">
        <f t="shared" si="174"/>
        <v>#DIV/0!</v>
      </c>
    </row>
    <row r="1077" spans="4:21" x14ac:dyDescent="0.35">
      <c r="D1077" s="3"/>
      <c r="G1077" s="3" t="s">
        <v>87</v>
      </c>
      <c r="M1077" s="3"/>
      <c r="N1077" s="356" t="e" cm="1">
        <f t="array" ref="N1077">_xlfn.IFS(I1077="AEX",H1077/400,I1077="RP",H1077/200)</f>
        <v>#N/A</v>
      </c>
      <c r="P1077" s="75" t="e">
        <f t="shared" si="175"/>
        <v>#DIV/0!</v>
      </c>
      <c r="Q1077" s="3" t="e" cm="1">
        <f t="array" ref="Q1077">_xlfn.IFS(P1077&lt;200, "10", P1077&lt;400, "12", P1077&lt;600, "14", P1077&gt;600, "16")</f>
        <v>#DIV/0!</v>
      </c>
      <c r="R1077" s="75">
        <f t="shared" si="176"/>
        <v>0</v>
      </c>
      <c r="S1077" s="75" t="e">
        <f t="shared" si="177"/>
        <v>#DIV/0!</v>
      </c>
      <c r="U1077" s="306" t="e">
        <f t="shared" si="174"/>
        <v>#DIV/0!</v>
      </c>
    </row>
    <row r="1078" spans="4:21" x14ac:dyDescent="0.35">
      <c r="D1078" s="3"/>
      <c r="G1078" s="3" t="s">
        <v>87</v>
      </c>
      <c r="M1078" s="3"/>
      <c r="N1078" s="356" t="e" cm="1">
        <f t="array" ref="N1078">_xlfn.IFS(I1078="AEX",H1078/400,I1078="RP",H1078/200)</f>
        <v>#N/A</v>
      </c>
      <c r="P1078" s="75" t="e">
        <f t="shared" si="175"/>
        <v>#DIV/0!</v>
      </c>
      <c r="Q1078" s="3" t="e" cm="1">
        <f t="array" ref="Q1078">_xlfn.IFS(P1078&lt;200, "10", P1078&lt;400, "12", P1078&lt;600, "14", P1078&gt;600, "16")</f>
        <v>#DIV/0!</v>
      </c>
      <c r="R1078" s="75">
        <f t="shared" si="176"/>
        <v>0</v>
      </c>
      <c r="S1078" s="75" t="e">
        <f t="shared" si="177"/>
        <v>#DIV/0!</v>
      </c>
      <c r="U1078" s="306" t="e">
        <f t="shared" si="174"/>
        <v>#DIV/0!</v>
      </c>
    </row>
    <row r="1079" spans="4:21" x14ac:dyDescent="0.35">
      <c r="D1079" s="3"/>
      <c r="G1079" s="3" t="s">
        <v>87</v>
      </c>
      <c r="M1079" s="3"/>
      <c r="N1079" s="356" t="e" cm="1">
        <f t="array" ref="N1079">_xlfn.IFS(I1079="AEX",H1079/400,I1079="RP",H1079/200)</f>
        <v>#N/A</v>
      </c>
      <c r="P1079" s="75" t="e">
        <f t="shared" si="175"/>
        <v>#DIV/0!</v>
      </c>
      <c r="Q1079" s="3" t="e" cm="1">
        <f t="array" ref="Q1079">_xlfn.IFS(P1079&lt;200, "10", P1079&lt;400, "12", P1079&lt;600, "14", P1079&gt;600, "16")</f>
        <v>#DIV/0!</v>
      </c>
      <c r="R1079" s="75">
        <f t="shared" si="176"/>
        <v>0</v>
      </c>
      <c r="S1079" s="75" t="e">
        <f t="shared" si="177"/>
        <v>#DIV/0!</v>
      </c>
      <c r="U1079" s="306" t="e">
        <f t="shared" si="174"/>
        <v>#DIV/0!</v>
      </c>
    </row>
    <row r="1080" spans="4:21" x14ac:dyDescent="0.35">
      <c r="D1080" s="3"/>
      <c r="G1080" s="3" t="s">
        <v>87</v>
      </c>
      <c r="M1080" s="3"/>
      <c r="N1080" s="356" t="e" cm="1">
        <f t="array" ref="N1080">_xlfn.IFS(I1080="AEX",H1080/400,I1080="RP",H1080/200)</f>
        <v>#N/A</v>
      </c>
      <c r="P1080" s="75" t="e">
        <f t="shared" si="175"/>
        <v>#DIV/0!</v>
      </c>
      <c r="Q1080" s="3" t="e" cm="1">
        <f t="array" ref="Q1080">_xlfn.IFS(P1080&lt;200, "10", P1080&lt;400, "12", P1080&lt;600, "14", P1080&gt;600, "16")</f>
        <v>#DIV/0!</v>
      </c>
      <c r="R1080" s="75">
        <f t="shared" si="176"/>
        <v>0</v>
      </c>
      <c r="S1080" s="75" t="e">
        <f t="shared" si="177"/>
        <v>#DIV/0!</v>
      </c>
      <c r="U1080" s="306" t="e">
        <f t="shared" si="174"/>
        <v>#DIV/0!</v>
      </c>
    </row>
    <row r="1081" spans="4:21" x14ac:dyDescent="0.35">
      <c r="D1081" s="3"/>
      <c r="G1081" s="3" t="s">
        <v>87</v>
      </c>
      <c r="M1081" s="3"/>
      <c r="N1081" s="356" t="e" cm="1">
        <f t="array" ref="N1081">_xlfn.IFS(I1081="AEX",H1081/400,I1081="RP",H1081/200)</f>
        <v>#N/A</v>
      </c>
      <c r="P1081" s="75" t="e">
        <f t="shared" si="175"/>
        <v>#DIV/0!</v>
      </c>
      <c r="Q1081" s="3" t="e" cm="1">
        <f t="array" ref="Q1081">_xlfn.IFS(P1081&lt;200, "10", P1081&lt;400, "12", P1081&lt;600, "14", P1081&gt;600, "16")</f>
        <v>#DIV/0!</v>
      </c>
      <c r="R1081" s="75">
        <f t="shared" si="176"/>
        <v>0</v>
      </c>
      <c r="S1081" s="75" t="e">
        <f t="shared" si="177"/>
        <v>#DIV/0!</v>
      </c>
      <c r="U1081" s="306" t="e">
        <f t="shared" si="174"/>
        <v>#DIV/0!</v>
      </c>
    </row>
    <row r="1082" spans="4:21" x14ac:dyDescent="0.35">
      <c r="D1082" s="3"/>
      <c r="G1082" s="3" t="s">
        <v>87</v>
      </c>
      <c r="M1082" s="3"/>
      <c r="N1082" s="356" t="e" cm="1">
        <f t="array" ref="N1082">_xlfn.IFS(I1082="AEX",H1082/400,I1082="RP",H1082/200)</f>
        <v>#N/A</v>
      </c>
      <c r="P1082" s="75" t="e">
        <f t="shared" si="175"/>
        <v>#DIV/0!</v>
      </c>
      <c r="Q1082" s="3" t="e" cm="1">
        <f t="array" ref="Q1082">_xlfn.IFS(P1082&lt;200, "10", P1082&lt;400, "12", P1082&lt;600, "14", P1082&gt;600, "16")</f>
        <v>#DIV/0!</v>
      </c>
      <c r="R1082" s="75">
        <f t="shared" si="176"/>
        <v>0</v>
      </c>
      <c r="S1082" s="75" t="e">
        <f t="shared" si="177"/>
        <v>#DIV/0!</v>
      </c>
      <c r="U1082" s="306" t="e">
        <f t="shared" si="174"/>
        <v>#DIV/0!</v>
      </c>
    </row>
    <row r="1083" spans="4:21" x14ac:dyDescent="0.35">
      <c r="D1083" s="3"/>
      <c r="G1083" s="3" t="s">
        <v>87</v>
      </c>
      <c r="M1083" s="3"/>
      <c r="N1083" s="356" t="e" cm="1">
        <f t="array" ref="N1083">_xlfn.IFS(I1083="AEX",H1083/400,I1083="RP",H1083/200)</f>
        <v>#N/A</v>
      </c>
      <c r="P1083" s="75" t="e">
        <f t="shared" si="175"/>
        <v>#DIV/0!</v>
      </c>
      <c r="Q1083" s="3" t="e" cm="1">
        <f t="array" ref="Q1083">_xlfn.IFS(P1083&lt;200, "10", P1083&lt;400, "12", P1083&lt;600, "14", P1083&gt;600, "16")</f>
        <v>#DIV/0!</v>
      </c>
      <c r="R1083" s="75">
        <f t="shared" si="176"/>
        <v>0</v>
      </c>
      <c r="S1083" s="75" t="e">
        <f t="shared" si="177"/>
        <v>#DIV/0!</v>
      </c>
      <c r="U1083" s="306" t="e">
        <f t="shared" si="174"/>
        <v>#DIV/0!</v>
      </c>
    </row>
    <row r="1084" spans="4:21" x14ac:dyDescent="0.35">
      <c r="D1084" s="3"/>
      <c r="G1084" s="3" t="s">
        <v>87</v>
      </c>
      <c r="M1084" s="3"/>
      <c r="N1084" s="356" t="e" cm="1">
        <f t="array" ref="N1084">_xlfn.IFS(I1084="AEX",H1084/400,I1084="RP",H1084/200)</f>
        <v>#N/A</v>
      </c>
      <c r="P1084" s="75" t="e">
        <f t="shared" si="175"/>
        <v>#DIV/0!</v>
      </c>
      <c r="Q1084" s="3" t="e" cm="1">
        <f t="array" ref="Q1084">_xlfn.IFS(P1084&lt;200, "10", P1084&lt;400, "12", P1084&lt;600, "14", P1084&gt;600, "16")</f>
        <v>#DIV/0!</v>
      </c>
      <c r="R1084" s="75">
        <f t="shared" si="176"/>
        <v>0</v>
      </c>
      <c r="S1084" s="75" t="e">
        <f t="shared" si="177"/>
        <v>#DIV/0!</v>
      </c>
      <c r="U1084" s="306" t="e">
        <f t="shared" si="174"/>
        <v>#DIV/0!</v>
      </c>
    </row>
    <row r="1085" spans="4:21" x14ac:dyDescent="0.35">
      <c r="D1085" s="3"/>
      <c r="G1085" s="3" t="s">
        <v>87</v>
      </c>
      <c r="M1085" s="3"/>
      <c r="N1085" s="356" t="e" cm="1">
        <f t="array" ref="N1085">_xlfn.IFS(I1085="AEX",H1085/400,I1085="RP",H1085/200)</f>
        <v>#N/A</v>
      </c>
      <c r="P1085" s="75" t="e">
        <f t="shared" si="175"/>
        <v>#DIV/0!</v>
      </c>
      <c r="Q1085" s="3" t="e" cm="1">
        <f t="array" ref="Q1085">_xlfn.IFS(P1085&lt;200, "10", P1085&lt;400, "12", P1085&lt;600, "14", P1085&gt;600, "16")</f>
        <v>#DIV/0!</v>
      </c>
      <c r="R1085" s="75">
        <f t="shared" si="176"/>
        <v>0</v>
      </c>
      <c r="S1085" s="75" t="e">
        <f t="shared" si="177"/>
        <v>#DIV/0!</v>
      </c>
      <c r="U1085" s="306" t="e">
        <f t="shared" si="174"/>
        <v>#DIV/0!</v>
      </c>
    </row>
    <row r="1086" spans="4:21" x14ac:dyDescent="0.35">
      <c r="D1086" s="3"/>
      <c r="G1086" s="3" t="s">
        <v>87</v>
      </c>
      <c r="M1086" s="3"/>
      <c r="N1086" s="356" t="e" cm="1">
        <f t="array" ref="N1086">_xlfn.IFS(I1086="AEX",H1086/400,I1086="RP",H1086/200)</f>
        <v>#N/A</v>
      </c>
      <c r="P1086" s="75" t="e">
        <f t="shared" si="175"/>
        <v>#DIV/0!</v>
      </c>
      <c r="Q1086" s="3" t="e" cm="1">
        <f t="array" ref="Q1086">_xlfn.IFS(P1086&lt;200, "10", P1086&lt;400, "12", P1086&lt;600, "14", P1086&gt;600, "16")</f>
        <v>#DIV/0!</v>
      </c>
      <c r="R1086" s="75">
        <f t="shared" si="176"/>
        <v>0</v>
      </c>
      <c r="S1086" s="75" t="e">
        <f t="shared" si="177"/>
        <v>#DIV/0!</v>
      </c>
      <c r="U1086" s="306" t="e">
        <f t="shared" si="174"/>
        <v>#DIV/0!</v>
      </c>
    </row>
    <row r="1087" spans="4:21" x14ac:dyDescent="0.35">
      <c r="D1087" s="3"/>
      <c r="G1087" s="3" t="s">
        <v>87</v>
      </c>
      <c r="M1087" s="3"/>
      <c r="N1087" s="356" t="e" cm="1">
        <f t="array" ref="N1087">_xlfn.IFS(I1087="AEX",H1087/400,I1087="RP",H1087/200)</f>
        <v>#N/A</v>
      </c>
      <c r="P1087" s="75" t="e">
        <f t="shared" si="175"/>
        <v>#DIV/0!</v>
      </c>
      <c r="Q1087" s="3" t="e" cm="1">
        <f t="array" ref="Q1087">_xlfn.IFS(P1087&lt;200, "10", P1087&lt;400, "12", P1087&lt;600, "14", P1087&gt;600, "16")</f>
        <v>#DIV/0!</v>
      </c>
      <c r="R1087" s="75">
        <f t="shared" si="176"/>
        <v>0</v>
      </c>
      <c r="S1087" s="75" t="e">
        <f t="shared" si="177"/>
        <v>#DIV/0!</v>
      </c>
      <c r="U1087" s="306" t="e">
        <f t="shared" si="174"/>
        <v>#DIV/0!</v>
      </c>
    </row>
    <row r="1088" spans="4:21" x14ac:dyDescent="0.35">
      <c r="D1088" s="3"/>
      <c r="G1088" s="3" t="s">
        <v>87</v>
      </c>
      <c r="M1088" s="3"/>
      <c r="N1088" s="356" t="e" cm="1">
        <f t="array" ref="N1088">_xlfn.IFS(I1088="AEX",H1088/400,I1088="RP",H1088/200)</f>
        <v>#N/A</v>
      </c>
      <c r="P1088" s="75" t="e">
        <f t="shared" si="175"/>
        <v>#DIV/0!</v>
      </c>
      <c r="Q1088" s="3" t="e" cm="1">
        <f t="array" ref="Q1088">_xlfn.IFS(P1088&lt;200, "10", P1088&lt;400, "12", P1088&lt;600, "14", P1088&gt;600, "16")</f>
        <v>#DIV/0!</v>
      </c>
      <c r="R1088" s="75">
        <f t="shared" si="176"/>
        <v>0</v>
      </c>
      <c r="S1088" s="75" t="e">
        <f t="shared" si="177"/>
        <v>#DIV/0!</v>
      </c>
      <c r="U1088" s="306" t="e">
        <f t="shared" si="174"/>
        <v>#DIV/0!</v>
      </c>
    </row>
    <row r="1089" spans="4:21" x14ac:dyDescent="0.35">
      <c r="D1089" s="3"/>
      <c r="G1089" s="3" t="s">
        <v>87</v>
      </c>
      <c r="M1089" s="3"/>
      <c r="N1089" s="356" t="e" cm="1">
        <f t="array" ref="N1089">_xlfn.IFS(I1089="AEX",H1089/400,I1089="RP",H1089/200)</f>
        <v>#N/A</v>
      </c>
      <c r="P1089" s="75" t="e">
        <f t="shared" si="175"/>
        <v>#DIV/0!</v>
      </c>
      <c r="Q1089" s="3" t="e" cm="1">
        <f t="array" ref="Q1089">_xlfn.IFS(P1089&lt;200, "10", P1089&lt;400, "12", P1089&lt;600, "14", P1089&gt;600, "16")</f>
        <v>#DIV/0!</v>
      </c>
      <c r="R1089" s="75">
        <f t="shared" si="176"/>
        <v>0</v>
      </c>
      <c r="S1089" s="75" t="e">
        <f t="shared" si="177"/>
        <v>#DIV/0!</v>
      </c>
      <c r="U1089" s="306" t="e">
        <f t="shared" si="174"/>
        <v>#DIV/0!</v>
      </c>
    </row>
    <row r="1090" spans="4:21" x14ac:dyDescent="0.35">
      <c r="D1090" s="3"/>
      <c r="G1090" s="3" t="s">
        <v>87</v>
      </c>
      <c r="M1090" s="3"/>
      <c r="N1090" s="356" t="e" cm="1">
        <f t="array" ref="N1090">_xlfn.IFS(I1090="AEX",H1090/400,I1090="RP",H1090/200)</f>
        <v>#N/A</v>
      </c>
      <c r="P1090" s="75" t="e">
        <f t="shared" si="175"/>
        <v>#DIV/0!</v>
      </c>
      <c r="Q1090" s="3" t="e" cm="1">
        <f t="array" ref="Q1090">_xlfn.IFS(P1090&lt;200, "10", P1090&lt;400, "12", P1090&lt;600, "14", P1090&gt;600, "16")</f>
        <v>#DIV/0!</v>
      </c>
      <c r="R1090" s="75">
        <f t="shared" si="176"/>
        <v>0</v>
      </c>
      <c r="S1090" s="75" t="e">
        <f t="shared" si="177"/>
        <v>#DIV/0!</v>
      </c>
      <c r="U1090" s="306" t="e">
        <f t="shared" ref="U1090:U1153" si="178">T1090/H1090*100</f>
        <v>#DIV/0!</v>
      </c>
    </row>
    <row r="1091" spans="4:21" x14ac:dyDescent="0.35">
      <c r="D1091" s="3"/>
      <c r="G1091" s="3" t="s">
        <v>87</v>
      </c>
      <c r="M1091" s="3"/>
      <c r="N1091" s="356" t="e" cm="1">
        <f t="array" ref="N1091">_xlfn.IFS(I1091="AEX",H1091/400,I1091="RP",H1091/200)</f>
        <v>#N/A</v>
      </c>
      <c r="P1091" s="75" t="e">
        <f t="shared" si="175"/>
        <v>#DIV/0!</v>
      </c>
      <c r="Q1091" s="3" t="e" cm="1">
        <f t="array" ref="Q1091">_xlfn.IFS(P1091&lt;200, "10", P1091&lt;400, "12", P1091&lt;600, "14", P1091&gt;600, "16")</f>
        <v>#DIV/0!</v>
      </c>
      <c r="R1091" s="75">
        <f t="shared" si="176"/>
        <v>0</v>
      </c>
      <c r="S1091" s="75" t="e">
        <f t="shared" si="177"/>
        <v>#DIV/0!</v>
      </c>
      <c r="U1091" s="306" t="e">
        <f t="shared" si="178"/>
        <v>#DIV/0!</v>
      </c>
    </row>
    <row r="1092" spans="4:21" x14ac:dyDescent="0.35">
      <c r="D1092" s="3"/>
      <c r="G1092" s="3" t="s">
        <v>87</v>
      </c>
      <c r="M1092" s="3"/>
      <c r="N1092" s="356" t="e" cm="1">
        <f t="array" ref="N1092">_xlfn.IFS(I1092="AEX",H1092/400,I1092="RP",H1092/200)</f>
        <v>#N/A</v>
      </c>
      <c r="P1092" s="75" t="e">
        <f t="shared" si="175"/>
        <v>#DIV/0!</v>
      </c>
      <c r="Q1092" s="3" t="e" cm="1">
        <f t="array" ref="Q1092">_xlfn.IFS(P1092&lt;200, "10", P1092&lt;400, "12", P1092&lt;600, "14", P1092&gt;600, "16")</f>
        <v>#DIV/0!</v>
      </c>
      <c r="R1092" s="75">
        <f t="shared" si="176"/>
        <v>0</v>
      </c>
      <c r="S1092" s="75" t="e">
        <f t="shared" si="177"/>
        <v>#DIV/0!</v>
      </c>
      <c r="U1092" s="306" t="e">
        <f t="shared" si="178"/>
        <v>#DIV/0!</v>
      </c>
    </row>
    <row r="1093" spans="4:21" x14ac:dyDescent="0.35">
      <c r="D1093" s="3"/>
      <c r="G1093" s="3" t="s">
        <v>87</v>
      </c>
      <c r="M1093" s="3"/>
      <c r="N1093" s="356" t="e" cm="1">
        <f t="array" ref="N1093">_xlfn.IFS(I1093="AEX",H1093/400,I1093="RP",H1093/200)</f>
        <v>#N/A</v>
      </c>
      <c r="P1093" s="75" t="e">
        <f t="shared" si="175"/>
        <v>#DIV/0!</v>
      </c>
      <c r="Q1093" s="3" t="e" cm="1">
        <f t="array" ref="Q1093">_xlfn.IFS(P1093&lt;200, "10", P1093&lt;400, "12", P1093&lt;600, "14", P1093&gt;600, "16")</f>
        <v>#DIV/0!</v>
      </c>
      <c r="R1093" s="75">
        <f t="shared" si="176"/>
        <v>0</v>
      </c>
      <c r="S1093" s="75" t="e">
        <f t="shared" si="177"/>
        <v>#DIV/0!</v>
      </c>
      <c r="U1093" s="306" t="e">
        <f t="shared" si="178"/>
        <v>#DIV/0!</v>
      </c>
    </row>
    <row r="1094" spans="4:21" x14ac:dyDescent="0.35">
      <c r="D1094" s="3"/>
      <c r="G1094" s="3" t="s">
        <v>87</v>
      </c>
      <c r="M1094" s="3"/>
      <c r="N1094" s="356" t="e" cm="1">
        <f t="array" ref="N1094">_xlfn.IFS(I1094="AEX",H1094/400,I1094="RP",H1094/200)</f>
        <v>#N/A</v>
      </c>
      <c r="P1094" s="75" t="e">
        <f t="shared" si="175"/>
        <v>#DIV/0!</v>
      </c>
      <c r="Q1094" s="3" t="e" cm="1">
        <f t="array" ref="Q1094">_xlfn.IFS(P1094&lt;200, "10", P1094&lt;400, "12", P1094&lt;600, "14", P1094&gt;600, "16")</f>
        <v>#DIV/0!</v>
      </c>
      <c r="R1094" s="75">
        <f t="shared" si="176"/>
        <v>0</v>
      </c>
      <c r="S1094" s="75" t="e">
        <f t="shared" si="177"/>
        <v>#DIV/0!</v>
      </c>
      <c r="U1094" s="306" t="e">
        <f t="shared" si="178"/>
        <v>#DIV/0!</v>
      </c>
    </row>
    <row r="1095" spans="4:21" x14ac:dyDescent="0.35">
      <c r="D1095" s="3"/>
      <c r="G1095" s="3" t="s">
        <v>87</v>
      </c>
      <c r="M1095" s="3"/>
      <c r="N1095" s="356" t="e" cm="1">
        <f t="array" ref="N1095">_xlfn.IFS(I1095="AEX",H1095/400,I1095="RP",H1095/200)</f>
        <v>#N/A</v>
      </c>
      <c r="P1095" s="75" t="e">
        <f t="shared" si="175"/>
        <v>#DIV/0!</v>
      </c>
      <c r="Q1095" s="3" t="e" cm="1">
        <f t="array" ref="Q1095">_xlfn.IFS(P1095&lt;200, "10", P1095&lt;400, "12", P1095&lt;600, "14", P1095&gt;600, "16")</f>
        <v>#DIV/0!</v>
      </c>
      <c r="R1095" s="75">
        <f t="shared" si="176"/>
        <v>0</v>
      </c>
      <c r="S1095" s="75" t="e">
        <f t="shared" si="177"/>
        <v>#DIV/0!</v>
      </c>
      <c r="U1095" s="306" t="e">
        <f t="shared" si="178"/>
        <v>#DIV/0!</v>
      </c>
    </row>
    <row r="1096" spans="4:21" x14ac:dyDescent="0.35">
      <c r="D1096" s="3"/>
      <c r="G1096" s="3" t="s">
        <v>87</v>
      </c>
      <c r="M1096" s="3"/>
      <c r="N1096" s="356" t="e" cm="1">
        <f t="array" ref="N1096">_xlfn.IFS(I1096="AEX",H1096/400,I1096="RP",H1096/200)</f>
        <v>#N/A</v>
      </c>
      <c r="P1096" s="75" t="e">
        <f t="shared" si="175"/>
        <v>#DIV/0!</v>
      </c>
      <c r="Q1096" s="3" t="e" cm="1">
        <f t="array" ref="Q1096">_xlfn.IFS(P1096&lt;200, "10", P1096&lt;400, "12", P1096&lt;600, "14", P1096&gt;600, "16")</f>
        <v>#DIV/0!</v>
      </c>
      <c r="R1096" s="75">
        <f t="shared" si="176"/>
        <v>0</v>
      </c>
      <c r="S1096" s="75" t="e">
        <f t="shared" si="177"/>
        <v>#DIV/0!</v>
      </c>
      <c r="U1096" s="306" t="e">
        <f t="shared" si="178"/>
        <v>#DIV/0!</v>
      </c>
    </row>
    <row r="1097" spans="4:21" x14ac:dyDescent="0.35">
      <c r="D1097" s="3"/>
      <c r="G1097" s="3" t="s">
        <v>87</v>
      </c>
      <c r="M1097" s="3"/>
      <c r="N1097" s="356" t="e" cm="1">
        <f t="array" ref="N1097">_xlfn.IFS(I1097="AEX",H1097/400,I1097="RP",H1097/200)</f>
        <v>#N/A</v>
      </c>
      <c r="P1097" s="75" t="e">
        <f t="shared" si="175"/>
        <v>#DIV/0!</v>
      </c>
      <c r="Q1097" s="3" t="e" cm="1">
        <f t="array" ref="Q1097">_xlfn.IFS(P1097&lt;200, "10", P1097&lt;400, "12", P1097&lt;600, "14", P1097&gt;600, "16")</f>
        <v>#DIV/0!</v>
      </c>
      <c r="R1097" s="75">
        <f t="shared" si="176"/>
        <v>0</v>
      </c>
      <c r="S1097" s="75" t="e">
        <f t="shared" si="177"/>
        <v>#DIV/0!</v>
      </c>
      <c r="U1097" s="306" t="e">
        <f t="shared" si="178"/>
        <v>#DIV/0!</v>
      </c>
    </row>
    <row r="1098" spans="4:21" x14ac:dyDescent="0.35">
      <c r="D1098" s="3"/>
      <c r="G1098" s="3" t="s">
        <v>87</v>
      </c>
      <c r="M1098" s="3"/>
      <c r="N1098" s="356" t="e" cm="1">
        <f t="array" ref="N1098">_xlfn.IFS(I1098="AEX",H1098/400,I1098="RP",H1098/200)</f>
        <v>#N/A</v>
      </c>
      <c r="P1098" s="75" t="e">
        <f t="shared" si="175"/>
        <v>#DIV/0!</v>
      </c>
      <c r="Q1098" s="3" t="e" cm="1">
        <f t="array" ref="Q1098">_xlfn.IFS(P1098&lt;200, "10", P1098&lt;400, "12", P1098&lt;600, "14", P1098&gt;600, "16")</f>
        <v>#DIV/0!</v>
      </c>
      <c r="R1098" s="75">
        <f t="shared" si="176"/>
        <v>0</v>
      </c>
      <c r="S1098" s="75" t="e">
        <f t="shared" si="177"/>
        <v>#DIV/0!</v>
      </c>
      <c r="U1098" s="306" t="e">
        <f t="shared" si="178"/>
        <v>#DIV/0!</v>
      </c>
    </row>
    <row r="1099" spans="4:21" x14ac:dyDescent="0.35">
      <c r="D1099" s="3"/>
      <c r="G1099" s="3" t="s">
        <v>87</v>
      </c>
      <c r="M1099" s="3"/>
      <c r="N1099" s="356" t="e" cm="1">
        <f t="array" ref="N1099">_xlfn.IFS(I1099="AEX",H1099/400,I1099="RP",H1099/200)</f>
        <v>#N/A</v>
      </c>
      <c r="P1099" s="75" t="e">
        <f t="shared" si="175"/>
        <v>#DIV/0!</v>
      </c>
      <c r="Q1099" s="3" t="e" cm="1">
        <f t="array" ref="Q1099">_xlfn.IFS(P1099&lt;200, "10", P1099&lt;400, "12", P1099&lt;600, "14", P1099&gt;600, "16")</f>
        <v>#DIV/0!</v>
      </c>
      <c r="R1099" s="75">
        <f t="shared" si="176"/>
        <v>0</v>
      </c>
      <c r="S1099" s="75" t="e">
        <f t="shared" si="177"/>
        <v>#DIV/0!</v>
      </c>
      <c r="U1099" s="306" t="e">
        <f t="shared" si="178"/>
        <v>#DIV/0!</v>
      </c>
    </row>
    <row r="1100" spans="4:21" x14ac:dyDescent="0.35">
      <c r="D1100" s="3"/>
      <c r="G1100" s="3" t="s">
        <v>87</v>
      </c>
      <c r="M1100" s="3"/>
      <c r="N1100" s="356" t="e" cm="1">
        <f t="array" ref="N1100">_xlfn.IFS(I1100="AEX",H1100/400,I1100="RP",H1100/200)</f>
        <v>#N/A</v>
      </c>
      <c r="P1100" s="75" t="e">
        <f t="shared" si="175"/>
        <v>#DIV/0!</v>
      </c>
      <c r="Q1100" s="3" t="e" cm="1">
        <f t="array" ref="Q1100">_xlfn.IFS(P1100&lt;200, "10", P1100&lt;400, "12", P1100&lt;600, "14", P1100&gt;600, "16")</f>
        <v>#DIV/0!</v>
      </c>
      <c r="R1100" s="75">
        <f t="shared" si="176"/>
        <v>0</v>
      </c>
      <c r="S1100" s="75" t="e">
        <f t="shared" si="177"/>
        <v>#DIV/0!</v>
      </c>
      <c r="U1100" s="306" t="e">
        <f t="shared" si="178"/>
        <v>#DIV/0!</v>
      </c>
    </row>
    <row r="1101" spans="4:21" x14ac:dyDescent="0.35">
      <c r="D1101" s="3"/>
      <c r="G1101" s="3" t="s">
        <v>87</v>
      </c>
      <c r="M1101" s="3"/>
      <c r="N1101" s="356" t="e" cm="1">
        <f t="array" ref="N1101">_xlfn.IFS(I1101="AEX",H1101/400,I1101="RP",H1101/200)</f>
        <v>#N/A</v>
      </c>
      <c r="P1101" s="75" t="e">
        <f t="shared" si="175"/>
        <v>#DIV/0!</v>
      </c>
      <c r="Q1101" s="3" t="e" cm="1">
        <f t="array" ref="Q1101">_xlfn.IFS(P1101&lt;200, "10", P1101&lt;400, "12", P1101&lt;600, "14", P1101&gt;600, "16")</f>
        <v>#DIV/0!</v>
      </c>
      <c r="R1101" s="75">
        <f t="shared" si="176"/>
        <v>0</v>
      </c>
      <c r="S1101" s="75" t="e">
        <f t="shared" si="177"/>
        <v>#DIV/0!</v>
      </c>
      <c r="U1101" s="306" t="e">
        <f t="shared" si="178"/>
        <v>#DIV/0!</v>
      </c>
    </row>
    <row r="1102" spans="4:21" x14ac:dyDescent="0.35">
      <c r="D1102" s="3"/>
      <c r="G1102" s="3" t="s">
        <v>87</v>
      </c>
      <c r="M1102" s="3"/>
      <c r="N1102" s="356" t="e" cm="1">
        <f t="array" ref="N1102">_xlfn.IFS(I1102="AEX",H1102/400,I1102="RP",H1102/200)</f>
        <v>#N/A</v>
      </c>
      <c r="P1102" s="75" t="e">
        <f t="shared" si="175"/>
        <v>#DIV/0!</v>
      </c>
      <c r="Q1102" s="3" t="e" cm="1">
        <f t="array" ref="Q1102">_xlfn.IFS(P1102&lt;200, "10", P1102&lt;400, "12", P1102&lt;600, "14", P1102&gt;600, "16")</f>
        <v>#DIV/0!</v>
      </c>
      <c r="R1102" s="75">
        <f t="shared" si="176"/>
        <v>0</v>
      </c>
      <c r="S1102" s="75" t="e">
        <f t="shared" si="177"/>
        <v>#DIV/0!</v>
      </c>
      <c r="U1102" s="306" t="e">
        <f t="shared" si="178"/>
        <v>#DIV/0!</v>
      </c>
    </row>
    <row r="1103" spans="4:21" x14ac:dyDescent="0.35">
      <c r="D1103" s="3"/>
      <c r="G1103" s="3" t="s">
        <v>87</v>
      </c>
      <c r="M1103" s="3"/>
      <c r="N1103" s="356" t="e" cm="1">
        <f t="array" ref="N1103">_xlfn.IFS(I1103="AEX",H1103/400,I1103="RP",H1103/200)</f>
        <v>#N/A</v>
      </c>
      <c r="P1103" s="75" t="e">
        <f t="shared" si="175"/>
        <v>#DIV/0!</v>
      </c>
      <c r="Q1103" s="3" t="e" cm="1">
        <f t="array" ref="Q1103">_xlfn.IFS(P1103&lt;200, "10", P1103&lt;400, "12", P1103&lt;600, "14", P1103&gt;600, "16")</f>
        <v>#DIV/0!</v>
      </c>
      <c r="R1103" s="75">
        <f t="shared" si="176"/>
        <v>0</v>
      </c>
      <c r="S1103" s="75" t="e">
        <f t="shared" si="177"/>
        <v>#DIV/0!</v>
      </c>
      <c r="U1103" s="306" t="e">
        <f t="shared" si="178"/>
        <v>#DIV/0!</v>
      </c>
    </row>
    <row r="1104" spans="4:21" x14ac:dyDescent="0.35">
      <c r="D1104" s="3"/>
      <c r="G1104" s="3" t="s">
        <v>87</v>
      </c>
      <c r="M1104" s="3"/>
      <c r="N1104" s="356" t="e" cm="1">
        <f t="array" ref="N1104">_xlfn.IFS(I1104="AEX",H1104/400,I1104="RP",H1104/200)</f>
        <v>#N/A</v>
      </c>
      <c r="P1104" s="75" t="e">
        <f t="shared" si="175"/>
        <v>#DIV/0!</v>
      </c>
      <c r="Q1104" s="3" t="e" cm="1">
        <f t="array" ref="Q1104">_xlfn.IFS(P1104&lt;200, "10", P1104&lt;400, "12", P1104&lt;600, "14", P1104&gt;600, "16")</f>
        <v>#DIV/0!</v>
      </c>
      <c r="R1104" s="75">
        <f t="shared" si="176"/>
        <v>0</v>
      </c>
      <c r="S1104" s="75" t="e">
        <f t="shared" si="177"/>
        <v>#DIV/0!</v>
      </c>
      <c r="U1104" s="306" t="e">
        <f t="shared" si="178"/>
        <v>#DIV/0!</v>
      </c>
    </row>
    <row r="1105" spans="4:21" x14ac:dyDescent="0.35">
      <c r="D1105" s="3"/>
      <c r="G1105" s="3" t="s">
        <v>87</v>
      </c>
      <c r="M1105" s="3"/>
      <c r="N1105" s="356" t="e" cm="1">
        <f t="array" ref="N1105">_xlfn.IFS(I1105="AEX",H1105/400,I1105="RP",H1105/200)</f>
        <v>#N/A</v>
      </c>
      <c r="P1105" s="75" t="e">
        <f t="shared" si="175"/>
        <v>#DIV/0!</v>
      </c>
      <c r="Q1105" s="3" t="e" cm="1">
        <f t="array" ref="Q1105">_xlfn.IFS(P1105&lt;200, "10", P1105&lt;400, "12", P1105&lt;600, "14", P1105&gt;600, "16")</f>
        <v>#DIV/0!</v>
      </c>
      <c r="R1105" s="75">
        <f t="shared" si="176"/>
        <v>0</v>
      </c>
      <c r="S1105" s="75" t="e">
        <f t="shared" si="177"/>
        <v>#DIV/0!</v>
      </c>
      <c r="U1105" s="306" t="e">
        <f t="shared" si="178"/>
        <v>#DIV/0!</v>
      </c>
    </row>
    <row r="1106" spans="4:21" x14ac:dyDescent="0.35">
      <c r="D1106" s="3"/>
      <c r="G1106" s="3" t="s">
        <v>87</v>
      </c>
      <c r="M1106" s="3"/>
      <c r="N1106" s="356" t="e" cm="1">
        <f t="array" ref="N1106">_xlfn.IFS(I1106="AEX",H1106/400,I1106="RP",H1106/200)</f>
        <v>#N/A</v>
      </c>
      <c r="P1106" s="75" t="e">
        <f t="shared" si="175"/>
        <v>#DIV/0!</v>
      </c>
      <c r="Q1106" s="3" t="e" cm="1">
        <f t="array" ref="Q1106">_xlfn.IFS(P1106&lt;200, "10", P1106&lt;400, "12", P1106&lt;600, "14", P1106&gt;600, "16")</f>
        <v>#DIV/0!</v>
      </c>
      <c r="R1106" s="75">
        <f t="shared" si="176"/>
        <v>0</v>
      </c>
      <c r="S1106" s="75" t="e">
        <f t="shared" si="177"/>
        <v>#DIV/0!</v>
      </c>
      <c r="U1106" s="306" t="e">
        <f t="shared" si="178"/>
        <v>#DIV/0!</v>
      </c>
    </row>
    <row r="1107" spans="4:21" x14ac:dyDescent="0.35">
      <c r="D1107" s="3"/>
      <c r="G1107" s="3" t="s">
        <v>87</v>
      </c>
      <c r="M1107" s="3"/>
      <c r="N1107" s="356" t="e" cm="1">
        <f t="array" ref="N1107">_xlfn.IFS(I1107="AEX",H1107/400,I1107="RP",H1107/200)</f>
        <v>#N/A</v>
      </c>
      <c r="P1107" s="75" t="e">
        <f t="shared" si="175"/>
        <v>#DIV/0!</v>
      </c>
      <c r="Q1107" s="3" t="e" cm="1">
        <f t="array" ref="Q1107">_xlfn.IFS(P1107&lt;200, "10", P1107&lt;400, "12", P1107&lt;600, "14", P1107&gt;600, "16")</f>
        <v>#DIV/0!</v>
      </c>
      <c r="R1107" s="75">
        <f t="shared" si="176"/>
        <v>0</v>
      </c>
      <c r="S1107" s="75" t="e">
        <f t="shared" si="177"/>
        <v>#DIV/0!</v>
      </c>
      <c r="U1107" s="306" t="e">
        <f t="shared" si="178"/>
        <v>#DIV/0!</v>
      </c>
    </row>
    <row r="1108" spans="4:21" x14ac:dyDescent="0.35">
      <c r="D1108" s="3"/>
      <c r="G1108" s="3" t="s">
        <v>87</v>
      </c>
      <c r="M1108" s="3"/>
      <c r="N1108" s="356" t="e" cm="1">
        <f t="array" ref="N1108">_xlfn.IFS(I1108="AEX",H1108/400,I1108="RP",H1108/200)</f>
        <v>#N/A</v>
      </c>
      <c r="P1108" s="75" t="e">
        <f t="shared" si="175"/>
        <v>#DIV/0!</v>
      </c>
      <c r="Q1108" s="3" t="e" cm="1">
        <f t="array" ref="Q1108">_xlfn.IFS(P1108&lt;200, "10", P1108&lt;400, "12", P1108&lt;600, "14", P1108&gt;600, "16")</f>
        <v>#DIV/0!</v>
      </c>
      <c r="R1108" s="75">
        <f t="shared" si="176"/>
        <v>0</v>
      </c>
      <c r="S1108" s="75" t="e">
        <f t="shared" si="177"/>
        <v>#DIV/0!</v>
      </c>
      <c r="U1108" s="306" t="e">
        <f t="shared" si="178"/>
        <v>#DIV/0!</v>
      </c>
    </row>
    <row r="1109" spans="4:21" x14ac:dyDescent="0.35">
      <c r="D1109" s="3"/>
      <c r="G1109" s="3" t="s">
        <v>87</v>
      </c>
      <c r="M1109" s="3"/>
      <c r="N1109" s="356" t="e" cm="1">
        <f t="array" ref="N1109">_xlfn.IFS(I1109="AEX",H1109/400,I1109="RP",H1109/200)</f>
        <v>#N/A</v>
      </c>
      <c r="P1109" s="75" t="e">
        <f t="shared" si="175"/>
        <v>#DIV/0!</v>
      </c>
      <c r="Q1109" s="3" t="e" cm="1">
        <f t="array" ref="Q1109">_xlfn.IFS(P1109&lt;200, "10", P1109&lt;400, "12", P1109&lt;600, "14", P1109&gt;600, "16")</f>
        <v>#DIV/0!</v>
      </c>
      <c r="R1109" s="75">
        <f t="shared" si="176"/>
        <v>0</v>
      </c>
      <c r="S1109" s="75" t="e">
        <f t="shared" si="177"/>
        <v>#DIV/0!</v>
      </c>
      <c r="U1109" s="306" t="e">
        <f t="shared" si="178"/>
        <v>#DIV/0!</v>
      </c>
    </row>
    <row r="1110" spans="4:21" x14ac:dyDescent="0.35">
      <c r="D1110" s="3"/>
      <c r="G1110" s="3" t="s">
        <v>87</v>
      </c>
      <c r="M1110" s="3"/>
      <c r="N1110" s="356" t="e" cm="1">
        <f t="array" ref="N1110">_xlfn.IFS(I1110="AEX",H1110/400,I1110="RP",H1110/200)</f>
        <v>#N/A</v>
      </c>
      <c r="P1110" s="75" t="e">
        <f t="shared" si="175"/>
        <v>#DIV/0!</v>
      </c>
      <c r="Q1110" s="3" t="e" cm="1">
        <f t="array" ref="Q1110">_xlfn.IFS(P1110&lt;200, "10", P1110&lt;400, "12", P1110&lt;600, "14", P1110&gt;600, "16")</f>
        <v>#DIV/0!</v>
      </c>
      <c r="R1110" s="75">
        <f t="shared" si="176"/>
        <v>0</v>
      </c>
      <c r="S1110" s="75" t="e">
        <f t="shared" si="177"/>
        <v>#DIV/0!</v>
      </c>
      <c r="U1110" s="306" t="e">
        <f t="shared" si="178"/>
        <v>#DIV/0!</v>
      </c>
    </row>
    <row r="1111" spans="4:21" x14ac:dyDescent="0.35">
      <c r="D1111" s="3"/>
      <c r="G1111" s="3" t="s">
        <v>87</v>
      </c>
      <c r="M1111" s="3"/>
      <c r="N1111" s="356" t="e" cm="1">
        <f t="array" ref="N1111">_xlfn.IFS(I1111="AEX",H1111/400,I1111="RP",H1111/200)</f>
        <v>#N/A</v>
      </c>
      <c r="P1111" s="75" t="e">
        <f t="shared" si="175"/>
        <v>#DIV/0!</v>
      </c>
      <c r="Q1111" s="3" t="e" cm="1">
        <f t="array" ref="Q1111">_xlfn.IFS(P1111&lt;200, "10", P1111&lt;400, "12", P1111&lt;600, "14", P1111&gt;600, "16")</f>
        <v>#DIV/0!</v>
      </c>
      <c r="R1111" s="75">
        <f t="shared" si="176"/>
        <v>0</v>
      </c>
      <c r="S1111" s="75" t="e">
        <f t="shared" si="177"/>
        <v>#DIV/0!</v>
      </c>
      <c r="U1111" s="306" t="e">
        <f t="shared" si="178"/>
        <v>#DIV/0!</v>
      </c>
    </row>
    <row r="1112" spans="4:21" x14ac:dyDescent="0.35">
      <c r="D1112" s="3"/>
      <c r="G1112" s="3" t="s">
        <v>87</v>
      </c>
      <c r="M1112" s="3"/>
      <c r="N1112" s="356" t="e" cm="1">
        <f t="array" ref="N1112">_xlfn.IFS(I1112="AEX",H1112/400,I1112="RP",H1112/200)</f>
        <v>#N/A</v>
      </c>
      <c r="P1112" s="75" t="e">
        <f t="shared" si="175"/>
        <v>#DIV/0!</v>
      </c>
      <c r="Q1112" s="3" t="e" cm="1">
        <f t="array" ref="Q1112">_xlfn.IFS(P1112&lt;200, "10", P1112&lt;400, "12", P1112&lt;600, "14", P1112&gt;600, "16")</f>
        <v>#DIV/0!</v>
      </c>
      <c r="R1112" s="75">
        <f t="shared" si="176"/>
        <v>0</v>
      </c>
      <c r="S1112" s="75" t="e">
        <f t="shared" si="177"/>
        <v>#DIV/0!</v>
      </c>
      <c r="U1112" s="306" t="e">
        <f t="shared" si="178"/>
        <v>#DIV/0!</v>
      </c>
    </row>
    <row r="1113" spans="4:21" x14ac:dyDescent="0.35">
      <c r="D1113" s="3"/>
      <c r="G1113" s="3" t="s">
        <v>87</v>
      </c>
      <c r="M1113" s="3"/>
      <c r="N1113" s="356" t="e" cm="1">
        <f t="array" ref="N1113">_xlfn.IFS(I1113="AEX",H1113/400,I1113="RP",H1113/200)</f>
        <v>#N/A</v>
      </c>
      <c r="P1113" s="75" t="e">
        <f t="shared" si="175"/>
        <v>#DIV/0!</v>
      </c>
      <c r="Q1113" s="3" t="e" cm="1">
        <f t="array" ref="Q1113">_xlfn.IFS(P1113&lt;200, "10", P1113&lt;400, "12", P1113&lt;600, "14", P1113&gt;600, "16")</f>
        <v>#DIV/0!</v>
      </c>
      <c r="R1113" s="75">
        <f t="shared" si="176"/>
        <v>0</v>
      </c>
      <c r="S1113" s="75" t="e">
        <f t="shared" si="177"/>
        <v>#DIV/0!</v>
      </c>
      <c r="U1113" s="306" t="e">
        <f t="shared" si="178"/>
        <v>#DIV/0!</v>
      </c>
    </row>
    <row r="1114" spans="4:21" x14ac:dyDescent="0.35">
      <c r="D1114" s="3"/>
      <c r="G1114" s="3" t="s">
        <v>87</v>
      </c>
      <c r="M1114" s="3"/>
      <c r="N1114" s="356" t="e" cm="1">
        <f t="array" ref="N1114">_xlfn.IFS(I1114="AEX",H1114/400,I1114="RP",H1114/200)</f>
        <v>#N/A</v>
      </c>
      <c r="P1114" s="75" t="e">
        <f t="shared" si="175"/>
        <v>#DIV/0!</v>
      </c>
      <c r="Q1114" s="3" t="e" cm="1">
        <f t="array" ref="Q1114">_xlfn.IFS(P1114&lt;200, "10", P1114&lt;400, "12", P1114&lt;600, "14", P1114&gt;600, "16")</f>
        <v>#DIV/0!</v>
      </c>
      <c r="R1114" s="75">
        <f t="shared" si="176"/>
        <v>0</v>
      </c>
      <c r="S1114" s="75" t="e">
        <f t="shared" si="177"/>
        <v>#DIV/0!</v>
      </c>
      <c r="U1114" s="306" t="e">
        <f t="shared" si="178"/>
        <v>#DIV/0!</v>
      </c>
    </row>
    <row r="1115" spans="4:21" x14ac:dyDescent="0.35">
      <c r="D1115" s="3"/>
      <c r="G1115" s="3" t="s">
        <v>87</v>
      </c>
      <c r="M1115" s="3"/>
      <c r="N1115" s="356" t="e" cm="1">
        <f t="array" ref="N1115">_xlfn.IFS(I1115="AEX",H1115/400,I1115="RP",H1115/200)</f>
        <v>#N/A</v>
      </c>
      <c r="P1115" s="75" t="e">
        <f t="shared" si="175"/>
        <v>#DIV/0!</v>
      </c>
      <c r="Q1115" s="3" t="e" cm="1">
        <f t="array" ref="Q1115">_xlfn.IFS(P1115&lt;200, "10", P1115&lt;400, "12", P1115&lt;600, "14", P1115&gt;600, "16")</f>
        <v>#DIV/0!</v>
      </c>
      <c r="R1115" s="75">
        <f t="shared" si="176"/>
        <v>0</v>
      </c>
      <c r="S1115" s="75" t="e">
        <f t="shared" si="177"/>
        <v>#DIV/0!</v>
      </c>
      <c r="U1115" s="306" t="e">
        <f t="shared" si="178"/>
        <v>#DIV/0!</v>
      </c>
    </row>
    <row r="1116" spans="4:21" x14ac:dyDescent="0.35">
      <c r="D1116" s="3"/>
      <c r="G1116" s="3" t="s">
        <v>87</v>
      </c>
      <c r="M1116" s="3"/>
      <c r="N1116" s="356" t="e" cm="1">
        <f t="array" ref="N1116">_xlfn.IFS(I1116="AEX",H1116/400,I1116="RP",H1116/200)</f>
        <v>#N/A</v>
      </c>
      <c r="P1116" s="75" t="e">
        <f t="shared" si="175"/>
        <v>#DIV/0!</v>
      </c>
      <c r="Q1116" s="3" t="e" cm="1">
        <f t="array" ref="Q1116">_xlfn.IFS(P1116&lt;200, "10", P1116&lt;400, "12", P1116&lt;600, "14", P1116&gt;600, "16")</f>
        <v>#DIV/0!</v>
      </c>
      <c r="R1116" s="75">
        <f t="shared" si="176"/>
        <v>0</v>
      </c>
      <c r="S1116" s="75" t="e">
        <f t="shared" si="177"/>
        <v>#DIV/0!</v>
      </c>
      <c r="U1116" s="306" t="e">
        <f t="shared" si="178"/>
        <v>#DIV/0!</v>
      </c>
    </row>
    <row r="1117" spans="4:21" x14ac:dyDescent="0.35">
      <c r="D1117" s="3"/>
      <c r="G1117" s="3" t="s">
        <v>87</v>
      </c>
      <c r="M1117" s="3"/>
      <c r="N1117" s="356" t="e" cm="1">
        <f t="array" ref="N1117">_xlfn.IFS(I1117="AEX",H1117/400,I1117="RP",H1117/200)</f>
        <v>#N/A</v>
      </c>
      <c r="P1117" s="75" t="e">
        <f t="shared" si="175"/>
        <v>#DIV/0!</v>
      </c>
      <c r="Q1117" s="3" t="e" cm="1">
        <f t="array" ref="Q1117">_xlfn.IFS(P1117&lt;200, "10", P1117&lt;400, "12", P1117&lt;600, "14", P1117&gt;600, "16")</f>
        <v>#DIV/0!</v>
      </c>
      <c r="R1117" s="75">
        <f t="shared" si="176"/>
        <v>0</v>
      </c>
      <c r="S1117" s="75" t="e">
        <f t="shared" si="177"/>
        <v>#DIV/0!</v>
      </c>
      <c r="U1117" s="306" t="e">
        <f t="shared" si="178"/>
        <v>#DIV/0!</v>
      </c>
    </row>
    <row r="1118" spans="4:21" x14ac:dyDescent="0.35">
      <c r="D1118" s="3"/>
      <c r="G1118" s="3" t="s">
        <v>87</v>
      </c>
      <c r="M1118" s="3"/>
      <c r="N1118" s="356" t="e" cm="1">
        <f t="array" ref="N1118">_xlfn.IFS(I1118="AEX",H1118/400,I1118="RP",H1118/200)</f>
        <v>#N/A</v>
      </c>
      <c r="P1118" s="75" t="e">
        <f t="shared" si="175"/>
        <v>#DIV/0!</v>
      </c>
      <c r="Q1118" s="3" t="e" cm="1">
        <f t="array" ref="Q1118">_xlfn.IFS(P1118&lt;200, "10", P1118&lt;400, "12", P1118&lt;600, "14", P1118&gt;600, "16")</f>
        <v>#DIV/0!</v>
      </c>
      <c r="R1118" s="75">
        <f t="shared" si="176"/>
        <v>0</v>
      </c>
      <c r="S1118" s="75" t="e">
        <f t="shared" si="177"/>
        <v>#DIV/0!</v>
      </c>
      <c r="U1118" s="306" t="e">
        <f t="shared" si="178"/>
        <v>#DIV/0!</v>
      </c>
    </row>
    <row r="1119" spans="4:21" x14ac:dyDescent="0.35">
      <c r="D1119" s="3"/>
      <c r="G1119" s="3" t="s">
        <v>87</v>
      </c>
      <c r="M1119" s="3"/>
      <c r="N1119" s="356" t="e" cm="1">
        <f t="array" ref="N1119">_xlfn.IFS(I1119="AEX",H1119/400,I1119="RP",H1119/200)</f>
        <v>#N/A</v>
      </c>
      <c r="P1119" s="75" t="e">
        <f t="shared" si="175"/>
        <v>#DIV/0!</v>
      </c>
      <c r="Q1119" s="3" t="e" cm="1">
        <f t="array" ref="Q1119">_xlfn.IFS(P1119&lt;200, "10", P1119&lt;400, "12", P1119&lt;600, "14", P1119&gt;600, "16")</f>
        <v>#DIV/0!</v>
      </c>
      <c r="R1119" s="75">
        <f t="shared" si="176"/>
        <v>0</v>
      </c>
      <c r="S1119" s="75" t="e">
        <f t="shared" si="177"/>
        <v>#DIV/0!</v>
      </c>
      <c r="U1119" s="306" t="e">
        <f t="shared" si="178"/>
        <v>#DIV/0!</v>
      </c>
    </row>
    <row r="1120" spans="4:21" x14ac:dyDescent="0.35">
      <c r="D1120" s="3"/>
      <c r="G1120" s="3" t="s">
        <v>87</v>
      </c>
      <c r="M1120" s="3"/>
      <c r="N1120" s="356" t="e" cm="1">
        <f t="array" ref="N1120">_xlfn.IFS(I1120="AEX",H1120/400,I1120="RP",H1120/200)</f>
        <v>#N/A</v>
      </c>
      <c r="P1120" s="75" t="e">
        <f t="shared" si="175"/>
        <v>#DIV/0!</v>
      </c>
      <c r="Q1120" s="3" t="e" cm="1">
        <f t="array" ref="Q1120">_xlfn.IFS(P1120&lt;200, "10", P1120&lt;400, "12", P1120&lt;600, "14", P1120&gt;600, "16")</f>
        <v>#DIV/0!</v>
      </c>
      <c r="R1120" s="75">
        <f t="shared" si="176"/>
        <v>0</v>
      </c>
      <c r="S1120" s="75" t="e">
        <f t="shared" si="177"/>
        <v>#DIV/0!</v>
      </c>
      <c r="U1120" s="306" t="e">
        <f t="shared" si="178"/>
        <v>#DIV/0!</v>
      </c>
    </row>
    <row r="1121" spans="4:21" x14ac:dyDescent="0.35">
      <c r="D1121" s="3"/>
      <c r="G1121" s="3" t="s">
        <v>87</v>
      </c>
      <c r="M1121" s="3"/>
      <c r="N1121" s="356" t="e" cm="1">
        <f t="array" ref="N1121">_xlfn.IFS(I1121="AEX",H1121/400,I1121="RP",H1121/200)</f>
        <v>#N/A</v>
      </c>
      <c r="P1121" s="75" t="e">
        <f t="shared" si="175"/>
        <v>#DIV/0!</v>
      </c>
      <c r="Q1121" s="3" t="e" cm="1">
        <f t="array" ref="Q1121">_xlfn.IFS(P1121&lt;200, "10", P1121&lt;400, "12", P1121&lt;600, "14", P1121&gt;600, "16")</f>
        <v>#DIV/0!</v>
      </c>
      <c r="R1121" s="75">
        <f t="shared" si="176"/>
        <v>0</v>
      </c>
      <c r="S1121" s="75" t="e">
        <f t="shared" si="177"/>
        <v>#DIV/0!</v>
      </c>
      <c r="U1121" s="306" t="e">
        <f t="shared" si="178"/>
        <v>#DIV/0!</v>
      </c>
    </row>
    <row r="1122" spans="4:21" x14ac:dyDescent="0.35">
      <c r="D1122" s="3"/>
      <c r="G1122" s="3" t="s">
        <v>87</v>
      </c>
      <c r="M1122" s="3"/>
      <c r="N1122" s="356" t="e" cm="1">
        <f t="array" ref="N1122">_xlfn.IFS(I1122="AEX",H1122/400,I1122="RP",H1122/200)</f>
        <v>#N/A</v>
      </c>
      <c r="P1122" s="75" t="e">
        <f t="shared" si="175"/>
        <v>#DIV/0!</v>
      </c>
      <c r="Q1122" s="3" t="e" cm="1">
        <f t="array" ref="Q1122">_xlfn.IFS(P1122&lt;200, "10", P1122&lt;400, "12", P1122&lt;600, "14", P1122&gt;600, "16")</f>
        <v>#DIV/0!</v>
      </c>
      <c r="R1122" s="75">
        <f t="shared" si="176"/>
        <v>0</v>
      </c>
      <c r="S1122" s="75" t="e">
        <f t="shared" si="177"/>
        <v>#DIV/0!</v>
      </c>
      <c r="U1122" s="306" t="e">
        <f t="shared" si="178"/>
        <v>#DIV/0!</v>
      </c>
    </row>
    <row r="1123" spans="4:21" x14ac:dyDescent="0.35">
      <c r="D1123" s="3"/>
      <c r="G1123" s="3" t="s">
        <v>87</v>
      </c>
      <c r="M1123" s="3"/>
      <c r="N1123" s="356" t="e" cm="1">
        <f t="array" ref="N1123">_xlfn.IFS(I1123="AEX",H1123/400,I1123="RP",H1123/200)</f>
        <v>#N/A</v>
      </c>
      <c r="P1123" s="75" t="e">
        <f t="shared" si="175"/>
        <v>#DIV/0!</v>
      </c>
      <c r="Q1123" s="3" t="e" cm="1">
        <f t="array" ref="Q1123">_xlfn.IFS(P1123&lt;200, "10", P1123&lt;400, "12", P1123&lt;600, "14", P1123&gt;600, "16")</f>
        <v>#DIV/0!</v>
      </c>
      <c r="R1123" s="75">
        <f t="shared" si="176"/>
        <v>0</v>
      </c>
      <c r="S1123" s="75" t="e">
        <f t="shared" si="177"/>
        <v>#DIV/0!</v>
      </c>
      <c r="U1123" s="306" t="e">
        <f t="shared" si="178"/>
        <v>#DIV/0!</v>
      </c>
    </row>
    <row r="1124" spans="4:21" x14ac:dyDescent="0.35">
      <c r="D1124" s="3"/>
      <c r="G1124" s="3" t="s">
        <v>87</v>
      </c>
      <c r="M1124" s="3"/>
      <c r="N1124" s="356" t="e" cm="1">
        <f t="array" ref="N1124">_xlfn.IFS(I1124="AEX",H1124/400,I1124="RP",H1124/200)</f>
        <v>#N/A</v>
      </c>
      <c r="P1124" s="75" t="e">
        <f t="shared" si="175"/>
        <v>#DIV/0!</v>
      </c>
      <c r="Q1124" s="3" t="e" cm="1">
        <f t="array" ref="Q1124">_xlfn.IFS(P1124&lt;200, "10", P1124&lt;400, "12", P1124&lt;600, "14", P1124&gt;600, "16")</f>
        <v>#DIV/0!</v>
      </c>
      <c r="R1124" s="75">
        <f t="shared" si="176"/>
        <v>0</v>
      </c>
      <c r="S1124" s="75" t="e">
        <f t="shared" si="177"/>
        <v>#DIV/0!</v>
      </c>
      <c r="U1124" s="306" t="e">
        <f t="shared" si="178"/>
        <v>#DIV/0!</v>
      </c>
    </row>
    <row r="1125" spans="4:21" x14ac:dyDescent="0.35">
      <c r="D1125" s="3"/>
      <c r="G1125" s="3" t="s">
        <v>87</v>
      </c>
      <c r="M1125" s="3"/>
      <c r="N1125" s="356" t="e" cm="1">
        <f t="array" ref="N1125">_xlfn.IFS(I1125="AEX",H1125/400,I1125="RP",H1125/200)</f>
        <v>#N/A</v>
      </c>
      <c r="P1125" s="75" t="e">
        <f t="shared" si="175"/>
        <v>#DIV/0!</v>
      </c>
      <c r="Q1125" s="3" t="e" cm="1">
        <f t="array" ref="Q1125">_xlfn.IFS(P1125&lt;200, "10", P1125&lt;400, "12", P1125&lt;600, "14", P1125&gt;600, "16")</f>
        <v>#DIV/0!</v>
      </c>
      <c r="R1125" s="75">
        <f t="shared" si="176"/>
        <v>0</v>
      </c>
      <c r="S1125" s="75" t="e">
        <f t="shared" si="177"/>
        <v>#DIV/0!</v>
      </c>
      <c r="U1125" s="306" t="e">
        <f t="shared" si="178"/>
        <v>#DIV/0!</v>
      </c>
    </row>
    <row r="1126" spans="4:21" x14ac:dyDescent="0.35">
      <c r="D1126" s="3"/>
      <c r="G1126" s="3" t="s">
        <v>87</v>
      </c>
      <c r="M1126" s="3"/>
      <c r="N1126" s="356" t="e" cm="1">
        <f t="array" ref="N1126">_xlfn.IFS(I1126="AEX",H1126/400,I1126="RP",H1126/200)</f>
        <v>#N/A</v>
      </c>
      <c r="P1126" s="75" t="e">
        <f t="shared" si="175"/>
        <v>#DIV/0!</v>
      </c>
      <c r="Q1126" s="3" t="e" cm="1">
        <f t="array" ref="Q1126">_xlfn.IFS(P1126&lt;200, "10", P1126&lt;400, "12", P1126&lt;600, "14", P1126&gt;600, "16")</f>
        <v>#DIV/0!</v>
      </c>
      <c r="R1126" s="75">
        <f t="shared" si="176"/>
        <v>0</v>
      </c>
      <c r="S1126" s="75" t="e">
        <f t="shared" si="177"/>
        <v>#DIV/0!</v>
      </c>
      <c r="U1126" s="306" t="e">
        <f t="shared" si="178"/>
        <v>#DIV/0!</v>
      </c>
    </row>
    <row r="1127" spans="4:21" x14ac:dyDescent="0.35">
      <c r="D1127" s="3"/>
      <c r="G1127" s="3" t="s">
        <v>87</v>
      </c>
      <c r="M1127" s="3"/>
      <c r="N1127" s="356" t="e" cm="1">
        <f t="array" ref="N1127">_xlfn.IFS(I1127="AEX",H1127/400,I1127="RP",H1127/200)</f>
        <v>#N/A</v>
      </c>
      <c r="P1127" s="75" t="e">
        <f t="shared" si="175"/>
        <v>#DIV/0!</v>
      </c>
      <c r="Q1127" s="3" t="e" cm="1">
        <f t="array" ref="Q1127">_xlfn.IFS(P1127&lt;200, "10", P1127&lt;400, "12", P1127&lt;600, "14", P1127&gt;600, "16")</f>
        <v>#DIV/0!</v>
      </c>
      <c r="R1127" s="75">
        <f t="shared" si="176"/>
        <v>0</v>
      </c>
      <c r="S1127" s="75" t="e">
        <f t="shared" si="177"/>
        <v>#DIV/0!</v>
      </c>
      <c r="U1127" s="306" t="e">
        <f t="shared" si="178"/>
        <v>#DIV/0!</v>
      </c>
    </row>
    <row r="1128" spans="4:21" x14ac:dyDescent="0.35">
      <c r="D1128" s="3"/>
      <c r="G1128" s="3" t="s">
        <v>87</v>
      </c>
      <c r="M1128" s="3"/>
      <c r="N1128" s="356" t="e" cm="1">
        <f t="array" ref="N1128">_xlfn.IFS(I1128="AEX",H1128/400,I1128="RP",H1128/200)</f>
        <v>#N/A</v>
      </c>
      <c r="P1128" s="75" t="e">
        <f t="shared" si="175"/>
        <v>#DIV/0!</v>
      </c>
      <c r="Q1128" s="3" t="e" cm="1">
        <f t="array" ref="Q1128">_xlfn.IFS(P1128&lt;200, "10", P1128&lt;400, "12", P1128&lt;600, "14", P1128&gt;600, "16")</f>
        <v>#DIV/0!</v>
      </c>
      <c r="R1128" s="75">
        <f t="shared" si="176"/>
        <v>0</v>
      </c>
      <c r="S1128" s="75" t="e">
        <f t="shared" si="177"/>
        <v>#DIV/0!</v>
      </c>
      <c r="U1128" s="306" t="e">
        <f t="shared" si="178"/>
        <v>#DIV/0!</v>
      </c>
    </row>
    <row r="1129" spans="4:21" x14ac:dyDescent="0.35">
      <c r="D1129" s="3"/>
      <c r="G1129" s="3" t="s">
        <v>87</v>
      </c>
      <c r="M1129" s="3"/>
      <c r="N1129" s="356" t="e" cm="1">
        <f t="array" ref="N1129">_xlfn.IFS(I1129="AEX",H1129/400,I1129="RP",H1129/200)</f>
        <v>#N/A</v>
      </c>
      <c r="P1129" s="75" t="e">
        <f t="shared" si="175"/>
        <v>#DIV/0!</v>
      </c>
      <c r="Q1129" s="3" t="e" cm="1">
        <f t="array" ref="Q1129">_xlfn.IFS(P1129&lt;200, "10", P1129&lt;400, "12", P1129&lt;600, "14", P1129&gt;600, "16")</f>
        <v>#DIV/0!</v>
      </c>
      <c r="R1129" s="75">
        <f t="shared" si="176"/>
        <v>0</v>
      </c>
      <c r="S1129" s="75" t="e">
        <f t="shared" si="177"/>
        <v>#DIV/0!</v>
      </c>
      <c r="U1129" s="306" t="e">
        <f t="shared" si="178"/>
        <v>#DIV/0!</v>
      </c>
    </row>
    <row r="1130" spans="4:21" x14ac:dyDescent="0.35">
      <c r="D1130" s="3"/>
      <c r="G1130" s="3" t="s">
        <v>87</v>
      </c>
      <c r="M1130" s="3"/>
      <c r="N1130" s="356" t="e" cm="1">
        <f t="array" ref="N1130">_xlfn.IFS(I1130="AEX",H1130/400,I1130="RP",H1130/200)</f>
        <v>#N/A</v>
      </c>
      <c r="P1130" s="75" t="e">
        <f t="shared" ref="P1130:P1193" si="179">H1130/O1130</f>
        <v>#DIV/0!</v>
      </c>
      <c r="Q1130" s="3" t="e" cm="1">
        <f t="array" ref="Q1130">_xlfn.IFS(P1130&lt;200, "10", P1130&lt;400, "12", P1130&lt;600, "14", P1130&gt;600, "16")</f>
        <v>#DIV/0!</v>
      </c>
      <c r="R1130" s="75">
        <f t="shared" ref="R1130:R1193" si="180">IF(I1130="AEX",H1130*0.3/400,H1130*0.3/200)</f>
        <v>0</v>
      </c>
      <c r="S1130" s="75" t="e">
        <f t="shared" si="177"/>
        <v>#DIV/0!</v>
      </c>
      <c r="U1130" s="306" t="e">
        <f t="shared" si="178"/>
        <v>#DIV/0!</v>
      </c>
    </row>
    <row r="1131" spans="4:21" x14ac:dyDescent="0.35">
      <c r="D1131" s="3"/>
      <c r="G1131" s="3" t="s">
        <v>87</v>
      </c>
      <c r="M1131" s="3"/>
      <c r="N1131" s="356" t="e" cm="1">
        <f t="array" ref="N1131">_xlfn.IFS(I1131="AEX",H1131/400,I1131="RP",H1131/200)</f>
        <v>#N/A</v>
      </c>
      <c r="P1131" s="75" t="e">
        <f t="shared" si="179"/>
        <v>#DIV/0!</v>
      </c>
      <c r="Q1131" s="3" t="e" cm="1">
        <f t="array" ref="Q1131">_xlfn.IFS(P1131&lt;200, "10", P1131&lt;400, "12", P1131&lt;600, "14", P1131&gt;600, "16")</f>
        <v>#DIV/0!</v>
      </c>
      <c r="R1131" s="75">
        <f t="shared" si="180"/>
        <v>0</v>
      </c>
      <c r="S1131" s="75" t="e">
        <f t="shared" si="177"/>
        <v>#DIV/0!</v>
      </c>
      <c r="U1131" s="306" t="e">
        <f t="shared" si="178"/>
        <v>#DIV/0!</v>
      </c>
    </row>
    <row r="1132" spans="4:21" x14ac:dyDescent="0.35">
      <c r="D1132" s="3"/>
      <c r="G1132" s="3" t="s">
        <v>87</v>
      </c>
      <c r="M1132" s="3"/>
      <c r="N1132" s="356" t="e" cm="1">
        <f t="array" ref="N1132">_xlfn.IFS(I1132="AEX",H1132/400,I1132="RP",H1132/200)</f>
        <v>#N/A</v>
      </c>
      <c r="P1132" s="75" t="e">
        <f t="shared" si="179"/>
        <v>#DIV/0!</v>
      </c>
      <c r="Q1132" s="3" t="e" cm="1">
        <f t="array" ref="Q1132">_xlfn.IFS(P1132&lt;200, "10", P1132&lt;400, "12", P1132&lt;600, "14", P1132&gt;600, "16")</f>
        <v>#DIV/0!</v>
      </c>
      <c r="R1132" s="75">
        <f t="shared" si="180"/>
        <v>0</v>
      </c>
      <c r="S1132" s="75" t="e">
        <f t="shared" si="177"/>
        <v>#DIV/0!</v>
      </c>
      <c r="U1132" s="306" t="e">
        <f t="shared" si="178"/>
        <v>#DIV/0!</v>
      </c>
    </row>
    <row r="1133" spans="4:21" x14ac:dyDescent="0.35">
      <c r="D1133" s="3"/>
      <c r="G1133" s="3" t="s">
        <v>87</v>
      </c>
      <c r="M1133" s="3"/>
      <c r="N1133" s="356" t="e" cm="1">
        <f t="array" ref="N1133">_xlfn.IFS(I1133="AEX",H1133/400,I1133="RP",H1133/200)</f>
        <v>#N/A</v>
      </c>
      <c r="P1133" s="75" t="e">
        <f t="shared" si="179"/>
        <v>#DIV/0!</v>
      </c>
      <c r="Q1133" s="3" t="e" cm="1">
        <f t="array" ref="Q1133">_xlfn.IFS(P1133&lt;200, "10", P1133&lt;400, "12", P1133&lt;600, "14", P1133&gt;600, "16")</f>
        <v>#DIV/0!</v>
      </c>
      <c r="R1133" s="75">
        <f t="shared" si="180"/>
        <v>0</v>
      </c>
      <c r="S1133" s="75" t="e">
        <f t="shared" si="177"/>
        <v>#DIV/0!</v>
      </c>
      <c r="U1133" s="306" t="e">
        <f t="shared" si="178"/>
        <v>#DIV/0!</v>
      </c>
    </row>
    <row r="1134" spans="4:21" x14ac:dyDescent="0.35">
      <c r="D1134" s="3"/>
      <c r="G1134" s="3" t="s">
        <v>87</v>
      </c>
      <c r="M1134" s="3"/>
      <c r="N1134" s="356" t="e" cm="1">
        <f t="array" ref="N1134">_xlfn.IFS(I1134="AEX",H1134/400,I1134="RP",H1134/200)</f>
        <v>#N/A</v>
      </c>
      <c r="P1134" s="75" t="e">
        <f t="shared" si="179"/>
        <v>#DIV/0!</v>
      </c>
      <c r="Q1134" s="3" t="e" cm="1">
        <f t="array" ref="Q1134">_xlfn.IFS(P1134&lt;200, "10", P1134&lt;400, "12", P1134&lt;600, "14", P1134&gt;600, "16")</f>
        <v>#DIV/0!</v>
      </c>
      <c r="R1134" s="75">
        <f t="shared" si="180"/>
        <v>0</v>
      </c>
      <c r="S1134" s="75" t="e">
        <f t="shared" si="177"/>
        <v>#DIV/0!</v>
      </c>
      <c r="U1134" s="306" t="e">
        <f t="shared" si="178"/>
        <v>#DIV/0!</v>
      </c>
    </row>
    <row r="1135" spans="4:21" x14ac:dyDescent="0.35">
      <c r="D1135" s="3"/>
      <c r="G1135" s="3" t="s">
        <v>87</v>
      </c>
      <c r="M1135" s="3"/>
      <c r="N1135" s="356" t="e" cm="1">
        <f t="array" ref="N1135">_xlfn.IFS(I1135="AEX",H1135/400,I1135="RP",H1135/200)</f>
        <v>#N/A</v>
      </c>
      <c r="P1135" s="75" t="e">
        <f t="shared" si="179"/>
        <v>#DIV/0!</v>
      </c>
      <c r="Q1135" s="3" t="e" cm="1">
        <f t="array" ref="Q1135">_xlfn.IFS(P1135&lt;200, "10", P1135&lt;400, "12", P1135&lt;600, "14", P1135&gt;600, "16")</f>
        <v>#DIV/0!</v>
      </c>
      <c r="R1135" s="75">
        <f t="shared" si="180"/>
        <v>0</v>
      </c>
      <c r="S1135" s="75" t="e">
        <f t="shared" si="177"/>
        <v>#DIV/0!</v>
      </c>
      <c r="U1135" s="306" t="e">
        <f t="shared" si="178"/>
        <v>#DIV/0!</v>
      </c>
    </row>
    <row r="1136" spans="4:21" x14ac:dyDescent="0.35">
      <c r="D1136" s="3"/>
      <c r="G1136" s="3" t="s">
        <v>87</v>
      </c>
      <c r="M1136" s="3"/>
      <c r="N1136" s="356" t="e" cm="1">
        <f t="array" ref="N1136">_xlfn.IFS(I1136="AEX",H1136/400,I1136="RP",H1136/200)</f>
        <v>#N/A</v>
      </c>
      <c r="P1136" s="75" t="e">
        <f t="shared" si="179"/>
        <v>#DIV/0!</v>
      </c>
      <c r="Q1136" s="3" t="e" cm="1">
        <f t="array" ref="Q1136">_xlfn.IFS(P1136&lt;200, "10", P1136&lt;400, "12", P1136&lt;600, "14", P1136&gt;600, "16")</f>
        <v>#DIV/0!</v>
      </c>
      <c r="R1136" s="75">
        <f t="shared" si="180"/>
        <v>0</v>
      </c>
      <c r="S1136" s="75" t="e">
        <f t="shared" si="177"/>
        <v>#DIV/0!</v>
      </c>
      <c r="U1136" s="306" t="e">
        <f t="shared" si="178"/>
        <v>#DIV/0!</v>
      </c>
    </row>
    <row r="1137" spans="4:21" x14ac:dyDescent="0.35">
      <c r="D1137" s="3"/>
      <c r="G1137" s="3" t="s">
        <v>87</v>
      </c>
      <c r="M1137" s="3"/>
      <c r="N1137" s="356" t="e" cm="1">
        <f t="array" ref="N1137">_xlfn.IFS(I1137="AEX",H1137/400,I1137="RP",H1137/200)</f>
        <v>#N/A</v>
      </c>
      <c r="P1137" s="75" t="e">
        <f t="shared" si="179"/>
        <v>#DIV/0!</v>
      </c>
      <c r="Q1137" s="3" t="e" cm="1">
        <f t="array" ref="Q1137">_xlfn.IFS(P1137&lt;200, "10", P1137&lt;400, "12", P1137&lt;600, "14", P1137&gt;600, "16")</f>
        <v>#DIV/0!</v>
      </c>
      <c r="R1137" s="75">
        <f t="shared" si="180"/>
        <v>0</v>
      </c>
      <c r="S1137" s="75" t="e">
        <f t="shared" si="177"/>
        <v>#DIV/0!</v>
      </c>
      <c r="U1137" s="306" t="e">
        <f t="shared" si="178"/>
        <v>#DIV/0!</v>
      </c>
    </row>
    <row r="1138" spans="4:21" x14ac:dyDescent="0.35">
      <c r="D1138" s="3"/>
      <c r="G1138" s="3" t="s">
        <v>87</v>
      </c>
      <c r="M1138" s="3"/>
      <c r="N1138" s="356" t="e" cm="1">
        <f t="array" ref="N1138">_xlfn.IFS(I1138="AEX",H1138/400,I1138="RP",H1138/200)</f>
        <v>#N/A</v>
      </c>
      <c r="P1138" s="75" t="e">
        <f t="shared" si="179"/>
        <v>#DIV/0!</v>
      </c>
      <c r="Q1138" s="3" t="e" cm="1">
        <f t="array" ref="Q1138">_xlfn.IFS(P1138&lt;200, "10", P1138&lt;400, "12", P1138&lt;600, "14", P1138&gt;600, "16")</f>
        <v>#DIV/0!</v>
      </c>
      <c r="R1138" s="75">
        <f t="shared" si="180"/>
        <v>0</v>
      </c>
      <c r="S1138" s="75" t="e">
        <f t="shared" si="177"/>
        <v>#DIV/0!</v>
      </c>
      <c r="U1138" s="306" t="e">
        <f t="shared" si="178"/>
        <v>#DIV/0!</v>
      </c>
    </row>
    <row r="1139" spans="4:21" x14ac:dyDescent="0.35">
      <c r="D1139" s="3"/>
      <c r="G1139" s="3" t="s">
        <v>87</v>
      </c>
      <c r="M1139" s="3"/>
      <c r="N1139" s="356" t="e" cm="1">
        <f t="array" ref="N1139">_xlfn.IFS(I1139="AEX",H1139/400,I1139="RP",H1139/200)</f>
        <v>#N/A</v>
      </c>
      <c r="P1139" s="75" t="e">
        <f t="shared" si="179"/>
        <v>#DIV/0!</v>
      </c>
      <c r="Q1139" s="3" t="e" cm="1">
        <f t="array" ref="Q1139">_xlfn.IFS(P1139&lt;200, "10", P1139&lt;400, "12", P1139&lt;600, "14", P1139&gt;600, "16")</f>
        <v>#DIV/0!</v>
      </c>
      <c r="R1139" s="75">
        <f t="shared" si="180"/>
        <v>0</v>
      </c>
      <c r="S1139" s="75" t="e">
        <f t="shared" ref="S1139:S1202" si="181">R1139/O1139</f>
        <v>#DIV/0!</v>
      </c>
      <c r="U1139" s="306" t="e">
        <f t="shared" si="178"/>
        <v>#DIV/0!</v>
      </c>
    </row>
    <row r="1140" spans="4:21" x14ac:dyDescent="0.35">
      <c r="D1140" s="3"/>
      <c r="G1140" s="3" t="s">
        <v>87</v>
      </c>
      <c r="M1140" s="3"/>
      <c r="N1140" s="356" t="e" cm="1">
        <f t="array" ref="N1140">_xlfn.IFS(I1140="AEX",H1140/400,I1140="RP",H1140/200)</f>
        <v>#N/A</v>
      </c>
      <c r="P1140" s="75" t="e">
        <f t="shared" si="179"/>
        <v>#DIV/0!</v>
      </c>
      <c r="Q1140" s="3" t="e" cm="1">
        <f t="array" ref="Q1140">_xlfn.IFS(P1140&lt;200, "10", P1140&lt;400, "12", P1140&lt;600, "14", P1140&gt;600, "16")</f>
        <v>#DIV/0!</v>
      </c>
      <c r="R1140" s="75">
        <f t="shared" si="180"/>
        <v>0</v>
      </c>
      <c r="S1140" s="75" t="e">
        <f t="shared" si="181"/>
        <v>#DIV/0!</v>
      </c>
      <c r="U1140" s="306" t="e">
        <f t="shared" si="178"/>
        <v>#DIV/0!</v>
      </c>
    </row>
    <row r="1141" spans="4:21" x14ac:dyDescent="0.35">
      <c r="D1141" s="3"/>
      <c r="G1141" s="3" t="s">
        <v>87</v>
      </c>
      <c r="M1141" s="3"/>
      <c r="N1141" s="356" t="e" cm="1">
        <f t="array" ref="N1141">_xlfn.IFS(I1141="AEX",H1141/400,I1141="RP",H1141/200)</f>
        <v>#N/A</v>
      </c>
      <c r="P1141" s="75" t="e">
        <f t="shared" si="179"/>
        <v>#DIV/0!</v>
      </c>
      <c r="Q1141" s="3" t="e" cm="1">
        <f t="array" ref="Q1141">_xlfn.IFS(P1141&lt;200, "10", P1141&lt;400, "12", P1141&lt;600, "14", P1141&gt;600, "16")</f>
        <v>#DIV/0!</v>
      </c>
      <c r="R1141" s="75">
        <f t="shared" si="180"/>
        <v>0</v>
      </c>
      <c r="S1141" s="75" t="e">
        <f t="shared" si="181"/>
        <v>#DIV/0!</v>
      </c>
      <c r="U1141" s="306" t="e">
        <f t="shared" si="178"/>
        <v>#DIV/0!</v>
      </c>
    </row>
    <row r="1142" spans="4:21" x14ac:dyDescent="0.35">
      <c r="D1142" s="3"/>
      <c r="G1142" s="3" t="s">
        <v>87</v>
      </c>
      <c r="M1142" s="3"/>
      <c r="N1142" s="356" t="e" cm="1">
        <f t="array" ref="N1142">_xlfn.IFS(I1142="AEX",H1142/400,I1142="RP",H1142/200)</f>
        <v>#N/A</v>
      </c>
      <c r="P1142" s="75" t="e">
        <f t="shared" si="179"/>
        <v>#DIV/0!</v>
      </c>
      <c r="Q1142" s="3" t="e" cm="1">
        <f t="array" ref="Q1142">_xlfn.IFS(P1142&lt;200, "10", P1142&lt;400, "12", P1142&lt;600, "14", P1142&gt;600, "16")</f>
        <v>#DIV/0!</v>
      </c>
      <c r="R1142" s="75">
        <f t="shared" si="180"/>
        <v>0</v>
      </c>
      <c r="S1142" s="75" t="e">
        <f t="shared" si="181"/>
        <v>#DIV/0!</v>
      </c>
      <c r="U1142" s="306" t="e">
        <f t="shared" si="178"/>
        <v>#DIV/0!</v>
      </c>
    </row>
    <row r="1143" spans="4:21" x14ac:dyDescent="0.35">
      <c r="D1143" s="3"/>
      <c r="G1143" s="3" t="s">
        <v>87</v>
      </c>
      <c r="M1143" s="3"/>
      <c r="N1143" s="356" t="e" cm="1">
        <f t="array" ref="N1143">_xlfn.IFS(I1143="AEX",H1143/400,I1143="RP",H1143/200)</f>
        <v>#N/A</v>
      </c>
      <c r="P1143" s="75" t="e">
        <f t="shared" si="179"/>
        <v>#DIV/0!</v>
      </c>
      <c r="Q1143" s="3" t="e" cm="1">
        <f t="array" ref="Q1143">_xlfn.IFS(P1143&lt;200, "10", P1143&lt;400, "12", P1143&lt;600, "14", P1143&gt;600, "16")</f>
        <v>#DIV/0!</v>
      </c>
      <c r="R1143" s="75">
        <f t="shared" si="180"/>
        <v>0</v>
      </c>
      <c r="S1143" s="75" t="e">
        <f t="shared" si="181"/>
        <v>#DIV/0!</v>
      </c>
      <c r="U1143" s="306" t="e">
        <f t="shared" si="178"/>
        <v>#DIV/0!</v>
      </c>
    </row>
    <row r="1144" spans="4:21" x14ac:dyDescent="0.35">
      <c r="D1144" s="3"/>
      <c r="G1144" s="3" t="s">
        <v>87</v>
      </c>
      <c r="M1144" s="3"/>
      <c r="N1144" s="356" t="e" cm="1">
        <f t="array" ref="N1144">_xlfn.IFS(I1144="AEX",H1144/400,I1144="RP",H1144/200)</f>
        <v>#N/A</v>
      </c>
      <c r="P1144" s="75" t="e">
        <f t="shared" si="179"/>
        <v>#DIV/0!</v>
      </c>
      <c r="Q1144" s="3" t="e" cm="1">
        <f t="array" ref="Q1144">_xlfn.IFS(P1144&lt;200, "10", P1144&lt;400, "12", P1144&lt;600, "14", P1144&gt;600, "16")</f>
        <v>#DIV/0!</v>
      </c>
      <c r="R1144" s="75">
        <f t="shared" si="180"/>
        <v>0</v>
      </c>
      <c r="S1144" s="75" t="e">
        <f t="shared" si="181"/>
        <v>#DIV/0!</v>
      </c>
      <c r="U1144" s="306" t="e">
        <f t="shared" si="178"/>
        <v>#DIV/0!</v>
      </c>
    </row>
    <row r="1145" spans="4:21" x14ac:dyDescent="0.35">
      <c r="D1145" s="3"/>
      <c r="G1145" s="3" t="s">
        <v>87</v>
      </c>
      <c r="M1145" s="3"/>
      <c r="N1145" s="356" t="e" cm="1">
        <f t="array" ref="N1145">_xlfn.IFS(I1145="AEX",H1145/400,I1145="RP",H1145/200)</f>
        <v>#N/A</v>
      </c>
      <c r="P1145" s="75" t="e">
        <f t="shared" si="179"/>
        <v>#DIV/0!</v>
      </c>
      <c r="Q1145" s="3" t="e" cm="1">
        <f t="array" ref="Q1145">_xlfn.IFS(P1145&lt;200, "10", P1145&lt;400, "12", P1145&lt;600, "14", P1145&gt;600, "16")</f>
        <v>#DIV/0!</v>
      </c>
      <c r="R1145" s="75">
        <f t="shared" si="180"/>
        <v>0</v>
      </c>
      <c r="S1145" s="75" t="e">
        <f t="shared" si="181"/>
        <v>#DIV/0!</v>
      </c>
      <c r="U1145" s="306" t="e">
        <f t="shared" si="178"/>
        <v>#DIV/0!</v>
      </c>
    </row>
    <row r="1146" spans="4:21" x14ac:dyDescent="0.35">
      <c r="D1146" s="3"/>
      <c r="G1146" s="3" t="s">
        <v>87</v>
      </c>
      <c r="M1146" s="3"/>
      <c r="N1146" s="356" t="e" cm="1">
        <f t="array" ref="N1146">_xlfn.IFS(I1146="AEX",H1146/400,I1146="RP",H1146/200)</f>
        <v>#N/A</v>
      </c>
      <c r="P1146" s="75" t="e">
        <f t="shared" si="179"/>
        <v>#DIV/0!</v>
      </c>
      <c r="Q1146" s="3" t="e" cm="1">
        <f t="array" ref="Q1146">_xlfn.IFS(P1146&lt;200, "10", P1146&lt;400, "12", P1146&lt;600, "14", P1146&gt;600, "16")</f>
        <v>#DIV/0!</v>
      </c>
      <c r="R1146" s="75">
        <f t="shared" si="180"/>
        <v>0</v>
      </c>
      <c r="S1146" s="75" t="e">
        <f t="shared" si="181"/>
        <v>#DIV/0!</v>
      </c>
      <c r="U1146" s="306" t="e">
        <f t="shared" si="178"/>
        <v>#DIV/0!</v>
      </c>
    </row>
    <row r="1147" spans="4:21" x14ac:dyDescent="0.35">
      <c r="D1147" s="3"/>
      <c r="G1147" s="3" t="s">
        <v>87</v>
      </c>
      <c r="M1147" s="3"/>
      <c r="N1147" s="356" t="e" cm="1">
        <f t="array" ref="N1147">_xlfn.IFS(I1147="AEX",H1147/400,I1147="RP",H1147/200)</f>
        <v>#N/A</v>
      </c>
      <c r="P1147" s="75" t="e">
        <f t="shared" si="179"/>
        <v>#DIV/0!</v>
      </c>
      <c r="Q1147" s="3" t="e" cm="1">
        <f t="array" ref="Q1147">_xlfn.IFS(P1147&lt;200, "10", P1147&lt;400, "12", P1147&lt;600, "14", P1147&gt;600, "16")</f>
        <v>#DIV/0!</v>
      </c>
      <c r="R1147" s="75">
        <f t="shared" si="180"/>
        <v>0</v>
      </c>
      <c r="S1147" s="75" t="e">
        <f t="shared" si="181"/>
        <v>#DIV/0!</v>
      </c>
      <c r="U1147" s="306" t="e">
        <f t="shared" si="178"/>
        <v>#DIV/0!</v>
      </c>
    </row>
    <row r="1148" spans="4:21" x14ac:dyDescent="0.35">
      <c r="D1148" s="3"/>
      <c r="G1148" s="3" t="s">
        <v>87</v>
      </c>
      <c r="M1148" s="3"/>
      <c r="N1148" s="356" t="e" cm="1">
        <f t="array" ref="N1148">_xlfn.IFS(I1148="AEX",H1148/400,I1148="RP",H1148/200)</f>
        <v>#N/A</v>
      </c>
      <c r="P1148" s="75" t="e">
        <f t="shared" si="179"/>
        <v>#DIV/0!</v>
      </c>
      <c r="Q1148" s="3" t="e" cm="1">
        <f t="array" ref="Q1148">_xlfn.IFS(P1148&lt;200, "10", P1148&lt;400, "12", P1148&lt;600, "14", P1148&gt;600, "16")</f>
        <v>#DIV/0!</v>
      </c>
      <c r="R1148" s="75">
        <f t="shared" si="180"/>
        <v>0</v>
      </c>
      <c r="S1148" s="75" t="e">
        <f t="shared" si="181"/>
        <v>#DIV/0!</v>
      </c>
      <c r="U1148" s="306" t="e">
        <f t="shared" si="178"/>
        <v>#DIV/0!</v>
      </c>
    </row>
    <row r="1149" spans="4:21" x14ac:dyDescent="0.35">
      <c r="D1149" s="3"/>
      <c r="G1149" s="3" t="s">
        <v>87</v>
      </c>
      <c r="M1149" s="3"/>
      <c r="N1149" s="356" t="e" cm="1">
        <f t="array" ref="N1149">_xlfn.IFS(I1149="AEX",H1149/400,I1149="RP",H1149/200)</f>
        <v>#N/A</v>
      </c>
      <c r="P1149" s="75" t="e">
        <f t="shared" si="179"/>
        <v>#DIV/0!</v>
      </c>
      <c r="Q1149" s="3" t="e" cm="1">
        <f t="array" ref="Q1149">_xlfn.IFS(P1149&lt;200, "10", P1149&lt;400, "12", P1149&lt;600, "14", P1149&gt;600, "16")</f>
        <v>#DIV/0!</v>
      </c>
      <c r="R1149" s="75">
        <f t="shared" si="180"/>
        <v>0</v>
      </c>
      <c r="S1149" s="75" t="e">
        <f t="shared" si="181"/>
        <v>#DIV/0!</v>
      </c>
      <c r="U1149" s="306" t="e">
        <f t="shared" si="178"/>
        <v>#DIV/0!</v>
      </c>
    </row>
    <row r="1150" spans="4:21" x14ac:dyDescent="0.35">
      <c r="D1150" s="3"/>
      <c r="G1150" s="3" t="s">
        <v>87</v>
      </c>
      <c r="M1150" s="3"/>
      <c r="N1150" s="356" t="e" cm="1">
        <f t="array" ref="N1150">_xlfn.IFS(I1150="AEX",H1150/400,I1150="RP",H1150/200)</f>
        <v>#N/A</v>
      </c>
      <c r="P1150" s="75" t="e">
        <f t="shared" si="179"/>
        <v>#DIV/0!</v>
      </c>
      <c r="Q1150" s="3" t="e" cm="1">
        <f t="array" ref="Q1150">_xlfn.IFS(P1150&lt;200, "10", P1150&lt;400, "12", P1150&lt;600, "14", P1150&gt;600, "16")</f>
        <v>#DIV/0!</v>
      </c>
      <c r="R1150" s="75">
        <f t="shared" si="180"/>
        <v>0</v>
      </c>
      <c r="S1150" s="75" t="e">
        <f t="shared" si="181"/>
        <v>#DIV/0!</v>
      </c>
      <c r="U1150" s="306" t="e">
        <f t="shared" si="178"/>
        <v>#DIV/0!</v>
      </c>
    </row>
    <row r="1151" spans="4:21" x14ac:dyDescent="0.35">
      <c r="D1151" s="3"/>
      <c r="G1151" s="3" t="s">
        <v>87</v>
      </c>
      <c r="M1151" s="3"/>
      <c r="N1151" s="356" t="e" cm="1">
        <f t="array" ref="N1151">_xlfn.IFS(I1151="AEX",H1151/400,I1151="RP",H1151/200)</f>
        <v>#N/A</v>
      </c>
      <c r="P1151" s="75" t="e">
        <f t="shared" si="179"/>
        <v>#DIV/0!</v>
      </c>
      <c r="Q1151" s="3" t="e" cm="1">
        <f t="array" ref="Q1151">_xlfn.IFS(P1151&lt;200, "10", P1151&lt;400, "12", P1151&lt;600, "14", P1151&gt;600, "16")</f>
        <v>#DIV/0!</v>
      </c>
      <c r="R1151" s="75">
        <f t="shared" si="180"/>
        <v>0</v>
      </c>
      <c r="S1151" s="75" t="e">
        <f t="shared" si="181"/>
        <v>#DIV/0!</v>
      </c>
      <c r="U1151" s="306" t="e">
        <f t="shared" si="178"/>
        <v>#DIV/0!</v>
      </c>
    </row>
    <row r="1152" spans="4:21" x14ac:dyDescent="0.35">
      <c r="D1152" s="3"/>
      <c r="G1152" s="3" t="s">
        <v>87</v>
      </c>
      <c r="M1152" s="3"/>
      <c r="N1152" s="356" t="e" cm="1">
        <f t="array" ref="N1152">_xlfn.IFS(I1152="AEX",H1152/400,I1152="RP",H1152/200)</f>
        <v>#N/A</v>
      </c>
      <c r="P1152" s="75" t="e">
        <f t="shared" si="179"/>
        <v>#DIV/0!</v>
      </c>
      <c r="Q1152" s="3" t="e" cm="1">
        <f t="array" ref="Q1152">_xlfn.IFS(P1152&lt;200, "10", P1152&lt;400, "12", P1152&lt;600, "14", P1152&gt;600, "16")</f>
        <v>#DIV/0!</v>
      </c>
      <c r="R1152" s="75">
        <f t="shared" si="180"/>
        <v>0</v>
      </c>
      <c r="S1152" s="75" t="e">
        <f t="shared" si="181"/>
        <v>#DIV/0!</v>
      </c>
      <c r="U1152" s="306" t="e">
        <f t="shared" si="178"/>
        <v>#DIV/0!</v>
      </c>
    </row>
    <row r="1153" spans="4:21" x14ac:dyDescent="0.35">
      <c r="D1153" s="3"/>
      <c r="G1153" s="3" t="s">
        <v>87</v>
      </c>
      <c r="M1153" s="3"/>
      <c r="N1153" s="356" t="e" cm="1">
        <f t="array" ref="N1153">_xlfn.IFS(I1153="AEX",H1153/400,I1153="RP",H1153/200)</f>
        <v>#N/A</v>
      </c>
      <c r="P1153" s="75" t="e">
        <f t="shared" si="179"/>
        <v>#DIV/0!</v>
      </c>
      <c r="Q1153" s="3" t="e" cm="1">
        <f t="array" ref="Q1153">_xlfn.IFS(P1153&lt;200, "10", P1153&lt;400, "12", P1153&lt;600, "14", P1153&gt;600, "16")</f>
        <v>#DIV/0!</v>
      </c>
      <c r="R1153" s="75">
        <f t="shared" si="180"/>
        <v>0</v>
      </c>
      <c r="S1153" s="75" t="e">
        <f t="shared" si="181"/>
        <v>#DIV/0!</v>
      </c>
      <c r="U1153" s="306" t="e">
        <f t="shared" si="178"/>
        <v>#DIV/0!</v>
      </c>
    </row>
    <row r="1154" spans="4:21" x14ac:dyDescent="0.35">
      <c r="D1154" s="3"/>
      <c r="G1154" s="3" t="s">
        <v>87</v>
      </c>
      <c r="M1154" s="3"/>
      <c r="N1154" s="356" t="e" cm="1">
        <f t="array" ref="N1154">_xlfn.IFS(I1154="AEX",H1154/400,I1154="RP",H1154/200)</f>
        <v>#N/A</v>
      </c>
      <c r="P1154" s="75" t="e">
        <f t="shared" si="179"/>
        <v>#DIV/0!</v>
      </c>
      <c r="Q1154" s="3" t="e" cm="1">
        <f t="array" ref="Q1154">_xlfn.IFS(P1154&lt;200, "10", P1154&lt;400, "12", P1154&lt;600, "14", P1154&gt;600, "16")</f>
        <v>#DIV/0!</v>
      </c>
      <c r="R1154" s="75">
        <f t="shared" si="180"/>
        <v>0</v>
      </c>
      <c r="S1154" s="75" t="e">
        <f t="shared" si="181"/>
        <v>#DIV/0!</v>
      </c>
      <c r="U1154" s="306" t="e">
        <f t="shared" ref="U1154:U1203" si="182">T1154/H1154*100</f>
        <v>#DIV/0!</v>
      </c>
    </row>
    <row r="1155" spans="4:21" x14ac:dyDescent="0.35">
      <c r="D1155" s="3"/>
      <c r="G1155" s="3" t="s">
        <v>87</v>
      </c>
      <c r="M1155" s="3"/>
      <c r="N1155" s="356" t="e" cm="1">
        <f t="array" ref="N1155">_xlfn.IFS(I1155="AEX",H1155/400,I1155="RP",H1155/200)</f>
        <v>#N/A</v>
      </c>
      <c r="P1155" s="75" t="e">
        <f t="shared" si="179"/>
        <v>#DIV/0!</v>
      </c>
      <c r="Q1155" s="3" t="e" cm="1">
        <f t="array" ref="Q1155">_xlfn.IFS(P1155&lt;200, "10", P1155&lt;400, "12", P1155&lt;600, "14", P1155&gt;600, "16")</f>
        <v>#DIV/0!</v>
      </c>
      <c r="R1155" s="75">
        <f t="shared" si="180"/>
        <v>0</v>
      </c>
      <c r="S1155" s="75" t="e">
        <f t="shared" si="181"/>
        <v>#DIV/0!</v>
      </c>
      <c r="U1155" s="306" t="e">
        <f t="shared" si="182"/>
        <v>#DIV/0!</v>
      </c>
    </row>
    <row r="1156" spans="4:21" x14ac:dyDescent="0.35">
      <c r="D1156" s="3"/>
      <c r="G1156" s="3" t="s">
        <v>87</v>
      </c>
      <c r="M1156" s="3"/>
      <c r="N1156" s="356" t="e" cm="1">
        <f t="array" ref="N1156">_xlfn.IFS(I1156="AEX",H1156/400,I1156="RP",H1156/200)</f>
        <v>#N/A</v>
      </c>
      <c r="P1156" s="75" t="e">
        <f t="shared" si="179"/>
        <v>#DIV/0!</v>
      </c>
      <c r="Q1156" s="3" t="e" cm="1">
        <f t="array" ref="Q1156">_xlfn.IFS(P1156&lt;200, "10", P1156&lt;400, "12", P1156&lt;600, "14", P1156&gt;600, "16")</f>
        <v>#DIV/0!</v>
      </c>
      <c r="R1156" s="75">
        <f t="shared" si="180"/>
        <v>0</v>
      </c>
      <c r="S1156" s="75" t="e">
        <f t="shared" si="181"/>
        <v>#DIV/0!</v>
      </c>
      <c r="U1156" s="306" t="e">
        <f t="shared" si="182"/>
        <v>#DIV/0!</v>
      </c>
    </row>
    <row r="1157" spans="4:21" x14ac:dyDescent="0.35">
      <c r="D1157" s="3"/>
      <c r="G1157" s="3" t="s">
        <v>87</v>
      </c>
      <c r="M1157" s="3"/>
      <c r="N1157" s="356" t="e" cm="1">
        <f t="array" ref="N1157">_xlfn.IFS(I1157="AEX",H1157/400,I1157="RP",H1157/200)</f>
        <v>#N/A</v>
      </c>
      <c r="P1157" s="75" t="e">
        <f t="shared" si="179"/>
        <v>#DIV/0!</v>
      </c>
      <c r="Q1157" s="3" t="e" cm="1">
        <f t="array" ref="Q1157">_xlfn.IFS(P1157&lt;200, "10", P1157&lt;400, "12", P1157&lt;600, "14", P1157&gt;600, "16")</f>
        <v>#DIV/0!</v>
      </c>
      <c r="R1157" s="75">
        <f t="shared" si="180"/>
        <v>0</v>
      </c>
      <c r="S1157" s="75" t="e">
        <f t="shared" si="181"/>
        <v>#DIV/0!</v>
      </c>
      <c r="U1157" s="306" t="e">
        <f t="shared" si="182"/>
        <v>#DIV/0!</v>
      </c>
    </row>
    <row r="1158" spans="4:21" x14ac:dyDescent="0.35">
      <c r="D1158" s="3"/>
      <c r="G1158" s="3" t="s">
        <v>87</v>
      </c>
      <c r="M1158" s="3"/>
      <c r="N1158" s="356" t="e" cm="1">
        <f t="array" ref="N1158">_xlfn.IFS(I1158="AEX",H1158/400,I1158="RP",H1158/200)</f>
        <v>#N/A</v>
      </c>
      <c r="P1158" s="75" t="e">
        <f t="shared" si="179"/>
        <v>#DIV/0!</v>
      </c>
      <c r="Q1158" s="3" t="e" cm="1">
        <f t="array" ref="Q1158">_xlfn.IFS(P1158&lt;200, "10", P1158&lt;400, "12", P1158&lt;600, "14", P1158&gt;600, "16")</f>
        <v>#DIV/0!</v>
      </c>
      <c r="R1158" s="75">
        <f t="shared" si="180"/>
        <v>0</v>
      </c>
      <c r="S1158" s="75" t="e">
        <f t="shared" si="181"/>
        <v>#DIV/0!</v>
      </c>
      <c r="U1158" s="306" t="e">
        <f t="shared" si="182"/>
        <v>#DIV/0!</v>
      </c>
    </row>
    <row r="1159" spans="4:21" x14ac:dyDescent="0.35">
      <c r="D1159" s="3"/>
      <c r="G1159" s="3" t="s">
        <v>87</v>
      </c>
      <c r="M1159" s="3"/>
      <c r="N1159" s="356" t="e" cm="1">
        <f t="array" ref="N1159">_xlfn.IFS(I1159="AEX",H1159/400,I1159="RP",H1159/200)</f>
        <v>#N/A</v>
      </c>
      <c r="P1159" s="75" t="e">
        <f t="shared" si="179"/>
        <v>#DIV/0!</v>
      </c>
      <c r="Q1159" s="3" t="e" cm="1">
        <f t="array" ref="Q1159">_xlfn.IFS(P1159&lt;200, "10", P1159&lt;400, "12", P1159&lt;600, "14", P1159&gt;600, "16")</f>
        <v>#DIV/0!</v>
      </c>
      <c r="R1159" s="75">
        <f t="shared" si="180"/>
        <v>0</v>
      </c>
      <c r="S1159" s="75" t="e">
        <f t="shared" si="181"/>
        <v>#DIV/0!</v>
      </c>
      <c r="U1159" s="306" t="e">
        <f t="shared" si="182"/>
        <v>#DIV/0!</v>
      </c>
    </row>
    <row r="1160" spans="4:21" x14ac:dyDescent="0.35">
      <c r="D1160" s="3"/>
      <c r="G1160" s="3" t="s">
        <v>87</v>
      </c>
      <c r="M1160" s="3"/>
      <c r="N1160" s="356" t="e" cm="1">
        <f t="array" ref="N1160">_xlfn.IFS(I1160="AEX",H1160/400,I1160="RP",H1160/200)</f>
        <v>#N/A</v>
      </c>
      <c r="P1160" s="75" t="e">
        <f t="shared" si="179"/>
        <v>#DIV/0!</v>
      </c>
      <c r="Q1160" s="3" t="e" cm="1">
        <f t="array" ref="Q1160">_xlfn.IFS(P1160&lt;200, "10", P1160&lt;400, "12", P1160&lt;600, "14", P1160&gt;600, "16")</f>
        <v>#DIV/0!</v>
      </c>
      <c r="R1160" s="75">
        <f t="shared" si="180"/>
        <v>0</v>
      </c>
      <c r="S1160" s="75" t="e">
        <f t="shared" si="181"/>
        <v>#DIV/0!</v>
      </c>
      <c r="U1160" s="306" t="e">
        <f t="shared" si="182"/>
        <v>#DIV/0!</v>
      </c>
    </row>
    <row r="1161" spans="4:21" x14ac:dyDescent="0.35">
      <c r="D1161" s="3"/>
      <c r="G1161" s="3" t="s">
        <v>87</v>
      </c>
      <c r="M1161" s="3"/>
      <c r="N1161" s="356" t="e" cm="1">
        <f t="array" ref="N1161">_xlfn.IFS(I1161="AEX",H1161/400,I1161="RP",H1161/200)</f>
        <v>#N/A</v>
      </c>
      <c r="P1161" s="75" t="e">
        <f t="shared" si="179"/>
        <v>#DIV/0!</v>
      </c>
      <c r="Q1161" s="3" t="e" cm="1">
        <f t="array" ref="Q1161">_xlfn.IFS(P1161&lt;200, "10", P1161&lt;400, "12", P1161&lt;600, "14", P1161&gt;600, "16")</f>
        <v>#DIV/0!</v>
      </c>
      <c r="R1161" s="75">
        <f t="shared" si="180"/>
        <v>0</v>
      </c>
      <c r="S1161" s="75" t="e">
        <f t="shared" si="181"/>
        <v>#DIV/0!</v>
      </c>
      <c r="U1161" s="306" t="e">
        <f t="shared" si="182"/>
        <v>#DIV/0!</v>
      </c>
    </row>
    <row r="1162" spans="4:21" x14ac:dyDescent="0.35">
      <c r="D1162" s="3"/>
      <c r="G1162" s="3" t="s">
        <v>87</v>
      </c>
      <c r="M1162" s="3"/>
      <c r="N1162" s="356" t="e" cm="1">
        <f t="array" ref="N1162">_xlfn.IFS(I1162="AEX",H1162/400,I1162="RP",H1162/200)</f>
        <v>#N/A</v>
      </c>
      <c r="P1162" s="75" t="e">
        <f t="shared" si="179"/>
        <v>#DIV/0!</v>
      </c>
      <c r="Q1162" s="3" t="e" cm="1">
        <f t="array" ref="Q1162">_xlfn.IFS(P1162&lt;200, "10", P1162&lt;400, "12", P1162&lt;600, "14", P1162&gt;600, "16")</f>
        <v>#DIV/0!</v>
      </c>
      <c r="R1162" s="75">
        <f t="shared" si="180"/>
        <v>0</v>
      </c>
      <c r="S1162" s="75" t="e">
        <f t="shared" si="181"/>
        <v>#DIV/0!</v>
      </c>
      <c r="U1162" s="306" t="e">
        <f t="shared" si="182"/>
        <v>#DIV/0!</v>
      </c>
    </row>
    <row r="1163" spans="4:21" x14ac:dyDescent="0.35">
      <c r="D1163" s="3"/>
      <c r="G1163" s="3" t="s">
        <v>87</v>
      </c>
      <c r="M1163" s="3"/>
      <c r="N1163" s="356" t="e" cm="1">
        <f t="array" ref="N1163">_xlfn.IFS(I1163="AEX",H1163/400,I1163="RP",H1163/200)</f>
        <v>#N/A</v>
      </c>
      <c r="P1163" s="75" t="e">
        <f t="shared" si="179"/>
        <v>#DIV/0!</v>
      </c>
      <c r="Q1163" s="3" t="e" cm="1">
        <f t="array" ref="Q1163">_xlfn.IFS(P1163&lt;200, "10", P1163&lt;400, "12", P1163&lt;600, "14", P1163&gt;600, "16")</f>
        <v>#DIV/0!</v>
      </c>
      <c r="R1163" s="75">
        <f t="shared" si="180"/>
        <v>0</v>
      </c>
      <c r="S1163" s="75" t="e">
        <f t="shared" si="181"/>
        <v>#DIV/0!</v>
      </c>
      <c r="U1163" s="306" t="e">
        <f t="shared" si="182"/>
        <v>#DIV/0!</v>
      </c>
    </row>
    <row r="1164" spans="4:21" x14ac:dyDescent="0.35">
      <c r="D1164" s="3"/>
      <c r="G1164" s="3" t="s">
        <v>87</v>
      </c>
      <c r="M1164" s="3"/>
      <c r="N1164" s="356" t="e" cm="1">
        <f t="array" ref="N1164">_xlfn.IFS(I1164="AEX",H1164/400,I1164="RP",H1164/200)</f>
        <v>#N/A</v>
      </c>
      <c r="P1164" s="75" t="e">
        <f t="shared" si="179"/>
        <v>#DIV/0!</v>
      </c>
      <c r="Q1164" s="3" t="e" cm="1">
        <f t="array" ref="Q1164">_xlfn.IFS(P1164&lt;200, "10", P1164&lt;400, "12", P1164&lt;600, "14", P1164&gt;600, "16")</f>
        <v>#DIV/0!</v>
      </c>
      <c r="R1164" s="75">
        <f t="shared" si="180"/>
        <v>0</v>
      </c>
      <c r="S1164" s="75" t="e">
        <f t="shared" si="181"/>
        <v>#DIV/0!</v>
      </c>
      <c r="U1164" s="306" t="e">
        <f t="shared" si="182"/>
        <v>#DIV/0!</v>
      </c>
    </row>
    <row r="1165" spans="4:21" x14ac:dyDescent="0.35">
      <c r="D1165" s="3"/>
      <c r="G1165" s="3" t="s">
        <v>87</v>
      </c>
      <c r="M1165" s="3"/>
      <c r="N1165" s="356" t="e" cm="1">
        <f t="array" ref="N1165">_xlfn.IFS(I1165="AEX",H1165/400,I1165="RP",H1165/200)</f>
        <v>#N/A</v>
      </c>
      <c r="P1165" s="75" t="e">
        <f t="shared" si="179"/>
        <v>#DIV/0!</v>
      </c>
      <c r="Q1165" s="3" t="e" cm="1">
        <f t="array" ref="Q1165">_xlfn.IFS(P1165&lt;200, "10", P1165&lt;400, "12", P1165&lt;600, "14", P1165&gt;600, "16")</f>
        <v>#DIV/0!</v>
      </c>
      <c r="R1165" s="75">
        <f t="shared" si="180"/>
        <v>0</v>
      </c>
      <c r="S1165" s="75" t="e">
        <f t="shared" si="181"/>
        <v>#DIV/0!</v>
      </c>
      <c r="U1165" s="306" t="e">
        <f t="shared" si="182"/>
        <v>#DIV/0!</v>
      </c>
    </row>
    <row r="1166" spans="4:21" x14ac:dyDescent="0.35">
      <c r="D1166" s="3"/>
      <c r="G1166" s="3" t="s">
        <v>87</v>
      </c>
      <c r="M1166" s="3"/>
      <c r="N1166" s="356" t="e" cm="1">
        <f t="array" ref="N1166">_xlfn.IFS(I1166="AEX",H1166/400,I1166="RP",H1166/200)</f>
        <v>#N/A</v>
      </c>
      <c r="P1166" s="75" t="e">
        <f t="shared" si="179"/>
        <v>#DIV/0!</v>
      </c>
      <c r="Q1166" s="3" t="e" cm="1">
        <f t="array" ref="Q1166">_xlfn.IFS(P1166&lt;200, "10", P1166&lt;400, "12", P1166&lt;600, "14", P1166&gt;600, "16")</f>
        <v>#DIV/0!</v>
      </c>
      <c r="R1166" s="75">
        <f t="shared" si="180"/>
        <v>0</v>
      </c>
      <c r="S1166" s="75" t="e">
        <f t="shared" si="181"/>
        <v>#DIV/0!</v>
      </c>
      <c r="U1166" s="306" t="e">
        <f t="shared" si="182"/>
        <v>#DIV/0!</v>
      </c>
    </row>
    <row r="1167" spans="4:21" x14ac:dyDescent="0.35">
      <c r="D1167" s="3"/>
      <c r="G1167" s="3" t="s">
        <v>87</v>
      </c>
      <c r="M1167" s="3"/>
      <c r="N1167" s="356" t="e" cm="1">
        <f t="array" ref="N1167">_xlfn.IFS(I1167="AEX",H1167/400,I1167="RP",H1167/200)</f>
        <v>#N/A</v>
      </c>
      <c r="P1167" s="75" t="e">
        <f t="shared" si="179"/>
        <v>#DIV/0!</v>
      </c>
      <c r="Q1167" s="3" t="e" cm="1">
        <f t="array" ref="Q1167">_xlfn.IFS(P1167&lt;200, "10", P1167&lt;400, "12", P1167&lt;600, "14", P1167&gt;600, "16")</f>
        <v>#DIV/0!</v>
      </c>
      <c r="R1167" s="75">
        <f t="shared" si="180"/>
        <v>0</v>
      </c>
      <c r="S1167" s="75" t="e">
        <f t="shared" si="181"/>
        <v>#DIV/0!</v>
      </c>
      <c r="U1167" s="306" t="e">
        <f t="shared" si="182"/>
        <v>#DIV/0!</v>
      </c>
    </row>
    <row r="1168" spans="4:21" x14ac:dyDescent="0.35">
      <c r="D1168" s="3"/>
      <c r="G1168" s="3" t="s">
        <v>87</v>
      </c>
      <c r="M1168" s="3"/>
      <c r="N1168" s="356" t="e" cm="1">
        <f t="array" ref="N1168">_xlfn.IFS(I1168="AEX",H1168/400,I1168="RP",H1168/200)</f>
        <v>#N/A</v>
      </c>
      <c r="P1168" s="75" t="e">
        <f t="shared" si="179"/>
        <v>#DIV/0!</v>
      </c>
      <c r="Q1168" s="3" t="e" cm="1">
        <f t="array" ref="Q1168">_xlfn.IFS(P1168&lt;200, "10", P1168&lt;400, "12", P1168&lt;600, "14", P1168&gt;600, "16")</f>
        <v>#DIV/0!</v>
      </c>
      <c r="R1168" s="75">
        <f t="shared" si="180"/>
        <v>0</v>
      </c>
      <c r="S1168" s="75" t="e">
        <f t="shared" si="181"/>
        <v>#DIV/0!</v>
      </c>
      <c r="U1168" s="306" t="e">
        <f t="shared" si="182"/>
        <v>#DIV/0!</v>
      </c>
    </row>
    <row r="1169" spans="4:21" x14ac:dyDescent="0.35">
      <c r="D1169" s="3"/>
      <c r="G1169" s="3" t="s">
        <v>87</v>
      </c>
      <c r="M1169" s="3"/>
      <c r="N1169" s="356" t="e" cm="1">
        <f t="array" ref="N1169">_xlfn.IFS(I1169="AEX",H1169/400,I1169="RP",H1169/200)</f>
        <v>#N/A</v>
      </c>
      <c r="P1169" s="75" t="e">
        <f t="shared" si="179"/>
        <v>#DIV/0!</v>
      </c>
      <c r="Q1169" s="3" t="e" cm="1">
        <f t="array" ref="Q1169">_xlfn.IFS(P1169&lt;200, "10", P1169&lt;400, "12", P1169&lt;600, "14", P1169&gt;600, "16")</f>
        <v>#DIV/0!</v>
      </c>
      <c r="R1169" s="75">
        <f t="shared" si="180"/>
        <v>0</v>
      </c>
      <c r="S1169" s="75" t="e">
        <f t="shared" si="181"/>
        <v>#DIV/0!</v>
      </c>
      <c r="U1169" s="306" t="e">
        <f t="shared" si="182"/>
        <v>#DIV/0!</v>
      </c>
    </row>
    <row r="1170" spans="4:21" x14ac:dyDescent="0.35">
      <c r="D1170" s="3"/>
      <c r="G1170" s="3" t="s">
        <v>87</v>
      </c>
      <c r="M1170" s="3"/>
      <c r="N1170" s="356" t="e" cm="1">
        <f t="array" ref="N1170">_xlfn.IFS(I1170="AEX",H1170/400,I1170="RP",H1170/200)</f>
        <v>#N/A</v>
      </c>
      <c r="P1170" s="75" t="e">
        <f t="shared" si="179"/>
        <v>#DIV/0!</v>
      </c>
      <c r="Q1170" s="3" t="e" cm="1">
        <f t="array" ref="Q1170">_xlfn.IFS(P1170&lt;200, "10", P1170&lt;400, "12", P1170&lt;600, "14", P1170&gt;600, "16")</f>
        <v>#DIV/0!</v>
      </c>
      <c r="R1170" s="75">
        <f t="shared" si="180"/>
        <v>0</v>
      </c>
      <c r="S1170" s="75" t="e">
        <f t="shared" si="181"/>
        <v>#DIV/0!</v>
      </c>
      <c r="U1170" s="306" t="e">
        <f t="shared" si="182"/>
        <v>#DIV/0!</v>
      </c>
    </row>
    <row r="1171" spans="4:21" x14ac:dyDescent="0.35">
      <c r="D1171" s="3"/>
      <c r="G1171" s="3" t="s">
        <v>87</v>
      </c>
      <c r="M1171" s="3"/>
      <c r="N1171" s="356" t="e" cm="1">
        <f t="array" ref="N1171">_xlfn.IFS(I1171="AEX",H1171/400,I1171="RP",H1171/200)</f>
        <v>#N/A</v>
      </c>
      <c r="P1171" s="75" t="e">
        <f t="shared" si="179"/>
        <v>#DIV/0!</v>
      </c>
      <c r="Q1171" s="3" t="e" cm="1">
        <f t="array" ref="Q1171">_xlfn.IFS(P1171&lt;200, "10", P1171&lt;400, "12", P1171&lt;600, "14", P1171&gt;600, "16")</f>
        <v>#DIV/0!</v>
      </c>
      <c r="R1171" s="75">
        <f t="shared" si="180"/>
        <v>0</v>
      </c>
      <c r="S1171" s="75" t="e">
        <f t="shared" si="181"/>
        <v>#DIV/0!</v>
      </c>
      <c r="U1171" s="306" t="e">
        <f t="shared" si="182"/>
        <v>#DIV/0!</v>
      </c>
    </row>
    <row r="1172" spans="4:21" x14ac:dyDescent="0.35">
      <c r="D1172" s="3"/>
      <c r="G1172" s="3" t="s">
        <v>87</v>
      </c>
      <c r="M1172" s="3"/>
      <c r="N1172" s="356" t="e" cm="1">
        <f t="array" ref="N1172">_xlfn.IFS(I1172="AEX",H1172/400,I1172="RP",H1172/200)</f>
        <v>#N/A</v>
      </c>
      <c r="P1172" s="75" t="e">
        <f t="shared" si="179"/>
        <v>#DIV/0!</v>
      </c>
      <c r="Q1172" s="3" t="e" cm="1">
        <f t="array" ref="Q1172">_xlfn.IFS(P1172&lt;200, "10", P1172&lt;400, "12", P1172&lt;600, "14", P1172&gt;600, "16")</f>
        <v>#DIV/0!</v>
      </c>
      <c r="R1172" s="75">
        <f t="shared" si="180"/>
        <v>0</v>
      </c>
      <c r="S1172" s="75" t="e">
        <f t="shared" si="181"/>
        <v>#DIV/0!</v>
      </c>
      <c r="U1172" s="306" t="e">
        <f t="shared" si="182"/>
        <v>#DIV/0!</v>
      </c>
    </row>
    <row r="1173" spans="4:21" x14ac:dyDescent="0.35">
      <c r="D1173" s="3"/>
      <c r="G1173" s="3" t="s">
        <v>87</v>
      </c>
      <c r="M1173" s="3"/>
      <c r="N1173" s="356" t="e" cm="1">
        <f t="array" ref="N1173">_xlfn.IFS(I1173="AEX",H1173/400,I1173="RP",H1173/200)</f>
        <v>#N/A</v>
      </c>
      <c r="P1173" s="75" t="e">
        <f t="shared" si="179"/>
        <v>#DIV/0!</v>
      </c>
      <c r="Q1173" s="3" t="e" cm="1">
        <f t="array" ref="Q1173">_xlfn.IFS(P1173&lt;200, "10", P1173&lt;400, "12", P1173&lt;600, "14", P1173&gt;600, "16")</f>
        <v>#DIV/0!</v>
      </c>
      <c r="R1173" s="75">
        <f t="shared" si="180"/>
        <v>0</v>
      </c>
      <c r="S1173" s="75" t="e">
        <f t="shared" si="181"/>
        <v>#DIV/0!</v>
      </c>
      <c r="U1173" s="306" t="e">
        <f t="shared" si="182"/>
        <v>#DIV/0!</v>
      </c>
    </row>
    <row r="1174" spans="4:21" x14ac:dyDescent="0.35">
      <c r="D1174" s="3"/>
      <c r="G1174" s="3" t="s">
        <v>87</v>
      </c>
      <c r="M1174" s="3"/>
      <c r="N1174" s="356" t="e" cm="1">
        <f t="array" ref="N1174">_xlfn.IFS(I1174="AEX",H1174/400,I1174="RP",H1174/200)</f>
        <v>#N/A</v>
      </c>
      <c r="P1174" s="75" t="e">
        <f t="shared" si="179"/>
        <v>#DIV/0!</v>
      </c>
      <c r="Q1174" s="3" t="e" cm="1">
        <f t="array" ref="Q1174">_xlfn.IFS(P1174&lt;200, "10", P1174&lt;400, "12", P1174&lt;600, "14", P1174&gt;600, "16")</f>
        <v>#DIV/0!</v>
      </c>
      <c r="R1174" s="75">
        <f t="shared" si="180"/>
        <v>0</v>
      </c>
      <c r="S1174" s="75" t="e">
        <f t="shared" si="181"/>
        <v>#DIV/0!</v>
      </c>
      <c r="U1174" s="306" t="e">
        <f t="shared" si="182"/>
        <v>#DIV/0!</v>
      </c>
    </row>
    <row r="1175" spans="4:21" x14ac:dyDescent="0.35">
      <c r="D1175" s="3"/>
      <c r="G1175" s="3" t="s">
        <v>87</v>
      </c>
      <c r="M1175" s="3"/>
      <c r="N1175" s="356" t="e" cm="1">
        <f t="array" ref="N1175">_xlfn.IFS(I1175="AEX",H1175/400,I1175="RP",H1175/200)</f>
        <v>#N/A</v>
      </c>
      <c r="P1175" s="75" t="e">
        <f t="shared" si="179"/>
        <v>#DIV/0!</v>
      </c>
      <c r="Q1175" s="3" t="e" cm="1">
        <f t="array" ref="Q1175">_xlfn.IFS(P1175&lt;200, "10", P1175&lt;400, "12", P1175&lt;600, "14", P1175&gt;600, "16")</f>
        <v>#DIV/0!</v>
      </c>
      <c r="R1175" s="75">
        <f t="shared" si="180"/>
        <v>0</v>
      </c>
      <c r="S1175" s="75" t="e">
        <f t="shared" si="181"/>
        <v>#DIV/0!</v>
      </c>
      <c r="U1175" s="306" t="e">
        <f t="shared" si="182"/>
        <v>#DIV/0!</v>
      </c>
    </row>
    <row r="1176" spans="4:21" x14ac:dyDescent="0.35">
      <c r="D1176" s="3"/>
      <c r="G1176" s="3" t="s">
        <v>87</v>
      </c>
      <c r="M1176" s="3"/>
      <c r="N1176" s="356" t="e" cm="1">
        <f t="array" ref="N1176">_xlfn.IFS(I1176="AEX",H1176/400,I1176="RP",H1176/200)</f>
        <v>#N/A</v>
      </c>
      <c r="P1176" s="75" t="e">
        <f t="shared" si="179"/>
        <v>#DIV/0!</v>
      </c>
      <c r="Q1176" s="3" t="e" cm="1">
        <f t="array" ref="Q1176">_xlfn.IFS(P1176&lt;200, "10", P1176&lt;400, "12", P1176&lt;600, "14", P1176&gt;600, "16")</f>
        <v>#DIV/0!</v>
      </c>
      <c r="R1176" s="75">
        <f t="shared" si="180"/>
        <v>0</v>
      </c>
      <c r="S1176" s="75" t="e">
        <f t="shared" si="181"/>
        <v>#DIV/0!</v>
      </c>
      <c r="U1176" s="306" t="e">
        <f t="shared" si="182"/>
        <v>#DIV/0!</v>
      </c>
    </row>
    <row r="1177" spans="4:21" x14ac:dyDescent="0.35">
      <c r="D1177" s="3"/>
      <c r="G1177" s="3" t="s">
        <v>87</v>
      </c>
      <c r="M1177" s="3"/>
      <c r="N1177" s="356" t="e" cm="1">
        <f t="array" ref="N1177">_xlfn.IFS(I1177="AEX",H1177/400,I1177="RP",H1177/200)</f>
        <v>#N/A</v>
      </c>
      <c r="P1177" s="75" t="e">
        <f t="shared" si="179"/>
        <v>#DIV/0!</v>
      </c>
      <c r="Q1177" s="3" t="e" cm="1">
        <f t="array" ref="Q1177">_xlfn.IFS(P1177&lt;200, "10", P1177&lt;400, "12", P1177&lt;600, "14", P1177&gt;600, "16")</f>
        <v>#DIV/0!</v>
      </c>
      <c r="R1177" s="75">
        <f t="shared" si="180"/>
        <v>0</v>
      </c>
      <c r="S1177" s="75" t="e">
        <f t="shared" si="181"/>
        <v>#DIV/0!</v>
      </c>
      <c r="U1177" s="306" t="e">
        <f t="shared" si="182"/>
        <v>#DIV/0!</v>
      </c>
    </row>
    <row r="1178" spans="4:21" x14ac:dyDescent="0.35">
      <c r="D1178" s="3"/>
      <c r="G1178" s="3" t="s">
        <v>87</v>
      </c>
      <c r="M1178" s="3"/>
      <c r="N1178" s="356" t="e" cm="1">
        <f t="array" ref="N1178">_xlfn.IFS(I1178="AEX",H1178/400,I1178="RP",H1178/200)</f>
        <v>#N/A</v>
      </c>
      <c r="P1178" s="75" t="e">
        <f t="shared" si="179"/>
        <v>#DIV/0!</v>
      </c>
      <c r="Q1178" s="3" t="e" cm="1">
        <f t="array" ref="Q1178">_xlfn.IFS(P1178&lt;200, "10", P1178&lt;400, "12", P1178&lt;600, "14", P1178&gt;600, "16")</f>
        <v>#DIV/0!</v>
      </c>
      <c r="R1178" s="75">
        <f t="shared" si="180"/>
        <v>0</v>
      </c>
      <c r="S1178" s="75" t="e">
        <f t="shared" si="181"/>
        <v>#DIV/0!</v>
      </c>
      <c r="U1178" s="306" t="e">
        <f t="shared" si="182"/>
        <v>#DIV/0!</v>
      </c>
    </row>
    <row r="1179" spans="4:21" x14ac:dyDescent="0.35">
      <c r="D1179" s="3"/>
      <c r="G1179" s="3" t="s">
        <v>87</v>
      </c>
      <c r="M1179" s="3"/>
      <c r="N1179" s="356" t="e" cm="1">
        <f t="array" ref="N1179">_xlfn.IFS(I1179="AEX",H1179/400,I1179="RP",H1179/200)</f>
        <v>#N/A</v>
      </c>
      <c r="P1179" s="75" t="e">
        <f t="shared" si="179"/>
        <v>#DIV/0!</v>
      </c>
      <c r="Q1179" s="3" t="e" cm="1">
        <f t="array" ref="Q1179">_xlfn.IFS(P1179&lt;200, "10", P1179&lt;400, "12", P1179&lt;600, "14", P1179&gt;600, "16")</f>
        <v>#DIV/0!</v>
      </c>
      <c r="R1179" s="75">
        <f t="shared" si="180"/>
        <v>0</v>
      </c>
      <c r="S1179" s="75" t="e">
        <f t="shared" si="181"/>
        <v>#DIV/0!</v>
      </c>
      <c r="U1179" s="306" t="e">
        <f t="shared" si="182"/>
        <v>#DIV/0!</v>
      </c>
    </row>
    <row r="1180" spans="4:21" x14ac:dyDescent="0.35">
      <c r="D1180" s="3"/>
      <c r="G1180" s="3" t="s">
        <v>87</v>
      </c>
      <c r="M1180" s="3"/>
      <c r="N1180" s="356" t="e" cm="1">
        <f t="array" ref="N1180">_xlfn.IFS(I1180="AEX",H1180/400,I1180="RP",H1180/200)</f>
        <v>#N/A</v>
      </c>
      <c r="P1180" s="75" t="e">
        <f t="shared" si="179"/>
        <v>#DIV/0!</v>
      </c>
      <c r="Q1180" s="3" t="e" cm="1">
        <f t="array" ref="Q1180">_xlfn.IFS(P1180&lt;200, "10", P1180&lt;400, "12", P1180&lt;600, "14", P1180&gt;600, "16")</f>
        <v>#DIV/0!</v>
      </c>
      <c r="R1180" s="75">
        <f t="shared" si="180"/>
        <v>0</v>
      </c>
      <c r="S1180" s="75" t="e">
        <f t="shared" si="181"/>
        <v>#DIV/0!</v>
      </c>
      <c r="U1180" s="306" t="e">
        <f t="shared" si="182"/>
        <v>#DIV/0!</v>
      </c>
    </row>
    <row r="1181" spans="4:21" x14ac:dyDescent="0.35">
      <c r="D1181" s="3"/>
      <c r="G1181" s="3" t="s">
        <v>87</v>
      </c>
      <c r="M1181" s="3"/>
      <c r="N1181" s="356" t="e" cm="1">
        <f t="array" ref="N1181">_xlfn.IFS(I1181="AEX",H1181/400,I1181="RP",H1181/200)</f>
        <v>#N/A</v>
      </c>
      <c r="P1181" s="75" t="e">
        <f t="shared" si="179"/>
        <v>#DIV/0!</v>
      </c>
      <c r="Q1181" s="3" t="e" cm="1">
        <f t="array" ref="Q1181">_xlfn.IFS(P1181&lt;200, "10", P1181&lt;400, "12", P1181&lt;600, "14", P1181&gt;600, "16")</f>
        <v>#DIV/0!</v>
      </c>
      <c r="R1181" s="75">
        <f t="shared" si="180"/>
        <v>0</v>
      </c>
      <c r="S1181" s="75" t="e">
        <f t="shared" si="181"/>
        <v>#DIV/0!</v>
      </c>
      <c r="U1181" s="306" t="e">
        <f t="shared" si="182"/>
        <v>#DIV/0!</v>
      </c>
    </row>
    <row r="1182" spans="4:21" x14ac:dyDescent="0.35">
      <c r="D1182" s="3"/>
      <c r="G1182" s="3" t="s">
        <v>87</v>
      </c>
      <c r="M1182" s="3"/>
      <c r="N1182" s="356" t="e" cm="1">
        <f t="array" ref="N1182">_xlfn.IFS(I1182="AEX",H1182/400,I1182="RP",H1182/200)</f>
        <v>#N/A</v>
      </c>
      <c r="P1182" s="75" t="e">
        <f t="shared" si="179"/>
        <v>#DIV/0!</v>
      </c>
      <c r="Q1182" s="3" t="e" cm="1">
        <f t="array" ref="Q1182">_xlfn.IFS(P1182&lt;200, "10", P1182&lt;400, "12", P1182&lt;600, "14", P1182&gt;600, "16")</f>
        <v>#DIV/0!</v>
      </c>
      <c r="R1182" s="75">
        <f t="shared" si="180"/>
        <v>0</v>
      </c>
      <c r="S1182" s="75" t="e">
        <f t="shared" si="181"/>
        <v>#DIV/0!</v>
      </c>
      <c r="U1182" s="306" t="e">
        <f t="shared" si="182"/>
        <v>#DIV/0!</v>
      </c>
    </row>
    <row r="1183" spans="4:21" x14ac:dyDescent="0.35">
      <c r="D1183" s="3"/>
      <c r="G1183" s="3" t="s">
        <v>87</v>
      </c>
      <c r="M1183" s="3"/>
      <c r="N1183" s="356" t="e" cm="1">
        <f t="array" ref="N1183">_xlfn.IFS(I1183="AEX",H1183/400,I1183="RP",H1183/200)</f>
        <v>#N/A</v>
      </c>
      <c r="P1183" s="75" t="e">
        <f t="shared" si="179"/>
        <v>#DIV/0!</v>
      </c>
      <c r="Q1183" s="3" t="e" cm="1">
        <f t="array" ref="Q1183">_xlfn.IFS(P1183&lt;200, "10", P1183&lt;400, "12", P1183&lt;600, "14", P1183&gt;600, "16")</f>
        <v>#DIV/0!</v>
      </c>
      <c r="R1183" s="75">
        <f t="shared" si="180"/>
        <v>0</v>
      </c>
      <c r="S1183" s="75" t="e">
        <f t="shared" si="181"/>
        <v>#DIV/0!</v>
      </c>
      <c r="U1183" s="306" t="e">
        <f t="shared" si="182"/>
        <v>#DIV/0!</v>
      </c>
    </row>
    <row r="1184" spans="4:21" x14ac:dyDescent="0.35">
      <c r="D1184" s="3"/>
      <c r="G1184" s="3" t="s">
        <v>87</v>
      </c>
      <c r="M1184" s="3"/>
      <c r="N1184" s="356" t="e" cm="1">
        <f t="array" ref="N1184">_xlfn.IFS(I1184="AEX",H1184/400,I1184="RP",H1184/200)</f>
        <v>#N/A</v>
      </c>
      <c r="P1184" s="75" t="e">
        <f t="shared" si="179"/>
        <v>#DIV/0!</v>
      </c>
      <c r="Q1184" s="3" t="e" cm="1">
        <f t="array" ref="Q1184">_xlfn.IFS(P1184&lt;200, "10", P1184&lt;400, "12", P1184&lt;600, "14", P1184&gt;600, "16")</f>
        <v>#DIV/0!</v>
      </c>
      <c r="R1184" s="75">
        <f t="shared" si="180"/>
        <v>0</v>
      </c>
      <c r="S1184" s="75" t="e">
        <f t="shared" si="181"/>
        <v>#DIV/0!</v>
      </c>
      <c r="U1184" s="306" t="e">
        <f t="shared" si="182"/>
        <v>#DIV/0!</v>
      </c>
    </row>
    <row r="1185" spans="4:21" x14ac:dyDescent="0.35">
      <c r="D1185" s="3"/>
      <c r="G1185" s="3" t="s">
        <v>87</v>
      </c>
      <c r="M1185" s="3"/>
      <c r="N1185" s="356" t="e" cm="1">
        <f t="array" ref="N1185">_xlfn.IFS(I1185="AEX",H1185/400,I1185="RP",H1185/200)</f>
        <v>#N/A</v>
      </c>
      <c r="P1185" s="75" t="e">
        <f t="shared" si="179"/>
        <v>#DIV/0!</v>
      </c>
      <c r="Q1185" s="3" t="e" cm="1">
        <f t="array" ref="Q1185">_xlfn.IFS(P1185&lt;200, "10", P1185&lt;400, "12", P1185&lt;600, "14", P1185&gt;600, "16")</f>
        <v>#DIV/0!</v>
      </c>
      <c r="R1185" s="75">
        <f t="shared" si="180"/>
        <v>0</v>
      </c>
      <c r="S1185" s="75" t="e">
        <f t="shared" si="181"/>
        <v>#DIV/0!</v>
      </c>
      <c r="U1185" s="306" t="e">
        <f t="shared" si="182"/>
        <v>#DIV/0!</v>
      </c>
    </row>
    <row r="1186" spans="4:21" x14ac:dyDescent="0.35">
      <c r="D1186" s="3"/>
      <c r="G1186" s="3" t="s">
        <v>87</v>
      </c>
      <c r="M1186" s="3"/>
      <c r="N1186" s="356" t="e" cm="1">
        <f t="array" ref="N1186">_xlfn.IFS(I1186="AEX",H1186/400,I1186="RP",H1186/200)</f>
        <v>#N/A</v>
      </c>
      <c r="P1186" s="75" t="e">
        <f t="shared" si="179"/>
        <v>#DIV/0!</v>
      </c>
      <c r="Q1186" s="3" t="e" cm="1">
        <f t="array" ref="Q1186">_xlfn.IFS(P1186&lt;200, "10", P1186&lt;400, "12", P1186&lt;600, "14", P1186&gt;600, "16")</f>
        <v>#DIV/0!</v>
      </c>
      <c r="R1186" s="75">
        <f t="shared" si="180"/>
        <v>0</v>
      </c>
      <c r="S1186" s="75" t="e">
        <f t="shared" si="181"/>
        <v>#DIV/0!</v>
      </c>
      <c r="U1186" s="306" t="e">
        <f t="shared" si="182"/>
        <v>#DIV/0!</v>
      </c>
    </row>
    <row r="1187" spans="4:21" x14ac:dyDescent="0.35">
      <c r="D1187" s="3"/>
      <c r="G1187" s="3" t="s">
        <v>87</v>
      </c>
      <c r="M1187" s="3"/>
      <c r="N1187" s="356" t="e" cm="1">
        <f t="array" ref="N1187">_xlfn.IFS(I1187="AEX",H1187/400,I1187="RP",H1187/200)</f>
        <v>#N/A</v>
      </c>
      <c r="P1187" s="75" t="e">
        <f t="shared" si="179"/>
        <v>#DIV/0!</v>
      </c>
      <c r="Q1187" s="3" t="e" cm="1">
        <f t="array" ref="Q1187">_xlfn.IFS(P1187&lt;200, "10", P1187&lt;400, "12", P1187&lt;600, "14", P1187&gt;600, "16")</f>
        <v>#DIV/0!</v>
      </c>
      <c r="R1187" s="75">
        <f t="shared" si="180"/>
        <v>0</v>
      </c>
      <c r="S1187" s="75" t="e">
        <f t="shared" si="181"/>
        <v>#DIV/0!</v>
      </c>
      <c r="U1187" s="306" t="e">
        <f t="shared" si="182"/>
        <v>#DIV/0!</v>
      </c>
    </row>
    <row r="1188" spans="4:21" x14ac:dyDescent="0.35">
      <c r="D1188" s="3"/>
      <c r="G1188" s="3" t="s">
        <v>87</v>
      </c>
      <c r="M1188" s="3"/>
      <c r="N1188" s="356" t="e" cm="1">
        <f t="array" ref="N1188">_xlfn.IFS(I1188="AEX",H1188/400,I1188="RP",H1188/200)</f>
        <v>#N/A</v>
      </c>
      <c r="P1188" s="75" t="e">
        <f t="shared" si="179"/>
        <v>#DIV/0!</v>
      </c>
      <c r="Q1188" s="3" t="e" cm="1">
        <f t="array" ref="Q1188">_xlfn.IFS(P1188&lt;200, "10", P1188&lt;400, "12", P1188&lt;600, "14", P1188&gt;600, "16")</f>
        <v>#DIV/0!</v>
      </c>
      <c r="R1188" s="75">
        <f t="shared" si="180"/>
        <v>0</v>
      </c>
      <c r="S1188" s="75" t="e">
        <f t="shared" si="181"/>
        <v>#DIV/0!</v>
      </c>
      <c r="U1188" s="306" t="e">
        <f t="shared" si="182"/>
        <v>#DIV/0!</v>
      </c>
    </row>
    <row r="1189" spans="4:21" x14ac:dyDescent="0.35">
      <c r="D1189" s="3"/>
      <c r="G1189" s="3" t="s">
        <v>87</v>
      </c>
      <c r="M1189" s="3"/>
      <c r="N1189" s="356" t="e" cm="1">
        <f t="array" ref="N1189">_xlfn.IFS(I1189="AEX",H1189/400,I1189="RP",H1189/200)</f>
        <v>#N/A</v>
      </c>
      <c r="P1189" s="75" t="e">
        <f t="shared" si="179"/>
        <v>#DIV/0!</v>
      </c>
      <c r="Q1189" s="3" t="e" cm="1">
        <f t="array" ref="Q1189">_xlfn.IFS(P1189&lt;200, "10", P1189&lt;400, "12", P1189&lt;600, "14", P1189&gt;600, "16")</f>
        <v>#DIV/0!</v>
      </c>
      <c r="R1189" s="75">
        <f t="shared" si="180"/>
        <v>0</v>
      </c>
      <c r="S1189" s="75" t="e">
        <f t="shared" si="181"/>
        <v>#DIV/0!</v>
      </c>
      <c r="U1189" s="306" t="e">
        <f t="shared" si="182"/>
        <v>#DIV/0!</v>
      </c>
    </row>
    <row r="1190" spans="4:21" x14ac:dyDescent="0.35">
      <c r="D1190" s="3"/>
      <c r="G1190" s="3" t="s">
        <v>87</v>
      </c>
      <c r="M1190" s="3"/>
      <c r="N1190" s="356" t="e" cm="1">
        <f t="array" ref="N1190">_xlfn.IFS(I1190="AEX",H1190/400,I1190="RP",H1190/200)</f>
        <v>#N/A</v>
      </c>
      <c r="P1190" s="75" t="e">
        <f t="shared" si="179"/>
        <v>#DIV/0!</v>
      </c>
      <c r="Q1190" s="3" t="e" cm="1">
        <f t="array" ref="Q1190">_xlfn.IFS(P1190&lt;200, "10", P1190&lt;400, "12", P1190&lt;600, "14", P1190&gt;600, "16")</f>
        <v>#DIV/0!</v>
      </c>
      <c r="R1190" s="75">
        <f t="shared" si="180"/>
        <v>0</v>
      </c>
      <c r="S1190" s="75" t="e">
        <f t="shared" si="181"/>
        <v>#DIV/0!</v>
      </c>
      <c r="U1190" s="306" t="e">
        <f t="shared" si="182"/>
        <v>#DIV/0!</v>
      </c>
    </row>
    <row r="1191" spans="4:21" x14ac:dyDescent="0.35">
      <c r="D1191" s="3"/>
      <c r="G1191" s="3" t="s">
        <v>87</v>
      </c>
      <c r="M1191" s="3"/>
      <c r="N1191" s="356" t="e" cm="1">
        <f t="array" ref="N1191">_xlfn.IFS(I1191="AEX",H1191/400,I1191="RP",H1191/200)</f>
        <v>#N/A</v>
      </c>
      <c r="P1191" s="75" t="e">
        <f t="shared" si="179"/>
        <v>#DIV/0!</v>
      </c>
      <c r="Q1191" s="3" t="e" cm="1">
        <f t="array" ref="Q1191">_xlfn.IFS(P1191&lt;200, "10", P1191&lt;400, "12", P1191&lt;600, "14", P1191&gt;600, "16")</f>
        <v>#DIV/0!</v>
      </c>
      <c r="R1191" s="75">
        <f t="shared" si="180"/>
        <v>0</v>
      </c>
      <c r="S1191" s="75" t="e">
        <f t="shared" si="181"/>
        <v>#DIV/0!</v>
      </c>
      <c r="U1191" s="306" t="e">
        <f t="shared" si="182"/>
        <v>#DIV/0!</v>
      </c>
    </row>
    <row r="1192" spans="4:21" x14ac:dyDescent="0.35">
      <c r="D1192" s="3"/>
      <c r="G1192" s="3" t="s">
        <v>87</v>
      </c>
      <c r="M1192" s="3"/>
      <c r="N1192" s="356" t="e" cm="1">
        <f t="array" ref="N1192">_xlfn.IFS(I1192="AEX",H1192/400,I1192="RP",H1192/200)</f>
        <v>#N/A</v>
      </c>
      <c r="P1192" s="75" t="e">
        <f t="shared" si="179"/>
        <v>#DIV/0!</v>
      </c>
      <c r="Q1192" s="3" t="e" cm="1">
        <f t="array" ref="Q1192">_xlfn.IFS(P1192&lt;200, "10", P1192&lt;400, "12", P1192&lt;600, "14", P1192&gt;600, "16")</f>
        <v>#DIV/0!</v>
      </c>
      <c r="R1192" s="75">
        <f t="shared" si="180"/>
        <v>0</v>
      </c>
      <c r="S1192" s="75" t="e">
        <f t="shared" si="181"/>
        <v>#DIV/0!</v>
      </c>
      <c r="U1192" s="306" t="e">
        <f t="shared" si="182"/>
        <v>#DIV/0!</v>
      </c>
    </row>
    <row r="1193" spans="4:21" x14ac:dyDescent="0.35">
      <c r="D1193" s="3"/>
      <c r="G1193" s="3" t="s">
        <v>87</v>
      </c>
      <c r="M1193" s="3"/>
      <c r="N1193" s="356" t="e" cm="1">
        <f t="array" ref="N1193">_xlfn.IFS(I1193="AEX",H1193/400,I1193="RP",H1193/200)</f>
        <v>#N/A</v>
      </c>
      <c r="P1193" s="75" t="e">
        <f t="shared" si="179"/>
        <v>#DIV/0!</v>
      </c>
      <c r="Q1193" s="3" t="e" cm="1">
        <f t="array" ref="Q1193">_xlfn.IFS(P1193&lt;200, "10", P1193&lt;400, "12", P1193&lt;600, "14", P1193&gt;600, "16")</f>
        <v>#DIV/0!</v>
      </c>
      <c r="R1193" s="75">
        <f t="shared" si="180"/>
        <v>0</v>
      </c>
      <c r="S1193" s="75" t="e">
        <f t="shared" si="181"/>
        <v>#DIV/0!</v>
      </c>
      <c r="U1193" s="306" t="e">
        <f t="shared" si="182"/>
        <v>#DIV/0!</v>
      </c>
    </row>
    <row r="1194" spans="4:21" x14ac:dyDescent="0.35">
      <c r="D1194" s="3"/>
      <c r="G1194" s="3" t="s">
        <v>87</v>
      </c>
      <c r="M1194" s="3"/>
      <c r="N1194" s="356" t="e" cm="1">
        <f t="array" ref="N1194">_xlfn.IFS(I1194="AEX",H1194/400,I1194="RP",H1194/200)</f>
        <v>#N/A</v>
      </c>
      <c r="P1194" s="75" t="e">
        <f t="shared" ref="P1194:P1203" si="183">H1194/O1194</f>
        <v>#DIV/0!</v>
      </c>
      <c r="Q1194" s="3" t="e" cm="1">
        <f t="array" ref="Q1194">_xlfn.IFS(P1194&lt;200, "10", P1194&lt;400, "12", P1194&lt;600, "14", P1194&gt;600, "16")</f>
        <v>#DIV/0!</v>
      </c>
      <c r="R1194" s="75">
        <f t="shared" ref="R1194:R1203" si="184">IF(I1194="AEX",H1194*0.3/400,H1194*0.3/200)</f>
        <v>0</v>
      </c>
      <c r="S1194" s="75" t="e">
        <f t="shared" si="181"/>
        <v>#DIV/0!</v>
      </c>
      <c r="U1194" s="306" t="e">
        <f t="shared" si="182"/>
        <v>#DIV/0!</v>
      </c>
    </row>
    <row r="1195" spans="4:21" x14ac:dyDescent="0.35">
      <c r="D1195" s="3"/>
      <c r="G1195" s="3" t="s">
        <v>87</v>
      </c>
      <c r="M1195" s="3"/>
      <c r="N1195" s="356" t="e" cm="1">
        <f t="array" ref="N1195">_xlfn.IFS(I1195="AEX",H1195/400,I1195="RP",H1195/200)</f>
        <v>#N/A</v>
      </c>
      <c r="P1195" s="75" t="e">
        <f t="shared" si="183"/>
        <v>#DIV/0!</v>
      </c>
      <c r="Q1195" s="3" t="e" cm="1">
        <f t="array" ref="Q1195">_xlfn.IFS(P1195&lt;200, "10", P1195&lt;400, "12", P1195&lt;600, "14", P1195&gt;600, "16")</f>
        <v>#DIV/0!</v>
      </c>
      <c r="R1195" s="75">
        <f t="shared" si="184"/>
        <v>0</v>
      </c>
      <c r="S1195" s="75" t="e">
        <f t="shared" si="181"/>
        <v>#DIV/0!</v>
      </c>
      <c r="U1195" s="306" t="e">
        <f t="shared" si="182"/>
        <v>#DIV/0!</v>
      </c>
    </row>
    <row r="1196" spans="4:21" x14ac:dyDescent="0.35">
      <c r="D1196" s="3"/>
      <c r="G1196" s="3" t="s">
        <v>87</v>
      </c>
      <c r="M1196" s="3"/>
      <c r="N1196" s="356" t="e" cm="1">
        <f t="array" ref="N1196">_xlfn.IFS(I1196="AEX",H1196/400,I1196="RP",H1196/200)</f>
        <v>#N/A</v>
      </c>
      <c r="P1196" s="75" t="e">
        <f t="shared" si="183"/>
        <v>#DIV/0!</v>
      </c>
      <c r="Q1196" s="3" t="e" cm="1">
        <f t="array" ref="Q1196">_xlfn.IFS(P1196&lt;200, "10", P1196&lt;400, "12", P1196&lt;600, "14", P1196&gt;600, "16")</f>
        <v>#DIV/0!</v>
      </c>
      <c r="R1196" s="75">
        <f t="shared" si="184"/>
        <v>0</v>
      </c>
      <c r="S1196" s="75" t="e">
        <f t="shared" si="181"/>
        <v>#DIV/0!</v>
      </c>
      <c r="U1196" s="306" t="e">
        <f t="shared" si="182"/>
        <v>#DIV/0!</v>
      </c>
    </row>
    <row r="1197" spans="4:21" x14ac:dyDescent="0.35">
      <c r="D1197" s="3"/>
      <c r="G1197" s="3" t="s">
        <v>87</v>
      </c>
      <c r="M1197" s="3"/>
      <c r="N1197" s="356" t="e" cm="1">
        <f t="array" ref="N1197">_xlfn.IFS(I1197="AEX",H1197/400,I1197="RP",H1197/200)</f>
        <v>#N/A</v>
      </c>
      <c r="P1197" s="75" t="e">
        <f t="shared" si="183"/>
        <v>#DIV/0!</v>
      </c>
      <c r="Q1197" s="3" t="e" cm="1">
        <f t="array" ref="Q1197">_xlfn.IFS(P1197&lt;200, "10", P1197&lt;400, "12", P1197&lt;600, "14", P1197&gt;600, "16")</f>
        <v>#DIV/0!</v>
      </c>
      <c r="R1197" s="75">
        <f t="shared" si="184"/>
        <v>0</v>
      </c>
      <c r="S1197" s="75" t="e">
        <f t="shared" si="181"/>
        <v>#DIV/0!</v>
      </c>
      <c r="U1197" s="306" t="e">
        <f t="shared" si="182"/>
        <v>#DIV/0!</v>
      </c>
    </row>
    <row r="1198" spans="4:21" x14ac:dyDescent="0.35">
      <c r="D1198" s="3"/>
      <c r="G1198" s="3" t="s">
        <v>87</v>
      </c>
      <c r="M1198" s="3"/>
      <c r="N1198" s="356" t="e" cm="1">
        <f t="array" ref="N1198">_xlfn.IFS(I1198="AEX",H1198/400,I1198="RP",H1198/200)</f>
        <v>#N/A</v>
      </c>
      <c r="P1198" s="75" t="e">
        <f t="shared" si="183"/>
        <v>#DIV/0!</v>
      </c>
      <c r="Q1198" s="3" t="e" cm="1">
        <f t="array" ref="Q1198">_xlfn.IFS(P1198&lt;200, "10", P1198&lt;400, "12", P1198&lt;600, "14", P1198&gt;600, "16")</f>
        <v>#DIV/0!</v>
      </c>
      <c r="R1198" s="75">
        <f t="shared" si="184"/>
        <v>0</v>
      </c>
      <c r="S1198" s="75" t="e">
        <f t="shared" si="181"/>
        <v>#DIV/0!</v>
      </c>
      <c r="U1198" s="306" t="e">
        <f t="shared" si="182"/>
        <v>#DIV/0!</v>
      </c>
    </row>
    <row r="1199" spans="4:21" x14ac:dyDescent="0.35">
      <c r="D1199" s="3"/>
      <c r="G1199" s="3" t="s">
        <v>87</v>
      </c>
      <c r="M1199" s="3"/>
      <c r="N1199" s="356" t="e" cm="1">
        <f t="array" ref="N1199">_xlfn.IFS(I1199="AEX",H1199/400,I1199="RP",H1199/200)</f>
        <v>#N/A</v>
      </c>
      <c r="P1199" s="75" t="e">
        <f t="shared" si="183"/>
        <v>#DIV/0!</v>
      </c>
      <c r="Q1199" s="3" t="e" cm="1">
        <f t="array" ref="Q1199">_xlfn.IFS(P1199&lt;200, "10", P1199&lt;400, "12", P1199&lt;600, "14", P1199&gt;600, "16")</f>
        <v>#DIV/0!</v>
      </c>
      <c r="R1199" s="75">
        <f t="shared" si="184"/>
        <v>0</v>
      </c>
      <c r="S1199" s="75" t="e">
        <f t="shared" si="181"/>
        <v>#DIV/0!</v>
      </c>
      <c r="U1199" s="306" t="e">
        <f t="shared" si="182"/>
        <v>#DIV/0!</v>
      </c>
    </row>
    <row r="1200" spans="4:21" x14ac:dyDescent="0.35">
      <c r="D1200" s="3"/>
      <c r="G1200" s="3" t="s">
        <v>87</v>
      </c>
      <c r="M1200" s="3"/>
      <c r="N1200" s="356" t="e" cm="1">
        <f t="array" ref="N1200">_xlfn.IFS(I1200="AEX",H1200/400,I1200="RP",H1200/200)</f>
        <v>#N/A</v>
      </c>
      <c r="P1200" s="75" t="e">
        <f t="shared" si="183"/>
        <v>#DIV/0!</v>
      </c>
      <c r="Q1200" s="3" t="e" cm="1">
        <f t="array" ref="Q1200">_xlfn.IFS(P1200&lt;200, "10", P1200&lt;400, "12", P1200&lt;600, "14", P1200&gt;600, "16")</f>
        <v>#DIV/0!</v>
      </c>
      <c r="R1200" s="75">
        <f t="shared" si="184"/>
        <v>0</v>
      </c>
      <c r="S1200" s="75" t="e">
        <f t="shared" si="181"/>
        <v>#DIV/0!</v>
      </c>
      <c r="U1200" s="306" t="e">
        <f t="shared" si="182"/>
        <v>#DIV/0!</v>
      </c>
    </row>
    <row r="1201" spans="4:21" x14ac:dyDescent="0.35">
      <c r="D1201" s="3"/>
      <c r="G1201" s="3" t="s">
        <v>87</v>
      </c>
      <c r="M1201" s="3"/>
      <c r="N1201" s="356" t="e" cm="1">
        <f t="array" ref="N1201">_xlfn.IFS(I1201="AEX",H1201/400,I1201="RP",H1201/200)</f>
        <v>#N/A</v>
      </c>
      <c r="P1201" s="75" t="e">
        <f t="shared" si="183"/>
        <v>#DIV/0!</v>
      </c>
      <c r="Q1201" s="3" t="e" cm="1">
        <f t="array" ref="Q1201">_xlfn.IFS(P1201&lt;200, "10", P1201&lt;400, "12", P1201&lt;600, "14", P1201&gt;600, "16")</f>
        <v>#DIV/0!</v>
      </c>
      <c r="R1201" s="75">
        <f t="shared" si="184"/>
        <v>0</v>
      </c>
      <c r="S1201" s="75" t="e">
        <f t="shared" si="181"/>
        <v>#DIV/0!</v>
      </c>
      <c r="U1201" s="306" t="e">
        <f t="shared" si="182"/>
        <v>#DIV/0!</v>
      </c>
    </row>
    <row r="1202" spans="4:21" x14ac:dyDescent="0.35">
      <c r="D1202" s="3"/>
      <c r="G1202" s="3" t="s">
        <v>87</v>
      </c>
      <c r="M1202" s="3"/>
      <c r="N1202" s="356" t="e" cm="1">
        <f t="array" ref="N1202">_xlfn.IFS(I1202="AEX",H1202/400,I1202="RP",H1202/200)</f>
        <v>#N/A</v>
      </c>
      <c r="P1202" s="75" t="e">
        <f t="shared" si="183"/>
        <v>#DIV/0!</v>
      </c>
      <c r="Q1202" s="3" t="e" cm="1">
        <f t="array" ref="Q1202">_xlfn.IFS(P1202&lt;200, "10", P1202&lt;400, "12", P1202&lt;600, "14", P1202&gt;600, "16")</f>
        <v>#DIV/0!</v>
      </c>
      <c r="R1202" s="75">
        <f t="shared" si="184"/>
        <v>0</v>
      </c>
      <c r="S1202" s="75" t="e">
        <f t="shared" si="181"/>
        <v>#DIV/0!</v>
      </c>
      <c r="U1202" s="306" t="e">
        <f t="shared" si="182"/>
        <v>#DIV/0!</v>
      </c>
    </row>
    <row r="1203" spans="4:21" x14ac:dyDescent="0.35">
      <c r="D1203" s="3"/>
      <c r="G1203" s="3" t="s">
        <v>87</v>
      </c>
      <c r="M1203" s="3"/>
      <c r="N1203" s="356" t="e" cm="1">
        <f t="array" ref="N1203">_xlfn.IFS(I1203="AEX",H1203/400,I1203="RP",H1203/200)</f>
        <v>#N/A</v>
      </c>
      <c r="P1203" s="75" t="e">
        <f t="shared" si="183"/>
        <v>#DIV/0!</v>
      </c>
      <c r="Q1203" s="3" t="e" cm="1">
        <f t="array" ref="Q1203">_xlfn.IFS(P1203&lt;200, "10", P1203&lt;400, "12", P1203&lt;600, "14", P1203&gt;600, "16")</f>
        <v>#DIV/0!</v>
      </c>
      <c r="R1203" s="75">
        <f t="shared" si="184"/>
        <v>0</v>
      </c>
      <c r="S1203" s="75" t="e">
        <f t="shared" ref="S1203" si="185">R1203/O1203</f>
        <v>#DIV/0!</v>
      </c>
      <c r="U1203" s="306" t="e">
        <f t="shared" si="182"/>
        <v>#DIV/0!</v>
      </c>
    </row>
    <row r="1204" spans="4:21" x14ac:dyDescent="0.35">
      <c r="D1204" s="3"/>
      <c r="G1204" s="3" t="s">
        <v>87</v>
      </c>
      <c r="M1204" s="3"/>
      <c r="N1204" s="356" t="e" cm="1">
        <f t="array" ref="N1204">_xlfn.IFS(I1204="AEX",H1204/400,I1204="RP",H1204/200)</f>
        <v>#N/A</v>
      </c>
      <c r="P1204" s="75" t="e">
        <f t="shared" ref="P1204:P1267" si="186">H1204/O1204</f>
        <v>#DIV/0!</v>
      </c>
      <c r="Q1204" s="3" t="e" cm="1">
        <f t="array" ref="Q1204">_xlfn.IFS(P1204&lt;200, "10", P1204&lt;400, "12", P1204&lt;600, "14", P1204&gt;600, "16")</f>
        <v>#DIV/0!</v>
      </c>
      <c r="R1204" s="75">
        <f t="shared" ref="R1204:R1267" si="187">IF(I1204="AEX",H1204*0.3/400,H1204*0.3/200)</f>
        <v>0</v>
      </c>
      <c r="S1204" s="75" t="e">
        <f t="shared" ref="S1204:S1267" si="188">R1204/O1204</f>
        <v>#DIV/0!</v>
      </c>
      <c r="U1204" s="306" t="e">
        <f t="shared" ref="U1204:U1267" si="189">T1204/H1204*100</f>
        <v>#DIV/0!</v>
      </c>
    </row>
    <row r="1205" spans="4:21" x14ac:dyDescent="0.35">
      <c r="D1205" s="3"/>
      <c r="G1205" s="3" t="s">
        <v>87</v>
      </c>
      <c r="M1205" s="3"/>
      <c r="N1205" s="356" t="e" cm="1">
        <f t="array" ref="N1205">_xlfn.IFS(I1205="AEX",H1205/400,I1205="RP",H1205/200)</f>
        <v>#N/A</v>
      </c>
      <c r="P1205" s="75" t="e">
        <f t="shared" si="186"/>
        <v>#DIV/0!</v>
      </c>
      <c r="Q1205" s="3" t="e" cm="1">
        <f t="array" ref="Q1205">_xlfn.IFS(P1205&lt;200, "10", P1205&lt;400, "12", P1205&lt;600, "14", P1205&gt;600, "16")</f>
        <v>#DIV/0!</v>
      </c>
      <c r="R1205" s="75">
        <f t="shared" si="187"/>
        <v>0</v>
      </c>
      <c r="S1205" s="75" t="e">
        <f t="shared" si="188"/>
        <v>#DIV/0!</v>
      </c>
      <c r="U1205" s="306" t="e">
        <f t="shared" si="189"/>
        <v>#DIV/0!</v>
      </c>
    </row>
    <row r="1206" spans="4:21" x14ac:dyDescent="0.35">
      <c r="D1206" s="3"/>
      <c r="G1206" s="3" t="s">
        <v>87</v>
      </c>
      <c r="M1206" s="3"/>
      <c r="N1206" s="356" t="e" cm="1">
        <f t="array" ref="N1206">_xlfn.IFS(I1206="AEX",H1206/400,I1206="RP",H1206/200)</f>
        <v>#N/A</v>
      </c>
      <c r="P1206" s="75" t="e">
        <f t="shared" si="186"/>
        <v>#DIV/0!</v>
      </c>
      <c r="Q1206" s="3" t="e" cm="1">
        <f t="array" ref="Q1206">_xlfn.IFS(P1206&lt;200, "10", P1206&lt;400, "12", P1206&lt;600, "14", P1206&gt;600, "16")</f>
        <v>#DIV/0!</v>
      </c>
      <c r="R1206" s="75">
        <f t="shared" si="187"/>
        <v>0</v>
      </c>
      <c r="S1206" s="75" t="e">
        <f t="shared" si="188"/>
        <v>#DIV/0!</v>
      </c>
      <c r="U1206" s="306" t="e">
        <f t="shared" si="189"/>
        <v>#DIV/0!</v>
      </c>
    </row>
    <row r="1207" spans="4:21" x14ac:dyDescent="0.35">
      <c r="D1207" s="3"/>
      <c r="G1207" s="3" t="s">
        <v>87</v>
      </c>
      <c r="M1207" s="3"/>
      <c r="N1207" s="356" t="e" cm="1">
        <f t="array" ref="N1207">_xlfn.IFS(I1207="AEX",H1207/400,I1207="RP",H1207/200)</f>
        <v>#N/A</v>
      </c>
      <c r="P1207" s="75" t="e">
        <f t="shared" si="186"/>
        <v>#DIV/0!</v>
      </c>
      <c r="Q1207" s="3" t="e" cm="1">
        <f t="array" ref="Q1207">_xlfn.IFS(P1207&lt;200, "10", P1207&lt;400, "12", P1207&lt;600, "14", P1207&gt;600, "16")</f>
        <v>#DIV/0!</v>
      </c>
      <c r="R1207" s="75">
        <f t="shared" si="187"/>
        <v>0</v>
      </c>
      <c r="S1207" s="75" t="e">
        <f t="shared" si="188"/>
        <v>#DIV/0!</v>
      </c>
      <c r="U1207" s="306" t="e">
        <f t="shared" si="189"/>
        <v>#DIV/0!</v>
      </c>
    </row>
    <row r="1208" spans="4:21" x14ac:dyDescent="0.35">
      <c r="D1208" s="3"/>
      <c r="G1208" s="3" t="s">
        <v>87</v>
      </c>
      <c r="M1208" s="3"/>
      <c r="N1208" s="356" t="e" cm="1">
        <f t="array" ref="N1208">_xlfn.IFS(I1208="AEX",H1208/400,I1208="RP",H1208/200)</f>
        <v>#N/A</v>
      </c>
      <c r="P1208" s="75" t="e">
        <f t="shared" si="186"/>
        <v>#DIV/0!</v>
      </c>
      <c r="Q1208" s="3" t="e" cm="1">
        <f t="array" ref="Q1208">_xlfn.IFS(P1208&lt;200, "10", P1208&lt;400, "12", P1208&lt;600, "14", P1208&gt;600, "16")</f>
        <v>#DIV/0!</v>
      </c>
      <c r="R1208" s="75">
        <f t="shared" si="187"/>
        <v>0</v>
      </c>
      <c r="S1208" s="75" t="e">
        <f t="shared" si="188"/>
        <v>#DIV/0!</v>
      </c>
      <c r="U1208" s="306" t="e">
        <f t="shared" si="189"/>
        <v>#DIV/0!</v>
      </c>
    </row>
    <row r="1209" spans="4:21" x14ac:dyDescent="0.35">
      <c r="D1209" s="3"/>
      <c r="G1209" s="3" t="s">
        <v>87</v>
      </c>
      <c r="M1209" s="3"/>
      <c r="N1209" s="356" t="e" cm="1">
        <f t="array" ref="N1209">_xlfn.IFS(I1209="AEX",H1209/400,I1209="RP",H1209/200)</f>
        <v>#N/A</v>
      </c>
      <c r="P1209" s="75" t="e">
        <f t="shared" si="186"/>
        <v>#DIV/0!</v>
      </c>
      <c r="Q1209" s="3" t="e" cm="1">
        <f t="array" ref="Q1209">_xlfn.IFS(P1209&lt;200, "10", P1209&lt;400, "12", P1209&lt;600, "14", P1209&gt;600, "16")</f>
        <v>#DIV/0!</v>
      </c>
      <c r="R1209" s="75">
        <f t="shared" si="187"/>
        <v>0</v>
      </c>
      <c r="S1209" s="75" t="e">
        <f t="shared" si="188"/>
        <v>#DIV/0!</v>
      </c>
      <c r="U1209" s="306" t="e">
        <f t="shared" si="189"/>
        <v>#DIV/0!</v>
      </c>
    </row>
    <row r="1210" spans="4:21" x14ac:dyDescent="0.35">
      <c r="D1210" s="3"/>
      <c r="G1210" s="3" t="s">
        <v>87</v>
      </c>
      <c r="M1210" s="3"/>
      <c r="N1210" s="356" t="e" cm="1">
        <f t="array" ref="N1210">_xlfn.IFS(I1210="AEX",H1210/400,I1210="RP",H1210/200)</f>
        <v>#N/A</v>
      </c>
      <c r="P1210" s="75" t="e">
        <f t="shared" si="186"/>
        <v>#DIV/0!</v>
      </c>
      <c r="Q1210" s="3" t="e" cm="1">
        <f t="array" ref="Q1210">_xlfn.IFS(P1210&lt;200, "10", P1210&lt;400, "12", P1210&lt;600, "14", P1210&gt;600, "16")</f>
        <v>#DIV/0!</v>
      </c>
      <c r="R1210" s="75">
        <f t="shared" si="187"/>
        <v>0</v>
      </c>
      <c r="S1210" s="75" t="e">
        <f t="shared" si="188"/>
        <v>#DIV/0!</v>
      </c>
      <c r="U1210" s="306" t="e">
        <f t="shared" si="189"/>
        <v>#DIV/0!</v>
      </c>
    </row>
    <row r="1211" spans="4:21" x14ac:dyDescent="0.35">
      <c r="D1211" s="3"/>
      <c r="G1211" s="3" t="s">
        <v>87</v>
      </c>
      <c r="M1211" s="3"/>
      <c r="N1211" s="356" t="e" cm="1">
        <f t="array" ref="N1211">_xlfn.IFS(I1211="AEX",H1211/400,I1211="RP",H1211/200)</f>
        <v>#N/A</v>
      </c>
      <c r="P1211" s="75" t="e">
        <f t="shared" si="186"/>
        <v>#DIV/0!</v>
      </c>
      <c r="Q1211" s="3" t="e" cm="1">
        <f t="array" ref="Q1211">_xlfn.IFS(P1211&lt;200, "10", P1211&lt;400, "12", P1211&lt;600, "14", P1211&gt;600, "16")</f>
        <v>#DIV/0!</v>
      </c>
      <c r="R1211" s="75">
        <f t="shared" si="187"/>
        <v>0</v>
      </c>
      <c r="S1211" s="75" t="e">
        <f t="shared" si="188"/>
        <v>#DIV/0!</v>
      </c>
      <c r="U1211" s="306" t="e">
        <f t="shared" si="189"/>
        <v>#DIV/0!</v>
      </c>
    </row>
    <row r="1212" spans="4:21" x14ac:dyDescent="0.35">
      <c r="D1212" s="3"/>
      <c r="G1212" s="3" t="s">
        <v>87</v>
      </c>
      <c r="M1212" s="3"/>
      <c r="N1212" s="356" t="e" cm="1">
        <f t="array" ref="N1212">_xlfn.IFS(I1212="AEX",H1212/400,I1212="RP",H1212/200)</f>
        <v>#N/A</v>
      </c>
      <c r="P1212" s="75" t="e">
        <f t="shared" si="186"/>
        <v>#DIV/0!</v>
      </c>
      <c r="Q1212" s="3" t="e" cm="1">
        <f t="array" ref="Q1212">_xlfn.IFS(P1212&lt;200, "10", P1212&lt;400, "12", P1212&lt;600, "14", P1212&gt;600, "16")</f>
        <v>#DIV/0!</v>
      </c>
      <c r="R1212" s="75">
        <f t="shared" si="187"/>
        <v>0</v>
      </c>
      <c r="S1212" s="75" t="e">
        <f t="shared" si="188"/>
        <v>#DIV/0!</v>
      </c>
      <c r="U1212" s="306" t="e">
        <f t="shared" si="189"/>
        <v>#DIV/0!</v>
      </c>
    </row>
    <row r="1213" spans="4:21" x14ac:dyDescent="0.35">
      <c r="D1213" s="3"/>
      <c r="G1213" s="3" t="s">
        <v>87</v>
      </c>
      <c r="M1213" s="3"/>
      <c r="N1213" s="356" t="e" cm="1">
        <f t="array" ref="N1213">_xlfn.IFS(I1213="AEX",H1213/400,I1213="RP",H1213/200)</f>
        <v>#N/A</v>
      </c>
      <c r="P1213" s="75" t="e">
        <f t="shared" si="186"/>
        <v>#DIV/0!</v>
      </c>
      <c r="Q1213" s="3" t="e" cm="1">
        <f t="array" ref="Q1213">_xlfn.IFS(P1213&lt;200, "10", P1213&lt;400, "12", P1213&lt;600, "14", P1213&gt;600, "16")</f>
        <v>#DIV/0!</v>
      </c>
      <c r="R1213" s="75">
        <f t="shared" si="187"/>
        <v>0</v>
      </c>
      <c r="S1213" s="75" t="e">
        <f t="shared" si="188"/>
        <v>#DIV/0!</v>
      </c>
      <c r="U1213" s="306" t="e">
        <f t="shared" si="189"/>
        <v>#DIV/0!</v>
      </c>
    </row>
    <row r="1214" spans="4:21" x14ac:dyDescent="0.35">
      <c r="D1214" s="3"/>
      <c r="G1214" s="3" t="s">
        <v>87</v>
      </c>
      <c r="M1214" s="3"/>
      <c r="N1214" s="356" t="e" cm="1">
        <f t="array" ref="N1214">_xlfn.IFS(I1214="AEX",H1214/400,I1214="RP",H1214/200)</f>
        <v>#N/A</v>
      </c>
      <c r="P1214" s="75" t="e">
        <f t="shared" si="186"/>
        <v>#DIV/0!</v>
      </c>
      <c r="Q1214" s="3" t="e" cm="1">
        <f t="array" ref="Q1214">_xlfn.IFS(P1214&lt;200, "10", P1214&lt;400, "12", P1214&lt;600, "14", P1214&gt;600, "16")</f>
        <v>#DIV/0!</v>
      </c>
      <c r="R1214" s="75">
        <f t="shared" si="187"/>
        <v>0</v>
      </c>
      <c r="S1214" s="75" t="e">
        <f t="shared" si="188"/>
        <v>#DIV/0!</v>
      </c>
      <c r="U1214" s="306" t="e">
        <f t="shared" si="189"/>
        <v>#DIV/0!</v>
      </c>
    </row>
    <row r="1215" spans="4:21" x14ac:dyDescent="0.35">
      <c r="D1215" s="3"/>
      <c r="G1215" s="3" t="s">
        <v>87</v>
      </c>
      <c r="M1215" s="3"/>
      <c r="N1215" s="356" t="e" cm="1">
        <f t="array" ref="N1215">_xlfn.IFS(I1215="AEX",H1215/400,I1215="RP",H1215/200)</f>
        <v>#N/A</v>
      </c>
      <c r="P1215" s="75" t="e">
        <f t="shared" si="186"/>
        <v>#DIV/0!</v>
      </c>
      <c r="Q1215" s="3" t="e" cm="1">
        <f t="array" ref="Q1215">_xlfn.IFS(P1215&lt;200, "10", P1215&lt;400, "12", P1215&lt;600, "14", P1215&gt;600, "16")</f>
        <v>#DIV/0!</v>
      </c>
      <c r="R1215" s="75">
        <f t="shared" si="187"/>
        <v>0</v>
      </c>
      <c r="S1215" s="75" t="e">
        <f t="shared" si="188"/>
        <v>#DIV/0!</v>
      </c>
      <c r="U1215" s="306" t="e">
        <f t="shared" si="189"/>
        <v>#DIV/0!</v>
      </c>
    </row>
    <row r="1216" spans="4:21" x14ac:dyDescent="0.35">
      <c r="D1216" s="3"/>
      <c r="G1216" s="3" t="s">
        <v>87</v>
      </c>
      <c r="M1216" s="3"/>
      <c r="N1216" s="356" t="e" cm="1">
        <f t="array" ref="N1216">_xlfn.IFS(I1216="AEX",H1216/400,I1216="RP",H1216/200)</f>
        <v>#N/A</v>
      </c>
      <c r="P1216" s="75" t="e">
        <f t="shared" si="186"/>
        <v>#DIV/0!</v>
      </c>
      <c r="Q1216" s="3" t="e" cm="1">
        <f t="array" ref="Q1216">_xlfn.IFS(P1216&lt;200, "10", P1216&lt;400, "12", P1216&lt;600, "14", P1216&gt;600, "16")</f>
        <v>#DIV/0!</v>
      </c>
      <c r="R1216" s="75">
        <f t="shared" si="187"/>
        <v>0</v>
      </c>
      <c r="S1216" s="75" t="e">
        <f t="shared" si="188"/>
        <v>#DIV/0!</v>
      </c>
      <c r="U1216" s="306" t="e">
        <f t="shared" si="189"/>
        <v>#DIV/0!</v>
      </c>
    </row>
    <row r="1217" spans="4:21" x14ac:dyDescent="0.35">
      <c r="D1217" s="3"/>
      <c r="G1217" s="3" t="s">
        <v>87</v>
      </c>
      <c r="M1217" s="3"/>
      <c r="N1217" s="356" t="e" cm="1">
        <f t="array" ref="N1217">_xlfn.IFS(I1217="AEX",H1217/400,I1217="RP",H1217/200)</f>
        <v>#N/A</v>
      </c>
      <c r="P1217" s="75" t="e">
        <f t="shared" si="186"/>
        <v>#DIV/0!</v>
      </c>
      <c r="Q1217" s="3" t="e" cm="1">
        <f t="array" ref="Q1217">_xlfn.IFS(P1217&lt;200, "10", P1217&lt;400, "12", P1217&lt;600, "14", P1217&gt;600, "16")</f>
        <v>#DIV/0!</v>
      </c>
      <c r="R1217" s="75">
        <f t="shared" si="187"/>
        <v>0</v>
      </c>
      <c r="S1217" s="75" t="e">
        <f t="shared" si="188"/>
        <v>#DIV/0!</v>
      </c>
      <c r="U1217" s="306" t="e">
        <f t="shared" si="189"/>
        <v>#DIV/0!</v>
      </c>
    </row>
    <row r="1218" spans="4:21" x14ac:dyDescent="0.35">
      <c r="D1218" s="3"/>
      <c r="G1218" s="3" t="s">
        <v>87</v>
      </c>
      <c r="M1218" s="3"/>
      <c r="N1218" s="356" t="e" cm="1">
        <f t="array" ref="N1218">_xlfn.IFS(I1218="AEX",H1218/400,I1218="RP",H1218/200)</f>
        <v>#N/A</v>
      </c>
      <c r="P1218" s="75" t="e">
        <f t="shared" si="186"/>
        <v>#DIV/0!</v>
      </c>
      <c r="Q1218" s="3" t="e" cm="1">
        <f t="array" ref="Q1218">_xlfn.IFS(P1218&lt;200, "10", P1218&lt;400, "12", P1218&lt;600, "14", P1218&gt;600, "16")</f>
        <v>#DIV/0!</v>
      </c>
      <c r="R1218" s="75">
        <f t="shared" si="187"/>
        <v>0</v>
      </c>
      <c r="S1218" s="75" t="e">
        <f t="shared" si="188"/>
        <v>#DIV/0!</v>
      </c>
      <c r="U1218" s="306" t="e">
        <f t="shared" si="189"/>
        <v>#DIV/0!</v>
      </c>
    </row>
    <row r="1219" spans="4:21" x14ac:dyDescent="0.35">
      <c r="D1219" s="3"/>
      <c r="G1219" s="3" t="s">
        <v>87</v>
      </c>
      <c r="M1219" s="3"/>
      <c r="N1219" s="356" t="e" cm="1">
        <f t="array" ref="N1219">_xlfn.IFS(I1219="AEX",H1219/400,I1219="RP",H1219/200)</f>
        <v>#N/A</v>
      </c>
      <c r="P1219" s="75" t="e">
        <f t="shared" si="186"/>
        <v>#DIV/0!</v>
      </c>
      <c r="Q1219" s="3" t="e" cm="1">
        <f t="array" ref="Q1219">_xlfn.IFS(P1219&lt;200, "10", P1219&lt;400, "12", P1219&lt;600, "14", P1219&gt;600, "16")</f>
        <v>#DIV/0!</v>
      </c>
      <c r="R1219" s="75">
        <f t="shared" si="187"/>
        <v>0</v>
      </c>
      <c r="S1219" s="75" t="e">
        <f t="shared" si="188"/>
        <v>#DIV/0!</v>
      </c>
      <c r="U1219" s="306" t="e">
        <f t="shared" si="189"/>
        <v>#DIV/0!</v>
      </c>
    </row>
    <row r="1220" spans="4:21" x14ac:dyDescent="0.35">
      <c r="D1220" s="3"/>
      <c r="G1220" s="3" t="s">
        <v>87</v>
      </c>
      <c r="M1220" s="3"/>
      <c r="N1220" s="356" t="e" cm="1">
        <f t="array" ref="N1220">_xlfn.IFS(I1220="AEX",H1220/400,I1220="RP",H1220/200)</f>
        <v>#N/A</v>
      </c>
      <c r="P1220" s="75" t="e">
        <f t="shared" si="186"/>
        <v>#DIV/0!</v>
      </c>
      <c r="Q1220" s="3" t="e" cm="1">
        <f t="array" ref="Q1220">_xlfn.IFS(P1220&lt;200, "10", P1220&lt;400, "12", P1220&lt;600, "14", P1220&gt;600, "16")</f>
        <v>#DIV/0!</v>
      </c>
      <c r="R1220" s="75">
        <f t="shared" si="187"/>
        <v>0</v>
      </c>
      <c r="S1220" s="75" t="e">
        <f t="shared" si="188"/>
        <v>#DIV/0!</v>
      </c>
      <c r="U1220" s="306" t="e">
        <f t="shared" si="189"/>
        <v>#DIV/0!</v>
      </c>
    </row>
    <row r="1221" spans="4:21" x14ac:dyDescent="0.35">
      <c r="D1221" s="3"/>
      <c r="G1221" s="3" t="s">
        <v>87</v>
      </c>
      <c r="M1221" s="3"/>
      <c r="N1221" s="356" t="e" cm="1">
        <f t="array" ref="N1221">_xlfn.IFS(I1221="AEX",H1221/400,I1221="RP",H1221/200)</f>
        <v>#N/A</v>
      </c>
      <c r="P1221" s="75" t="e">
        <f t="shared" si="186"/>
        <v>#DIV/0!</v>
      </c>
      <c r="Q1221" s="3" t="e" cm="1">
        <f t="array" ref="Q1221">_xlfn.IFS(P1221&lt;200, "10", P1221&lt;400, "12", P1221&lt;600, "14", P1221&gt;600, "16")</f>
        <v>#DIV/0!</v>
      </c>
      <c r="R1221" s="75">
        <f t="shared" si="187"/>
        <v>0</v>
      </c>
      <c r="S1221" s="75" t="e">
        <f t="shared" si="188"/>
        <v>#DIV/0!</v>
      </c>
      <c r="U1221" s="306" t="e">
        <f t="shared" si="189"/>
        <v>#DIV/0!</v>
      </c>
    </row>
    <row r="1222" spans="4:21" x14ac:dyDescent="0.35">
      <c r="D1222" s="3"/>
      <c r="G1222" s="3" t="s">
        <v>87</v>
      </c>
      <c r="M1222" s="3"/>
      <c r="N1222" s="356" t="e" cm="1">
        <f t="array" ref="N1222">_xlfn.IFS(I1222="AEX",H1222/400,I1222="RP",H1222/200)</f>
        <v>#N/A</v>
      </c>
      <c r="P1222" s="75" t="e">
        <f t="shared" si="186"/>
        <v>#DIV/0!</v>
      </c>
      <c r="Q1222" s="3" t="e" cm="1">
        <f t="array" ref="Q1222">_xlfn.IFS(P1222&lt;200, "10", P1222&lt;400, "12", P1222&lt;600, "14", P1222&gt;600, "16")</f>
        <v>#DIV/0!</v>
      </c>
      <c r="R1222" s="75">
        <f t="shared" si="187"/>
        <v>0</v>
      </c>
      <c r="S1222" s="75" t="e">
        <f t="shared" si="188"/>
        <v>#DIV/0!</v>
      </c>
      <c r="U1222" s="306" t="e">
        <f t="shared" si="189"/>
        <v>#DIV/0!</v>
      </c>
    </row>
    <row r="1223" spans="4:21" x14ac:dyDescent="0.35">
      <c r="D1223" s="3"/>
      <c r="G1223" s="3" t="s">
        <v>87</v>
      </c>
      <c r="M1223" s="3"/>
      <c r="N1223" s="356" t="e" cm="1">
        <f t="array" ref="N1223">_xlfn.IFS(I1223="AEX",H1223/400,I1223="RP",H1223/200)</f>
        <v>#N/A</v>
      </c>
      <c r="P1223" s="75" t="e">
        <f t="shared" si="186"/>
        <v>#DIV/0!</v>
      </c>
      <c r="Q1223" s="3" t="e" cm="1">
        <f t="array" ref="Q1223">_xlfn.IFS(P1223&lt;200, "10", P1223&lt;400, "12", P1223&lt;600, "14", P1223&gt;600, "16")</f>
        <v>#DIV/0!</v>
      </c>
      <c r="R1223" s="75">
        <f t="shared" si="187"/>
        <v>0</v>
      </c>
      <c r="S1223" s="75" t="e">
        <f t="shared" si="188"/>
        <v>#DIV/0!</v>
      </c>
      <c r="U1223" s="306" t="e">
        <f t="shared" si="189"/>
        <v>#DIV/0!</v>
      </c>
    </row>
    <row r="1224" spans="4:21" x14ac:dyDescent="0.35">
      <c r="D1224" s="3"/>
      <c r="G1224" s="3" t="s">
        <v>87</v>
      </c>
      <c r="M1224" s="3"/>
      <c r="N1224" s="356" t="e" cm="1">
        <f t="array" ref="N1224">_xlfn.IFS(I1224="AEX",H1224/400,I1224="RP",H1224/200)</f>
        <v>#N/A</v>
      </c>
      <c r="P1224" s="75" t="e">
        <f t="shared" si="186"/>
        <v>#DIV/0!</v>
      </c>
      <c r="Q1224" s="3" t="e" cm="1">
        <f t="array" ref="Q1224">_xlfn.IFS(P1224&lt;200, "10", P1224&lt;400, "12", P1224&lt;600, "14", P1224&gt;600, "16")</f>
        <v>#DIV/0!</v>
      </c>
      <c r="R1224" s="75">
        <f t="shared" si="187"/>
        <v>0</v>
      </c>
      <c r="S1224" s="75" t="e">
        <f t="shared" si="188"/>
        <v>#DIV/0!</v>
      </c>
      <c r="U1224" s="306" t="e">
        <f t="shared" si="189"/>
        <v>#DIV/0!</v>
      </c>
    </row>
    <row r="1225" spans="4:21" x14ac:dyDescent="0.35">
      <c r="D1225" s="3"/>
      <c r="G1225" s="3" t="s">
        <v>87</v>
      </c>
      <c r="M1225" s="3"/>
      <c r="N1225" s="356" t="e" cm="1">
        <f t="array" ref="N1225">_xlfn.IFS(I1225="AEX",H1225/400,I1225="RP",H1225/200)</f>
        <v>#N/A</v>
      </c>
      <c r="P1225" s="75" t="e">
        <f t="shared" si="186"/>
        <v>#DIV/0!</v>
      </c>
      <c r="Q1225" s="3" t="e" cm="1">
        <f t="array" ref="Q1225">_xlfn.IFS(P1225&lt;200, "10", P1225&lt;400, "12", P1225&lt;600, "14", P1225&gt;600, "16")</f>
        <v>#DIV/0!</v>
      </c>
      <c r="R1225" s="75">
        <f t="shared" si="187"/>
        <v>0</v>
      </c>
      <c r="S1225" s="75" t="e">
        <f t="shared" si="188"/>
        <v>#DIV/0!</v>
      </c>
      <c r="U1225" s="306" t="e">
        <f t="shared" si="189"/>
        <v>#DIV/0!</v>
      </c>
    </row>
    <row r="1226" spans="4:21" x14ac:dyDescent="0.35">
      <c r="D1226" s="3"/>
      <c r="G1226" s="3" t="s">
        <v>87</v>
      </c>
      <c r="M1226" s="3"/>
      <c r="N1226" s="356" t="e" cm="1">
        <f t="array" ref="N1226">_xlfn.IFS(I1226="AEX",H1226/400,I1226="RP",H1226/200)</f>
        <v>#N/A</v>
      </c>
      <c r="P1226" s="75" t="e">
        <f t="shared" si="186"/>
        <v>#DIV/0!</v>
      </c>
      <c r="Q1226" s="3" t="e" cm="1">
        <f t="array" ref="Q1226">_xlfn.IFS(P1226&lt;200, "10", P1226&lt;400, "12", P1226&lt;600, "14", P1226&gt;600, "16")</f>
        <v>#DIV/0!</v>
      </c>
      <c r="R1226" s="75">
        <f t="shared" si="187"/>
        <v>0</v>
      </c>
      <c r="S1226" s="75" t="e">
        <f t="shared" si="188"/>
        <v>#DIV/0!</v>
      </c>
      <c r="U1226" s="306" t="e">
        <f t="shared" si="189"/>
        <v>#DIV/0!</v>
      </c>
    </row>
    <row r="1227" spans="4:21" x14ac:dyDescent="0.35">
      <c r="D1227" s="3"/>
      <c r="G1227" s="3" t="s">
        <v>87</v>
      </c>
      <c r="M1227" s="3"/>
      <c r="N1227" s="356" t="e" cm="1">
        <f t="array" ref="N1227">_xlfn.IFS(I1227="AEX",H1227/400,I1227="RP",H1227/200)</f>
        <v>#N/A</v>
      </c>
      <c r="P1227" s="75" t="e">
        <f t="shared" si="186"/>
        <v>#DIV/0!</v>
      </c>
      <c r="Q1227" s="3" t="e" cm="1">
        <f t="array" ref="Q1227">_xlfn.IFS(P1227&lt;200, "10", P1227&lt;400, "12", P1227&lt;600, "14", P1227&gt;600, "16")</f>
        <v>#DIV/0!</v>
      </c>
      <c r="R1227" s="75">
        <f t="shared" si="187"/>
        <v>0</v>
      </c>
      <c r="S1227" s="75" t="e">
        <f t="shared" si="188"/>
        <v>#DIV/0!</v>
      </c>
      <c r="U1227" s="306" t="e">
        <f t="shared" si="189"/>
        <v>#DIV/0!</v>
      </c>
    </row>
    <row r="1228" spans="4:21" x14ac:dyDescent="0.35">
      <c r="D1228" s="3"/>
      <c r="G1228" s="3" t="s">
        <v>87</v>
      </c>
      <c r="M1228" s="3"/>
      <c r="N1228" s="356" t="e" cm="1">
        <f t="array" ref="N1228">_xlfn.IFS(I1228="AEX",H1228/400,I1228="RP",H1228/200)</f>
        <v>#N/A</v>
      </c>
      <c r="P1228" s="75" t="e">
        <f t="shared" si="186"/>
        <v>#DIV/0!</v>
      </c>
      <c r="Q1228" s="3" t="e" cm="1">
        <f t="array" ref="Q1228">_xlfn.IFS(P1228&lt;200, "10", P1228&lt;400, "12", P1228&lt;600, "14", P1228&gt;600, "16")</f>
        <v>#DIV/0!</v>
      </c>
      <c r="R1228" s="75">
        <f t="shared" si="187"/>
        <v>0</v>
      </c>
      <c r="S1228" s="75" t="e">
        <f t="shared" si="188"/>
        <v>#DIV/0!</v>
      </c>
      <c r="U1228" s="306" t="e">
        <f t="shared" si="189"/>
        <v>#DIV/0!</v>
      </c>
    </row>
    <row r="1229" spans="4:21" x14ac:dyDescent="0.35">
      <c r="D1229" s="3"/>
      <c r="G1229" s="3" t="s">
        <v>87</v>
      </c>
      <c r="M1229" s="3"/>
      <c r="N1229" s="356" t="e" cm="1">
        <f t="array" ref="N1229">_xlfn.IFS(I1229="AEX",H1229/400,I1229="RP",H1229/200)</f>
        <v>#N/A</v>
      </c>
      <c r="P1229" s="75" t="e">
        <f t="shared" si="186"/>
        <v>#DIV/0!</v>
      </c>
      <c r="Q1229" s="3" t="e" cm="1">
        <f t="array" ref="Q1229">_xlfn.IFS(P1229&lt;200, "10", P1229&lt;400, "12", P1229&lt;600, "14", P1229&gt;600, "16")</f>
        <v>#DIV/0!</v>
      </c>
      <c r="R1229" s="75">
        <f t="shared" si="187"/>
        <v>0</v>
      </c>
      <c r="S1229" s="75" t="e">
        <f t="shared" si="188"/>
        <v>#DIV/0!</v>
      </c>
      <c r="U1229" s="306" t="e">
        <f t="shared" si="189"/>
        <v>#DIV/0!</v>
      </c>
    </row>
    <row r="1230" spans="4:21" x14ac:dyDescent="0.35">
      <c r="D1230" s="3"/>
      <c r="G1230" s="3" t="s">
        <v>87</v>
      </c>
      <c r="M1230" s="3"/>
      <c r="N1230" s="356" t="e" cm="1">
        <f t="array" ref="N1230">_xlfn.IFS(I1230="AEX",H1230/400,I1230="RP",H1230/200)</f>
        <v>#N/A</v>
      </c>
      <c r="P1230" s="75" t="e">
        <f t="shared" si="186"/>
        <v>#DIV/0!</v>
      </c>
      <c r="Q1230" s="3" t="e" cm="1">
        <f t="array" ref="Q1230">_xlfn.IFS(P1230&lt;200, "10", P1230&lt;400, "12", P1230&lt;600, "14", P1230&gt;600, "16")</f>
        <v>#DIV/0!</v>
      </c>
      <c r="R1230" s="75">
        <f t="shared" si="187"/>
        <v>0</v>
      </c>
      <c r="S1230" s="75" t="e">
        <f t="shared" si="188"/>
        <v>#DIV/0!</v>
      </c>
      <c r="U1230" s="306" t="e">
        <f t="shared" si="189"/>
        <v>#DIV/0!</v>
      </c>
    </row>
    <row r="1231" spans="4:21" x14ac:dyDescent="0.35">
      <c r="D1231" s="3"/>
      <c r="G1231" s="3" t="s">
        <v>87</v>
      </c>
      <c r="M1231" s="3"/>
      <c r="N1231" s="356" t="e" cm="1">
        <f t="array" ref="N1231">_xlfn.IFS(I1231="AEX",H1231/400,I1231="RP",H1231/200)</f>
        <v>#N/A</v>
      </c>
      <c r="P1231" s="75" t="e">
        <f t="shared" si="186"/>
        <v>#DIV/0!</v>
      </c>
      <c r="Q1231" s="3" t="e" cm="1">
        <f t="array" ref="Q1231">_xlfn.IFS(P1231&lt;200, "10", P1231&lt;400, "12", P1231&lt;600, "14", P1231&gt;600, "16")</f>
        <v>#DIV/0!</v>
      </c>
      <c r="R1231" s="75">
        <f t="shared" si="187"/>
        <v>0</v>
      </c>
      <c r="S1231" s="75" t="e">
        <f t="shared" si="188"/>
        <v>#DIV/0!</v>
      </c>
      <c r="U1231" s="306" t="e">
        <f t="shared" si="189"/>
        <v>#DIV/0!</v>
      </c>
    </row>
    <row r="1232" spans="4:21" x14ac:dyDescent="0.35">
      <c r="D1232" s="3"/>
      <c r="G1232" s="3" t="s">
        <v>87</v>
      </c>
      <c r="M1232" s="3"/>
      <c r="N1232" s="356" t="e" cm="1">
        <f t="array" ref="N1232">_xlfn.IFS(I1232="AEX",H1232/400,I1232="RP",H1232/200)</f>
        <v>#N/A</v>
      </c>
      <c r="P1232" s="75" t="e">
        <f t="shared" si="186"/>
        <v>#DIV/0!</v>
      </c>
      <c r="Q1232" s="3" t="e" cm="1">
        <f t="array" ref="Q1232">_xlfn.IFS(P1232&lt;200, "10", P1232&lt;400, "12", P1232&lt;600, "14", P1232&gt;600, "16")</f>
        <v>#DIV/0!</v>
      </c>
      <c r="R1232" s="75">
        <f t="shared" si="187"/>
        <v>0</v>
      </c>
      <c r="S1232" s="75" t="e">
        <f t="shared" si="188"/>
        <v>#DIV/0!</v>
      </c>
      <c r="U1232" s="306" t="e">
        <f t="shared" si="189"/>
        <v>#DIV/0!</v>
      </c>
    </row>
    <row r="1233" spans="4:21" x14ac:dyDescent="0.35">
      <c r="D1233" s="3"/>
      <c r="G1233" s="3" t="s">
        <v>87</v>
      </c>
      <c r="M1233" s="3"/>
      <c r="N1233" s="356" t="e" cm="1">
        <f t="array" ref="N1233">_xlfn.IFS(I1233="AEX",H1233/400,I1233="RP",H1233/200)</f>
        <v>#N/A</v>
      </c>
      <c r="P1233" s="75" t="e">
        <f t="shared" si="186"/>
        <v>#DIV/0!</v>
      </c>
      <c r="Q1233" s="3" t="e" cm="1">
        <f t="array" ref="Q1233">_xlfn.IFS(P1233&lt;200, "10", P1233&lt;400, "12", P1233&lt;600, "14", P1233&gt;600, "16")</f>
        <v>#DIV/0!</v>
      </c>
      <c r="R1233" s="75">
        <f t="shared" si="187"/>
        <v>0</v>
      </c>
      <c r="S1233" s="75" t="e">
        <f t="shared" si="188"/>
        <v>#DIV/0!</v>
      </c>
      <c r="U1233" s="306" t="e">
        <f t="shared" si="189"/>
        <v>#DIV/0!</v>
      </c>
    </row>
    <row r="1234" spans="4:21" x14ac:dyDescent="0.35">
      <c r="D1234" s="3"/>
      <c r="G1234" s="3" t="s">
        <v>87</v>
      </c>
      <c r="M1234" s="3"/>
      <c r="N1234" s="356" t="e" cm="1">
        <f t="array" ref="N1234">_xlfn.IFS(I1234="AEX",H1234/400,I1234="RP",H1234/200)</f>
        <v>#N/A</v>
      </c>
      <c r="P1234" s="75" t="e">
        <f t="shared" si="186"/>
        <v>#DIV/0!</v>
      </c>
      <c r="Q1234" s="3" t="e" cm="1">
        <f t="array" ref="Q1234">_xlfn.IFS(P1234&lt;200, "10", P1234&lt;400, "12", P1234&lt;600, "14", P1234&gt;600, "16")</f>
        <v>#DIV/0!</v>
      </c>
      <c r="R1234" s="75">
        <f t="shared" si="187"/>
        <v>0</v>
      </c>
      <c r="S1234" s="75" t="e">
        <f t="shared" si="188"/>
        <v>#DIV/0!</v>
      </c>
      <c r="U1234" s="306" t="e">
        <f t="shared" si="189"/>
        <v>#DIV/0!</v>
      </c>
    </row>
    <row r="1235" spans="4:21" x14ac:dyDescent="0.35">
      <c r="D1235" s="3"/>
      <c r="G1235" s="3" t="s">
        <v>87</v>
      </c>
      <c r="M1235" s="3"/>
      <c r="N1235" s="356" t="e" cm="1">
        <f t="array" ref="N1235">_xlfn.IFS(I1235="AEX",H1235/400,I1235="RP",H1235/200)</f>
        <v>#N/A</v>
      </c>
      <c r="P1235" s="75" t="e">
        <f t="shared" si="186"/>
        <v>#DIV/0!</v>
      </c>
      <c r="Q1235" s="3" t="e" cm="1">
        <f t="array" ref="Q1235">_xlfn.IFS(P1235&lt;200, "10", P1235&lt;400, "12", P1235&lt;600, "14", P1235&gt;600, "16")</f>
        <v>#DIV/0!</v>
      </c>
      <c r="R1235" s="75">
        <f t="shared" si="187"/>
        <v>0</v>
      </c>
      <c r="S1235" s="75" t="e">
        <f t="shared" si="188"/>
        <v>#DIV/0!</v>
      </c>
      <c r="U1235" s="306" t="e">
        <f t="shared" si="189"/>
        <v>#DIV/0!</v>
      </c>
    </row>
    <row r="1236" spans="4:21" x14ac:dyDescent="0.35">
      <c r="D1236" s="3"/>
      <c r="G1236" s="3" t="s">
        <v>87</v>
      </c>
      <c r="M1236" s="3"/>
      <c r="N1236" s="356" t="e" cm="1">
        <f t="array" ref="N1236">_xlfn.IFS(I1236="AEX",H1236/400,I1236="RP",H1236/200)</f>
        <v>#N/A</v>
      </c>
      <c r="P1236" s="75" t="e">
        <f t="shared" si="186"/>
        <v>#DIV/0!</v>
      </c>
      <c r="Q1236" s="3" t="e" cm="1">
        <f t="array" ref="Q1236">_xlfn.IFS(P1236&lt;200, "10", P1236&lt;400, "12", P1236&lt;600, "14", P1236&gt;600, "16")</f>
        <v>#DIV/0!</v>
      </c>
      <c r="R1236" s="75">
        <f t="shared" si="187"/>
        <v>0</v>
      </c>
      <c r="S1236" s="75" t="e">
        <f t="shared" si="188"/>
        <v>#DIV/0!</v>
      </c>
      <c r="U1236" s="306" t="e">
        <f t="shared" si="189"/>
        <v>#DIV/0!</v>
      </c>
    </row>
    <row r="1237" spans="4:21" x14ac:dyDescent="0.35">
      <c r="D1237" s="3"/>
      <c r="G1237" s="3" t="s">
        <v>87</v>
      </c>
      <c r="M1237" s="3"/>
      <c r="N1237" s="356" t="e" cm="1">
        <f t="array" ref="N1237">_xlfn.IFS(I1237="AEX",H1237/400,I1237="RP",H1237/200)</f>
        <v>#N/A</v>
      </c>
      <c r="P1237" s="75" t="e">
        <f t="shared" si="186"/>
        <v>#DIV/0!</v>
      </c>
      <c r="Q1237" s="3" t="e" cm="1">
        <f t="array" ref="Q1237">_xlfn.IFS(P1237&lt;200, "10", P1237&lt;400, "12", P1237&lt;600, "14", P1237&gt;600, "16")</f>
        <v>#DIV/0!</v>
      </c>
      <c r="R1237" s="75">
        <f t="shared" si="187"/>
        <v>0</v>
      </c>
      <c r="S1237" s="75" t="e">
        <f t="shared" si="188"/>
        <v>#DIV/0!</v>
      </c>
      <c r="U1237" s="306" t="e">
        <f t="shared" si="189"/>
        <v>#DIV/0!</v>
      </c>
    </row>
    <row r="1238" spans="4:21" x14ac:dyDescent="0.35">
      <c r="D1238" s="3"/>
      <c r="G1238" s="3" t="s">
        <v>87</v>
      </c>
      <c r="M1238" s="3"/>
      <c r="N1238" s="356" t="e" cm="1">
        <f t="array" ref="N1238">_xlfn.IFS(I1238="AEX",H1238/400,I1238="RP",H1238/200)</f>
        <v>#N/A</v>
      </c>
      <c r="P1238" s="75" t="e">
        <f t="shared" si="186"/>
        <v>#DIV/0!</v>
      </c>
      <c r="Q1238" s="3" t="e" cm="1">
        <f t="array" ref="Q1238">_xlfn.IFS(P1238&lt;200, "10", P1238&lt;400, "12", P1238&lt;600, "14", P1238&gt;600, "16")</f>
        <v>#DIV/0!</v>
      </c>
      <c r="R1238" s="75">
        <f t="shared" si="187"/>
        <v>0</v>
      </c>
      <c r="S1238" s="75" t="e">
        <f t="shared" si="188"/>
        <v>#DIV/0!</v>
      </c>
      <c r="U1238" s="306" t="e">
        <f t="shared" si="189"/>
        <v>#DIV/0!</v>
      </c>
    </row>
    <row r="1239" spans="4:21" x14ac:dyDescent="0.35">
      <c r="D1239" s="3"/>
      <c r="G1239" s="3" t="s">
        <v>87</v>
      </c>
      <c r="M1239" s="3"/>
      <c r="N1239" s="356" t="e" cm="1">
        <f t="array" ref="N1239">_xlfn.IFS(I1239="AEX",H1239/400,I1239="RP",H1239/200)</f>
        <v>#N/A</v>
      </c>
      <c r="P1239" s="75" t="e">
        <f t="shared" si="186"/>
        <v>#DIV/0!</v>
      </c>
      <c r="Q1239" s="3" t="e" cm="1">
        <f t="array" ref="Q1239">_xlfn.IFS(P1239&lt;200, "10", P1239&lt;400, "12", P1239&lt;600, "14", P1239&gt;600, "16")</f>
        <v>#DIV/0!</v>
      </c>
      <c r="R1239" s="75">
        <f t="shared" si="187"/>
        <v>0</v>
      </c>
      <c r="S1239" s="75" t="e">
        <f t="shared" si="188"/>
        <v>#DIV/0!</v>
      </c>
      <c r="U1239" s="306" t="e">
        <f t="shared" si="189"/>
        <v>#DIV/0!</v>
      </c>
    </row>
    <row r="1240" spans="4:21" x14ac:dyDescent="0.35">
      <c r="D1240" s="3"/>
      <c r="G1240" s="3" t="s">
        <v>87</v>
      </c>
      <c r="M1240" s="3"/>
      <c r="N1240" s="356" t="e" cm="1">
        <f t="array" ref="N1240">_xlfn.IFS(I1240="AEX",H1240/400,I1240="RP",H1240/200)</f>
        <v>#N/A</v>
      </c>
      <c r="P1240" s="75" t="e">
        <f t="shared" si="186"/>
        <v>#DIV/0!</v>
      </c>
      <c r="Q1240" s="3" t="e" cm="1">
        <f t="array" ref="Q1240">_xlfn.IFS(P1240&lt;200, "10", P1240&lt;400, "12", P1240&lt;600, "14", P1240&gt;600, "16")</f>
        <v>#DIV/0!</v>
      </c>
      <c r="R1240" s="75">
        <f t="shared" si="187"/>
        <v>0</v>
      </c>
      <c r="S1240" s="75" t="e">
        <f t="shared" si="188"/>
        <v>#DIV/0!</v>
      </c>
      <c r="U1240" s="306" t="e">
        <f t="shared" si="189"/>
        <v>#DIV/0!</v>
      </c>
    </row>
    <row r="1241" spans="4:21" x14ac:dyDescent="0.35">
      <c r="D1241" s="3"/>
      <c r="G1241" s="3" t="s">
        <v>87</v>
      </c>
      <c r="M1241" s="3"/>
      <c r="N1241" s="356" t="e" cm="1">
        <f t="array" ref="N1241">_xlfn.IFS(I1241="AEX",H1241/400,I1241="RP",H1241/200)</f>
        <v>#N/A</v>
      </c>
      <c r="P1241" s="75" t="e">
        <f t="shared" si="186"/>
        <v>#DIV/0!</v>
      </c>
      <c r="Q1241" s="3" t="e" cm="1">
        <f t="array" ref="Q1241">_xlfn.IFS(P1241&lt;200, "10", P1241&lt;400, "12", P1241&lt;600, "14", P1241&gt;600, "16")</f>
        <v>#DIV/0!</v>
      </c>
      <c r="R1241" s="75">
        <f t="shared" si="187"/>
        <v>0</v>
      </c>
      <c r="S1241" s="75" t="e">
        <f t="shared" si="188"/>
        <v>#DIV/0!</v>
      </c>
      <c r="U1241" s="306" t="e">
        <f t="shared" si="189"/>
        <v>#DIV/0!</v>
      </c>
    </row>
    <row r="1242" spans="4:21" x14ac:dyDescent="0.35">
      <c r="D1242" s="3"/>
      <c r="G1242" s="3" t="s">
        <v>87</v>
      </c>
      <c r="M1242" s="3"/>
      <c r="N1242" s="356" t="e" cm="1">
        <f t="array" ref="N1242">_xlfn.IFS(I1242="AEX",H1242/400,I1242="RP",H1242/200)</f>
        <v>#N/A</v>
      </c>
      <c r="P1242" s="75" t="e">
        <f t="shared" si="186"/>
        <v>#DIV/0!</v>
      </c>
      <c r="Q1242" s="3" t="e" cm="1">
        <f t="array" ref="Q1242">_xlfn.IFS(P1242&lt;200, "10", P1242&lt;400, "12", P1242&lt;600, "14", P1242&gt;600, "16")</f>
        <v>#DIV/0!</v>
      </c>
      <c r="R1242" s="75">
        <f t="shared" si="187"/>
        <v>0</v>
      </c>
      <c r="S1242" s="75" t="e">
        <f t="shared" si="188"/>
        <v>#DIV/0!</v>
      </c>
      <c r="U1242" s="306" t="e">
        <f t="shared" si="189"/>
        <v>#DIV/0!</v>
      </c>
    </row>
    <row r="1243" spans="4:21" x14ac:dyDescent="0.35">
      <c r="D1243" s="3"/>
      <c r="G1243" s="3" t="s">
        <v>87</v>
      </c>
      <c r="M1243" s="3"/>
      <c r="N1243" s="356" t="e" cm="1">
        <f t="array" ref="N1243">_xlfn.IFS(I1243="AEX",H1243/400,I1243="RP",H1243/200)</f>
        <v>#N/A</v>
      </c>
      <c r="P1243" s="75" t="e">
        <f t="shared" si="186"/>
        <v>#DIV/0!</v>
      </c>
      <c r="Q1243" s="3" t="e" cm="1">
        <f t="array" ref="Q1243">_xlfn.IFS(P1243&lt;200, "10", P1243&lt;400, "12", P1243&lt;600, "14", P1243&gt;600, "16")</f>
        <v>#DIV/0!</v>
      </c>
      <c r="R1243" s="75">
        <f t="shared" si="187"/>
        <v>0</v>
      </c>
      <c r="S1243" s="75" t="e">
        <f t="shared" si="188"/>
        <v>#DIV/0!</v>
      </c>
      <c r="U1243" s="306" t="e">
        <f t="shared" si="189"/>
        <v>#DIV/0!</v>
      </c>
    </row>
    <row r="1244" spans="4:21" x14ac:dyDescent="0.35">
      <c r="D1244" s="3"/>
      <c r="G1244" s="3" t="s">
        <v>87</v>
      </c>
      <c r="M1244" s="3"/>
      <c r="N1244" s="356" t="e" cm="1">
        <f t="array" ref="N1244">_xlfn.IFS(I1244="AEX",H1244/400,I1244="RP",H1244/200)</f>
        <v>#N/A</v>
      </c>
      <c r="P1244" s="75" t="e">
        <f t="shared" si="186"/>
        <v>#DIV/0!</v>
      </c>
      <c r="Q1244" s="3" t="e" cm="1">
        <f t="array" ref="Q1244">_xlfn.IFS(P1244&lt;200, "10", P1244&lt;400, "12", P1244&lt;600, "14", P1244&gt;600, "16")</f>
        <v>#DIV/0!</v>
      </c>
      <c r="R1244" s="75">
        <f t="shared" si="187"/>
        <v>0</v>
      </c>
      <c r="S1244" s="75" t="e">
        <f t="shared" si="188"/>
        <v>#DIV/0!</v>
      </c>
      <c r="U1244" s="306" t="e">
        <f t="shared" si="189"/>
        <v>#DIV/0!</v>
      </c>
    </row>
    <row r="1245" spans="4:21" x14ac:dyDescent="0.35">
      <c r="D1245" s="3"/>
      <c r="G1245" s="3" t="s">
        <v>87</v>
      </c>
      <c r="M1245" s="3"/>
      <c r="N1245" s="356" t="e" cm="1">
        <f t="array" ref="N1245">_xlfn.IFS(I1245="AEX",H1245/400,I1245="RP",H1245/200)</f>
        <v>#N/A</v>
      </c>
      <c r="P1245" s="75" t="e">
        <f t="shared" si="186"/>
        <v>#DIV/0!</v>
      </c>
      <c r="Q1245" s="3" t="e" cm="1">
        <f t="array" ref="Q1245">_xlfn.IFS(P1245&lt;200, "10", P1245&lt;400, "12", P1245&lt;600, "14", P1245&gt;600, "16")</f>
        <v>#DIV/0!</v>
      </c>
      <c r="R1245" s="75">
        <f t="shared" si="187"/>
        <v>0</v>
      </c>
      <c r="S1245" s="75" t="e">
        <f t="shared" si="188"/>
        <v>#DIV/0!</v>
      </c>
      <c r="U1245" s="306" t="e">
        <f t="shared" si="189"/>
        <v>#DIV/0!</v>
      </c>
    </row>
    <row r="1246" spans="4:21" x14ac:dyDescent="0.35">
      <c r="D1246" s="3"/>
      <c r="G1246" s="3" t="s">
        <v>87</v>
      </c>
      <c r="M1246" s="3"/>
      <c r="N1246" s="356" t="e" cm="1">
        <f t="array" ref="N1246">_xlfn.IFS(I1246="AEX",H1246/400,I1246="RP",H1246/200)</f>
        <v>#N/A</v>
      </c>
      <c r="P1246" s="75" t="e">
        <f t="shared" si="186"/>
        <v>#DIV/0!</v>
      </c>
      <c r="Q1246" s="3" t="e" cm="1">
        <f t="array" ref="Q1246">_xlfn.IFS(P1246&lt;200, "10", P1246&lt;400, "12", P1246&lt;600, "14", P1246&gt;600, "16")</f>
        <v>#DIV/0!</v>
      </c>
      <c r="R1246" s="75">
        <f t="shared" si="187"/>
        <v>0</v>
      </c>
      <c r="S1246" s="75" t="e">
        <f t="shared" si="188"/>
        <v>#DIV/0!</v>
      </c>
      <c r="U1246" s="306" t="e">
        <f t="shared" si="189"/>
        <v>#DIV/0!</v>
      </c>
    </row>
    <row r="1247" spans="4:21" x14ac:dyDescent="0.35">
      <c r="D1247" s="3"/>
      <c r="G1247" s="3" t="s">
        <v>87</v>
      </c>
      <c r="M1247" s="3"/>
      <c r="N1247" s="356" t="e" cm="1">
        <f t="array" ref="N1247">_xlfn.IFS(I1247="AEX",H1247/400,I1247="RP",H1247/200)</f>
        <v>#N/A</v>
      </c>
      <c r="P1247" s="75" t="e">
        <f t="shared" si="186"/>
        <v>#DIV/0!</v>
      </c>
      <c r="Q1247" s="3" t="e" cm="1">
        <f t="array" ref="Q1247">_xlfn.IFS(P1247&lt;200, "10", P1247&lt;400, "12", P1247&lt;600, "14", P1247&gt;600, "16")</f>
        <v>#DIV/0!</v>
      </c>
      <c r="R1247" s="75">
        <f t="shared" si="187"/>
        <v>0</v>
      </c>
      <c r="S1247" s="75" t="e">
        <f t="shared" si="188"/>
        <v>#DIV/0!</v>
      </c>
      <c r="U1247" s="306" t="e">
        <f t="shared" si="189"/>
        <v>#DIV/0!</v>
      </c>
    </row>
    <row r="1248" spans="4:21" x14ac:dyDescent="0.35">
      <c r="D1248" s="3"/>
      <c r="G1248" s="3" t="s">
        <v>87</v>
      </c>
      <c r="M1248" s="3"/>
      <c r="N1248" s="356" t="e" cm="1">
        <f t="array" ref="N1248">_xlfn.IFS(I1248="AEX",H1248/400,I1248="RP",H1248/200)</f>
        <v>#N/A</v>
      </c>
      <c r="P1248" s="75" t="e">
        <f t="shared" si="186"/>
        <v>#DIV/0!</v>
      </c>
      <c r="Q1248" s="3" t="e" cm="1">
        <f t="array" ref="Q1248">_xlfn.IFS(P1248&lt;200, "10", P1248&lt;400, "12", P1248&lt;600, "14", P1248&gt;600, "16")</f>
        <v>#DIV/0!</v>
      </c>
      <c r="R1248" s="75">
        <f t="shared" si="187"/>
        <v>0</v>
      </c>
      <c r="S1248" s="75" t="e">
        <f t="shared" si="188"/>
        <v>#DIV/0!</v>
      </c>
      <c r="U1248" s="306" t="e">
        <f t="shared" si="189"/>
        <v>#DIV/0!</v>
      </c>
    </row>
    <row r="1249" spans="4:21" x14ac:dyDescent="0.35">
      <c r="D1249" s="3"/>
      <c r="G1249" s="3" t="s">
        <v>87</v>
      </c>
      <c r="M1249" s="3"/>
      <c r="N1249" s="356" t="e" cm="1">
        <f t="array" ref="N1249">_xlfn.IFS(I1249="AEX",H1249/400,I1249="RP",H1249/200)</f>
        <v>#N/A</v>
      </c>
      <c r="P1249" s="75" t="e">
        <f t="shared" si="186"/>
        <v>#DIV/0!</v>
      </c>
      <c r="Q1249" s="3" t="e" cm="1">
        <f t="array" ref="Q1249">_xlfn.IFS(P1249&lt;200, "10", P1249&lt;400, "12", P1249&lt;600, "14", P1249&gt;600, "16")</f>
        <v>#DIV/0!</v>
      </c>
      <c r="R1249" s="75">
        <f t="shared" si="187"/>
        <v>0</v>
      </c>
      <c r="S1249" s="75" t="e">
        <f t="shared" si="188"/>
        <v>#DIV/0!</v>
      </c>
      <c r="U1249" s="306" t="e">
        <f t="shared" si="189"/>
        <v>#DIV/0!</v>
      </c>
    </row>
    <row r="1250" spans="4:21" x14ac:dyDescent="0.35">
      <c r="D1250" s="3"/>
      <c r="G1250" s="3" t="s">
        <v>87</v>
      </c>
      <c r="M1250" s="3"/>
      <c r="N1250" s="356" t="e" cm="1">
        <f t="array" ref="N1250">_xlfn.IFS(I1250="AEX",H1250/400,I1250="RP",H1250/200)</f>
        <v>#N/A</v>
      </c>
      <c r="P1250" s="75" t="e">
        <f t="shared" si="186"/>
        <v>#DIV/0!</v>
      </c>
      <c r="Q1250" s="3" t="e" cm="1">
        <f t="array" ref="Q1250">_xlfn.IFS(P1250&lt;200, "10", P1250&lt;400, "12", P1250&lt;600, "14", P1250&gt;600, "16")</f>
        <v>#DIV/0!</v>
      </c>
      <c r="R1250" s="75">
        <f t="shared" si="187"/>
        <v>0</v>
      </c>
      <c r="S1250" s="75" t="e">
        <f t="shared" si="188"/>
        <v>#DIV/0!</v>
      </c>
      <c r="U1250" s="306" t="e">
        <f t="shared" si="189"/>
        <v>#DIV/0!</v>
      </c>
    </row>
    <row r="1251" spans="4:21" x14ac:dyDescent="0.35">
      <c r="D1251" s="3"/>
      <c r="G1251" s="3" t="s">
        <v>87</v>
      </c>
      <c r="M1251" s="3"/>
      <c r="N1251" s="356" t="e" cm="1">
        <f t="array" ref="N1251">_xlfn.IFS(I1251="AEX",H1251/400,I1251="RP",H1251/200)</f>
        <v>#N/A</v>
      </c>
      <c r="P1251" s="75" t="e">
        <f t="shared" si="186"/>
        <v>#DIV/0!</v>
      </c>
      <c r="Q1251" s="3" t="e" cm="1">
        <f t="array" ref="Q1251">_xlfn.IFS(P1251&lt;200, "10", P1251&lt;400, "12", P1251&lt;600, "14", P1251&gt;600, "16")</f>
        <v>#DIV/0!</v>
      </c>
      <c r="R1251" s="75">
        <f t="shared" si="187"/>
        <v>0</v>
      </c>
      <c r="S1251" s="75" t="e">
        <f t="shared" si="188"/>
        <v>#DIV/0!</v>
      </c>
      <c r="U1251" s="306" t="e">
        <f t="shared" si="189"/>
        <v>#DIV/0!</v>
      </c>
    </row>
    <row r="1252" spans="4:21" x14ac:dyDescent="0.35">
      <c r="D1252" s="3"/>
      <c r="G1252" s="3" t="s">
        <v>87</v>
      </c>
      <c r="M1252" s="3"/>
      <c r="N1252" s="356" t="e" cm="1">
        <f t="array" ref="N1252">_xlfn.IFS(I1252="AEX",H1252/400,I1252="RP",H1252/200)</f>
        <v>#N/A</v>
      </c>
      <c r="P1252" s="75" t="e">
        <f t="shared" si="186"/>
        <v>#DIV/0!</v>
      </c>
      <c r="Q1252" s="3" t="e" cm="1">
        <f t="array" ref="Q1252">_xlfn.IFS(P1252&lt;200, "10", P1252&lt;400, "12", P1252&lt;600, "14", P1252&gt;600, "16")</f>
        <v>#DIV/0!</v>
      </c>
      <c r="R1252" s="75">
        <f t="shared" si="187"/>
        <v>0</v>
      </c>
      <c r="S1252" s="75" t="e">
        <f t="shared" si="188"/>
        <v>#DIV/0!</v>
      </c>
      <c r="U1252" s="306" t="e">
        <f t="shared" si="189"/>
        <v>#DIV/0!</v>
      </c>
    </row>
    <row r="1253" spans="4:21" x14ac:dyDescent="0.35">
      <c r="D1253" s="3"/>
      <c r="G1253" s="3" t="s">
        <v>87</v>
      </c>
      <c r="M1253" s="3"/>
      <c r="N1253" s="356" t="e" cm="1">
        <f t="array" ref="N1253">_xlfn.IFS(I1253="AEX",H1253/400,I1253="RP",H1253/200)</f>
        <v>#N/A</v>
      </c>
      <c r="P1253" s="75" t="e">
        <f t="shared" si="186"/>
        <v>#DIV/0!</v>
      </c>
      <c r="Q1253" s="3" t="e" cm="1">
        <f t="array" ref="Q1253">_xlfn.IFS(P1253&lt;200, "10", P1253&lt;400, "12", P1253&lt;600, "14", P1253&gt;600, "16")</f>
        <v>#DIV/0!</v>
      </c>
      <c r="R1253" s="75">
        <f t="shared" si="187"/>
        <v>0</v>
      </c>
      <c r="S1253" s="75" t="e">
        <f t="shared" si="188"/>
        <v>#DIV/0!</v>
      </c>
      <c r="U1253" s="306" t="e">
        <f t="shared" si="189"/>
        <v>#DIV/0!</v>
      </c>
    </row>
    <row r="1254" spans="4:21" x14ac:dyDescent="0.35">
      <c r="D1254" s="3"/>
      <c r="G1254" s="3" t="s">
        <v>87</v>
      </c>
      <c r="M1254" s="3"/>
      <c r="N1254" s="356" t="e" cm="1">
        <f t="array" ref="N1254">_xlfn.IFS(I1254="AEX",H1254/400,I1254="RP",H1254/200)</f>
        <v>#N/A</v>
      </c>
      <c r="P1254" s="75" t="e">
        <f t="shared" si="186"/>
        <v>#DIV/0!</v>
      </c>
      <c r="Q1254" s="3" t="e" cm="1">
        <f t="array" ref="Q1254">_xlfn.IFS(P1254&lt;200, "10", P1254&lt;400, "12", P1254&lt;600, "14", P1254&gt;600, "16")</f>
        <v>#DIV/0!</v>
      </c>
      <c r="R1254" s="75">
        <f t="shared" si="187"/>
        <v>0</v>
      </c>
      <c r="S1254" s="75" t="e">
        <f t="shared" si="188"/>
        <v>#DIV/0!</v>
      </c>
      <c r="U1254" s="306" t="e">
        <f t="shared" si="189"/>
        <v>#DIV/0!</v>
      </c>
    </row>
    <row r="1255" spans="4:21" x14ac:dyDescent="0.35">
      <c r="D1255" s="3"/>
      <c r="G1255" s="3" t="s">
        <v>87</v>
      </c>
      <c r="M1255" s="3"/>
      <c r="N1255" s="356" t="e" cm="1">
        <f t="array" ref="N1255">_xlfn.IFS(I1255="AEX",H1255/400,I1255="RP",H1255/200)</f>
        <v>#N/A</v>
      </c>
      <c r="P1255" s="75" t="e">
        <f t="shared" si="186"/>
        <v>#DIV/0!</v>
      </c>
      <c r="Q1255" s="3" t="e" cm="1">
        <f t="array" ref="Q1255">_xlfn.IFS(P1255&lt;200, "10", P1255&lt;400, "12", P1255&lt;600, "14", P1255&gt;600, "16")</f>
        <v>#DIV/0!</v>
      </c>
      <c r="R1255" s="75">
        <f t="shared" si="187"/>
        <v>0</v>
      </c>
      <c r="S1255" s="75" t="e">
        <f t="shared" si="188"/>
        <v>#DIV/0!</v>
      </c>
      <c r="U1255" s="306" t="e">
        <f t="shared" si="189"/>
        <v>#DIV/0!</v>
      </c>
    </row>
    <row r="1256" spans="4:21" x14ac:dyDescent="0.35">
      <c r="D1256" s="3"/>
      <c r="G1256" s="3" t="s">
        <v>87</v>
      </c>
      <c r="M1256" s="3"/>
      <c r="N1256" s="356" t="e" cm="1">
        <f t="array" ref="N1256">_xlfn.IFS(I1256="AEX",H1256/400,I1256="RP",H1256/200)</f>
        <v>#N/A</v>
      </c>
      <c r="P1256" s="75" t="e">
        <f t="shared" si="186"/>
        <v>#DIV/0!</v>
      </c>
      <c r="Q1256" s="3" t="e" cm="1">
        <f t="array" ref="Q1256">_xlfn.IFS(P1256&lt;200, "10", P1256&lt;400, "12", P1256&lt;600, "14", P1256&gt;600, "16")</f>
        <v>#DIV/0!</v>
      </c>
      <c r="R1256" s="75">
        <f t="shared" si="187"/>
        <v>0</v>
      </c>
      <c r="S1256" s="75" t="e">
        <f t="shared" si="188"/>
        <v>#DIV/0!</v>
      </c>
      <c r="U1256" s="306" t="e">
        <f t="shared" si="189"/>
        <v>#DIV/0!</v>
      </c>
    </row>
    <row r="1257" spans="4:21" x14ac:dyDescent="0.35">
      <c r="D1257" s="3"/>
      <c r="G1257" s="3" t="s">
        <v>87</v>
      </c>
      <c r="M1257" s="3"/>
      <c r="N1257" s="356" t="e" cm="1">
        <f t="array" ref="N1257">_xlfn.IFS(I1257="AEX",H1257/400,I1257="RP",H1257/200)</f>
        <v>#N/A</v>
      </c>
      <c r="P1257" s="75" t="e">
        <f t="shared" si="186"/>
        <v>#DIV/0!</v>
      </c>
      <c r="Q1257" s="3" t="e" cm="1">
        <f t="array" ref="Q1257">_xlfn.IFS(P1257&lt;200, "10", P1257&lt;400, "12", P1257&lt;600, "14", P1257&gt;600, "16")</f>
        <v>#DIV/0!</v>
      </c>
      <c r="R1257" s="75">
        <f t="shared" si="187"/>
        <v>0</v>
      </c>
      <c r="S1257" s="75" t="e">
        <f t="shared" si="188"/>
        <v>#DIV/0!</v>
      </c>
      <c r="U1257" s="306" t="e">
        <f t="shared" si="189"/>
        <v>#DIV/0!</v>
      </c>
    </row>
    <row r="1258" spans="4:21" x14ac:dyDescent="0.35">
      <c r="D1258" s="3"/>
      <c r="G1258" s="3" t="s">
        <v>87</v>
      </c>
      <c r="M1258" s="3"/>
      <c r="N1258" s="356" t="e" cm="1">
        <f t="array" ref="N1258">_xlfn.IFS(I1258="AEX",H1258/400,I1258="RP",H1258/200)</f>
        <v>#N/A</v>
      </c>
      <c r="P1258" s="75" t="e">
        <f t="shared" si="186"/>
        <v>#DIV/0!</v>
      </c>
      <c r="Q1258" s="3" t="e" cm="1">
        <f t="array" ref="Q1258">_xlfn.IFS(P1258&lt;200, "10", P1258&lt;400, "12", P1258&lt;600, "14", P1258&gt;600, "16")</f>
        <v>#DIV/0!</v>
      </c>
      <c r="R1258" s="75">
        <f t="shared" si="187"/>
        <v>0</v>
      </c>
      <c r="S1258" s="75" t="e">
        <f t="shared" si="188"/>
        <v>#DIV/0!</v>
      </c>
      <c r="U1258" s="306" t="e">
        <f t="shared" si="189"/>
        <v>#DIV/0!</v>
      </c>
    </row>
    <row r="1259" spans="4:21" x14ac:dyDescent="0.35">
      <c r="D1259" s="3"/>
      <c r="G1259" s="3" t="s">
        <v>87</v>
      </c>
      <c r="M1259" s="3"/>
      <c r="N1259" s="356" t="e" cm="1">
        <f t="array" ref="N1259">_xlfn.IFS(I1259="AEX",H1259/400,I1259="RP",H1259/200)</f>
        <v>#N/A</v>
      </c>
      <c r="P1259" s="75" t="e">
        <f t="shared" si="186"/>
        <v>#DIV/0!</v>
      </c>
      <c r="Q1259" s="3" t="e" cm="1">
        <f t="array" ref="Q1259">_xlfn.IFS(P1259&lt;200, "10", P1259&lt;400, "12", P1259&lt;600, "14", P1259&gt;600, "16")</f>
        <v>#DIV/0!</v>
      </c>
      <c r="R1259" s="75">
        <f t="shared" si="187"/>
        <v>0</v>
      </c>
      <c r="S1259" s="75" t="e">
        <f t="shared" si="188"/>
        <v>#DIV/0!</v>
      </c>
      <c r="U1259" s="306" t="e">
        <f t="shared" si="189"/>
        <v>#DIV/0!</v>
      </c>
    </row>
    <row r="1260" spans="4:21" x14ac:dyDescent="0.35">
      <c r="D1260" s="3"/>
      <c r="G1260" s="3" t="s">
        <v>87</v>
      </c>
      <c r="M1260" s="3"/>
      <c r="N1260" s="356" t="e" cm="1">
        <f t="array" ref="N1260">_xlfn.IFS(I1260="AEX",H1260/400,I1260="RP",H1260/200)</f>
        <v>#N/A</v>
      </c>
      <c r="P1260" s="75" t="e">
        <f t="shared" si="186"/>
        <v>#DIV/0!</v>
      </c>
      <c r="Q1260" s="3" t="e" cm="1">
        <f t="array" ref="Q1260">_xlfn.IFS(P1260&lt;200, "10", P1260&lt;400, "12", P1260&lt;600, "14", P1260&gt;600, "16")</f>
        <v>#DIV/0!</v>
      </c>
      <c r="R1260" s="75">
        <f t="shared" si="187"/>
        <v>0</v>
      </c>
      <c r="S1260" s="75" t="e">
        <f t="shared" si="188"/>
        <v>#DIV/0!</v>
      </c>
      <c r="U1260" s="306" t="e">
        <f t="shared" si="189"/>
        <v>#DIV/0!</v>
      </c>
    </row>
    <row r="1261" spans="4:21" x14ac:dyDescent="0.35">
      <c r="D1261" s="3"/>
      <c r="G1261" s="3" t="s">
        <v>87</v>
      </c>
      <c r="M1261" s="3"/>
      <c r="N1261" s="356" t="e" cm="1">
        <f t="array" ref="N1261">_xlfn.IFS(I1261="AEX",H1261/400,I1261="RP",H1261/200)</f>
        <v>#N/A</v>
      </c>
      <c r="P1261" s="75" t="e">
        <f t="shared" si="186"/>
        <v>#DIV/0!</v>
      </c>
      <c r="Q1261" s="3" t="e" cm="1">
        <f t="array" ref="Q1261">_xlfn.IFS(P1261&lt;200, "10", P1261&lt;400, "12", P1261&lt;600, "14", P1261&gt;600, "16")</f>
        <v>#DIV/0!</v>
      </c>
      <c r="R1261" s="75">
        <f t="shared" si="187"/>
        <v>0</v>
      </c>
      <c r="S1261" s="75" t="e">
        <f t="shared" si="188"/>
        <v>#DIV/0!</v>
      </c>
      <c r="U1261" s="306" t="e">
        <f t="shared" si="189"/>
        <v>#DIV/0!</v>
      </c>
    </row>
    <row r="1262" spans="4:21" x14ac:dyDescent="0.35">
      <c r="D1262" s="3"/>
      <c r="G1262" s="3" t="s">
        <v>87</v>
      </c>
      <c r="M1262" s="3"/>
      <c r="N1262" s="356" t="e" cm="1">
        <f t="array" ref="N1262">_xlfn.IFS(I1262="AEX",H1262/400,I1262="RP",H1262/200)</f>
        <v>#N/A</v>
      </c>
      <c r="P1262" s="75" t="e">
        <f t="shared" si="186"/>
        <v>#DIV/0!</v>
      </c>
      <c r="Q1262" s="3" t="e" cm="1">
        <f t="array" ref="Q1262">_xlfn.IFS(P1262&lt;200, "10", P1262&lt;400, "12", P1262&lt;600, "14", P1262&gt;600, "16")</f>
        <v>#DIV/0!</v>
      </c>
      <c r="R1262" s="75">
        <f t="shared" si="187"/>
        <v>0</v>
      </c>
      <c r="S1262" s="75" t="e">
        <f t="shared" si="188"/>
        <v>#DIV/0!</v>
      </c>
      <c r="U1262" s="306" t="e">
        <f t="shared" si="189"/>
        <v>#DIV/0!</v>
      </c>
    </row>
    <row r="1263" spans="4:21" x14ac:dyDescent="0.35">
      <c r="D1263" s="3"/>
      <c r="G1263" s="3" t="s">
        <v>87</v>
      </c>
      <c r="M1263" s="3"/>
      <c r="N1263" s="356" t="e" cm="1">
        <f t="array" ref="N1263">_xlfn.IFS(I1263="AEX",H1263/400,I1263="RP",H1263/200)</f>
        <v>#N/A</v>
      </c>
      <c r="P1263" s="75" t="e">
        <f t="shared" si="186"/>
        <v>#DIV/0!</v>
      </c>
      <c r="Q1263" s="3" t="e" cm="1">
        <f t="array" ref="Q1263">_xlfn.IFS(P1263&lt;200, "10", P1263&lt;400, "12", P1263&lt;600, "14", P1263&gt;600, "16")</f>
        <v>#DIV/0!</v>
      </c>
      <c r="R1263" s="75">
        <f t="shared" si="187"/>
        <v>0</v>
      </c>
      <c r="S1263" s="75" t="e">
        <f t="shared" si="188"/>
        <v>#DIV/0!</v>
      </c>
      <c r="U1263" s="306" t="e">
        <f t="shared" si="189"/>
        <v>#DIV/0!</v>
      </c>
    </row>
    <row r="1264" spans="4:21" x14ac:dyDescent="0.35">
      <c r="D1264" s="3"/>
      <c r="G1264" s="3" t="s">
        <v>87</v>
      </c>
      <c r="M1264" s="3"/>
      <c r="N1264" s="356" t="e" cm="1">
        <f t="array" ref="N1264">_xlfn.IFS(I1264="AEX",H1264/400,I1264="RP",H1264/200)</f>
        <v>#N/A</v>
      </c>
      <c r="P1264" s="75" t="e">
        <f t="shared" si="186"/>
        <v>#DIV/0!</v>
      </c>
      <c r="Q1264" s="3" t="e" cm="1">
        <f t="array" ref="Q1264">_xlfn.IFS(P1264&lt;200, "10", P1264&lt;400, "12", P1264&lt;600, "14", P1264&gt;600, "16")</f>
        <v>#DIV/0!</v>
      </c>
      <c r="R1264" s="75">
        <f t="shared" si="187"/>
        <v>0</v>
      </c>
      <c r="S1264" s="75" t="e">
        <f t="shared" si="188"/>
        <v>#DIV/0!</v>
      </c>
      <c r="U1264" s="306" t="e">
        <f t="shared" si="189"/>
        <v>#DIV/0!</v>
      </c>
    </row>
    <row r="1265" spans="4:21" x14ac:dyDescent="0.35">
      <c r="D1265" s="3"/>
      <c r="G1265" s="3" t="s">
        <v>87</v>
      </c>
      <c r="M1265" s="3"/>
      <c r="N1265" s="356" t="e" cm="1">
        <f t="array" ref="N1265">_xlfn.IFS(I1265="AEX",H1265/400,I1265="RP",H1265/200)</f>
        <v>#N/A</v>
      </c>
      <c r="P1265" s="75" t="e">
        <f t="shared" si="186"/>
        <v>#DIV/0!</v>
      </c>
      <c r="Q1265" s="3" t="e" cm="1">
        <f t="array" ref="Q1265">_xlfn.IFS(P1265&lt;200, "10", P1265&lt;400, "12", P1265&lt;600, "14", P1265&gt;600, "16")</f>
        <v>#DIV/0!</v>
      </c>
      <c r="R1265" s="75">
        <f t="shared" si="187"/>
        <v>0</v>
      </c>
      <c r="S1265" s="75" t="e">
        <f t="shared" si="188"/>
        <v>#DIV/0!</v>
      </c>
      <c r="U1265" s="306" t="e">
        <f t="shared" si="189"/>
        <v>#DIV/0!</v>
      </c>
    </row>
    <row r="1266" spans="4:21" x14ac:dyDescent="0.35">
      <c r="D1266" s="3"/>
      <c r="G1266" s="3" t="s">
        <v>87</v>
      </c>
      <c r="M1266" s="3"/>
      <c r="N1266" s="356" t="e" cm="1">
        <f t="array" ref="N1266">_xlfn.IFS(I1266="AEX",H1266/400,I1266="RP",H1266/200)</f>
        <v>#N/A</v>
      </c>
      <c r="P1266" s="75" t="e">
        <f t="shared" si="186"/>
        <v>#DIV/0!</v>
      </c>
      <c r="Q1266" s="3" t="e" cm="1">
        <f t="array" ref="Q1266">_xlfn.IFS(P1266&lt;200, "10", P1266&lt;400, "12", P1266&lt;600, "14", P1266&gt;600, "16")</f>
        <v>#DIV/0!</v>
      </c>
      <c r="R1266" s="75">
        <f t="shared" si="187"/>
        <v>0</v>
      </c>
      <c r="S1266" s="75" t="e">
        <f t="shared" si="188"/>
        <v>#DIV/0!</v>
      </c>
      <c r="U1266" s="306" t="e">
        <f t="shared" si="189"/>
        <v>#DIV/0!</v>
      </c>
    </row>
    <row r="1267" spans="4:21" x14ac:dyDescent="0.35">
      <c r="D1267" s="3"/>
      <c r="G1267" s="3" t="s">
        <v>87</v>
      </c>
      <c r="M1267" s="3"/>
      <c r="N1267" s="356" t="e" cm="1">
        <f t="array" ref="N1267">_xlfn.IFS(I1267="AEX",H1267/400,I1267="RP",H1267/200)</f>
        <v>#N/A</v>
      </c>
      <c r="P1267" s="75" t="e">
        <f t="shared" si="186"/>
        <v>#DIV/0!</v>
      </c>
      <c r="Q1267" s="3" t="e" cm="1">
        <f t="array" ref="Q1267">_xlfn.IFS(P1267&lt;200, "10", P1267&lt;400, "12", P1267&lt;600, "14", P1267&gt;600, "16")</f>
        <v>#DIV/0!</v>
      </c>
      <c r="R1267" s="75">
        <f t="shared" si="187"/>
        <v>0</v>
      </c>
      <c r="S1267" s="75" t="e">
        <f t="shared" si="188"/>
        <v>#DIV/0!</v>
      </c>
      <c r="U1267" s="306" t="e">
        <f t="shared" si="189"/>
        <v>#DIV/0!</v>
      </c>
    </row>
    <row r="1268" spans="4:21" x14ac:dyDescent="0.35">
      <c r="D1268" s="3"/>
      <c r="G1268" s="3" t="s">
        <v>87</v>
      </c>
      <c r="M1268" s="3"/>
      <c r="N1268" s="356" t="e" cm="1">
        <f t="array" ref="N1268">_xlfn.IFS(I1268="AEX",H1268/400,I1268="RP",H1268/200)</f>
        <v>#N/A</v>
      </c>
      <c r="P1268" s="75" t="e">
        <f t="shared" ref="P1268:P1331" si="190">H1268/O1268</f>
        <v>#DIV/0!</v>
      </c>
      <c r="Q1268" s="3" t="e" cm="1">
        <f t="array" ref="Q1268">_xlfn.IFS(P1268&lt;200, "10", P1268&lt;400, "12", P1268&lt;600, "14", P1268&gt;600, "16")</f>
        <v>#DIV/0!</v>
      </c>
      <c r="R1268" s="75">
        <f t="shared" ref="R1268:R1331" si="191">IF(I1268="AEX",H1268*0.3/400,H1268*0.3/200)</f>
        <v>0</v>
      </c>
      <c r="S1268" s="75" t="e">
        <f t="shared" ref="S1268:S1331" si="192">R1268/O1268</f>
        <v>#DIV/0!</v>
      </c>
      <c r="U1268" s="306" t="e">
        <f t="shared" ref="U1268:U1331" si="193">T1268/H1268*100</f>
        <v>#DIV/0!</v>
      </c>
    </row>
    <row r="1269" spans="4:21" x14ac:dyDescent="0.35">
      <c r="D1269" s="3"/>
      <c r="G1269" s="3" t="s">
        <v>87</v>
      </c>
      <c r="M1269" s="3"/>
      <c r="N1269" s="356" t="e" cm="1">
        <f t="array" ref="N1269">_xlfn.IFS(I1269="AEX",H1269/400,I1269="RP",H1269/200)</f>
        <v>#N/A</v>
      </c>
      <c r="P1269" s="75" t="e">
        <f t="shared" si="190"/>
        <v>#DIV/0!</v>
      </c>
      <c r="Q1269" s="3" t="e" cm="1">
        <f t="array" ref="Q1269">_xlfn.IFS(P1269&lt;200, "10", P1269&lt;400, "12", P1269&lt;600, "14", P1269&gt;600, "16")</f>
        <v>#DIV/0!</v>
      </c>
      <c r="R1269" s="75">
        <f t="shared" si="191"/>
        <v>0</v>
      </c>
      <c r="S1269" s="75" t="e">
        <f t="shared" si="192"/>
        <v>#DIV/0!</v>
      </c>
      <c r="U1269" s="306" t="e">
        <f t="shared" si="193"/>
        <v>#DIV/0!</v>
      </c>
    </row>
    <row r="1270" spans="4:21" x14ac:dyDescent="0.35">
      <c r="D1270" s="3"/>
      <c r="G1270" s="3" t="s">
        <v>87</v>
      </c>
      <c r="M1270" s="3"/>
      <c r="N1270" s="356" t="e" cm="1">
        <f t="array" ref="N1270">_xlfn.IFS(I1270="AEX",H1270/400,I1270="RP",H1270/200)</f>
        <v>#N/A</v>
      </c>
      <c r="P1270" s="75" t="e">
        <f t="shared" si="190"/>
        <v>#DIV/0!</v>
      </c>
      <c r="Q1270" s="3" t="e" cm="1">
        <f t="array" ref="Q1270">_xlfn.IFS(P1270&lt;200, "10", P1270&lt;400, "12", P1270&lt;600, "14", P1270&gt;600, "16")</f>
        <v>#DIV/0!</v>
      </c>
      <c r="R1270" s="75">
        <f t="shared" si="191"/>
        <v>0</v>
      </c>
      <c r="S1270" s="75" t="e">
        <f t="shared" si="192"/>
        <v>#DIV/0!</v>
      </c>
      <c r="U1270" s="306" t="e">
        <f t="shared" si="193"/>
        <v>#DIV/0!</v>
      </c>
    </row>
    <row r="1271" spans="4:21" x14ac:dyDescent="0.35">
      <c r="D1271" s="3"/>
      <c r="G1271" s="3" t="s">
        <v>87</v>
      </c>
      <c r="M1271" s="3"/>
      <c r="N1271" s="356" t="e" cm="1">
        <f t="array" ref="N1271">_xlfn.IFS(I1271="AEX",H1271/400,I1271="RP",H1271/200)</f>
        <v>#N/A</v>
      </c>
      <c r="P1271" s="75" t="e">
        <f t="shared" si="190"/>
        <v>#DIV/0!</v>
      </c>
      <c r="Q1271" s="3" t="e" cm="1">
        <f t="array" ref="Q1271">_xlfn.IFS(P1271&lt;200, "10", P1271&lt;400, "12", P1271&lt;600, "14", P1271&gt;600, "16")</f>
        <v>#DIV/0!</v>
      </c>
      <c r="R1271" s="75">
        <f t="shared" si="191"/>
        <v>0</v>
      </c>
      <c r="S1271" s="75" t="e">
        <f t="shared" si="192"/>
        <v>#DIV/0!</v>
      </c>
      <c r="U1271" s="306" t="e">
        <f t="shared" si="193"/>
        <v>#DIV/0!</v>
      </c>
    </row>
    <row r="1272" spans="4:21" x14ac:dyDescent="0.35">
      <c r="D1272" s="3"/>
      <c r="G1272" s="3" t="s">
        <v>87</v>
      </c>
      <c r="M1272" s="3"/>
      <c r="N1272" s="356" t="e" cm="1">
        <f t="array" ref="N1272">_xlfn.IFS(I1272="AEX",H1272/400,I1272="RP",H1272/200)</f>
        <v>#N/A</v>
      </c>
      <c r="P1272" s="75" t="e">
        <f t="shared" si="190"/>
        <v>#DIV/0!</v>
      </c>
      <c r="Q1272" s="3" t="e" cm="1">
        <f t="array" ref="Q1272">_xlfn.IFS(P1272&lt;200, "10", P1272&lt;400, "12", P1272&lt;600, "14", P1272&gt;600, "16")</f>
        <v>#DIV/0!</v>
      </c>
      <c r="R1272" s="75">
        <f t="shared" si="191"/>
        <v>0</v>
      </c>
      <c r="S1272" s="75" t="e">
        <f t="shared" si="192"/>
        <v>#DIV/0!</v>
      </c>
      <c r="U1272" s="306" t="e">
        <f t="shared" si="193"/>
        <v>#DIV/0!</v>
      </c>
    </row>
    <row r="1273" spans="4:21" x14ac:dyDescent="0.35">
      <c r="D1273" s="3"/>
      <c r="G1273" s="3" t="s">
        <v>87</v>
      </c>
      <c r="M1273" s="3"/>
      <c r="N1273" s="356" t="e" cm="1">
        <f t="array" ref="N1273">_xlfn.IFS(I1273="AEX",H1273/400,I1273="RP",H1273/200)</f>
        <v>#N/A</v>
      </c>
      <c r="P1273" s="75" t="e">
        <f t="shared" si="190"/>
        <v>#DIV/0!</v>
      </c>
      <c r="Q1273" s="3" t="e" cm="1">
        <f t="array" ref="Q1273">_xlfn.IFS(P1273&lt;200, "10", P1273&lt;400, "12", P1273&lt;600, "14", P1273&gt;600, "16")</f>
        <v>#DIV/0!</v>
      </c>
      <c r="R1273" s="75">
        <f t="shared" si="191"/>
        <v>0</v>
      </c>
      <c r="S1273" s="75" t="e">
        <f t="shared" si="192"/>
        <v>#DIV/0!</v>
      </c>
      <c r="U1273" s="306" t="e">
        <f t="shared" si="193"/>
        <v>#DIV/0!</v>
      </c>
    </row>
    <row r="1274" spans="4:21" x14ac:dyDescent="0.35">
      <c r="D1274" s="3"/>
      <c r="G1274" s="3" t="s">
        <v>87</v>
      </c>
      <c r="M1274" s="3"/>
      <c r="N1274" s="356" t="e" cm="1">
        <f t="array" ref="N1274">_xlfn.IFS(I1274="AEX",H1274/400,I1274="RP",H1274/200)</f>
        <v>#N/A</v>
      </c>
      <c r="P1274" s="75" t="e">
        <f t="shared" si="190"/>
        <v>#DIV/0!</v>
      </c>
      <c r="Q1274" s="3" t="e" cm="1">
        <f t="array" ref="Q1274">_xlfn.IFS(P1274&lt;200, "10", P1274&lt;400, "12", P1274&lt;600, "14", P1274&gt;600, "16")</f>
        <v>#DIV/0!</v>
      </c>
      <c r="R1274" s="75">
        <f t="shared" si="191"/>
        <v>0</v>
      </c>
      <c r="S1274" s="75" t="e">
        <f t="shared" si="192"/>
        <v>#DIV/0!</v>
      </c>
      <c r="U1274" s="306" t="e">
        <f t="shared" si="193"/>
        <v>#DIV/0!</v>
      </c>
    </row>
    <row r="1275" spans="4:21" x14ac:dyDescent="0.35">
      <c r="D1275" s="3"/>
      <c r="G1275" s="3" t="s">
        <v>87</v>
      </c>
      <c r="M1275" s="3"/>
      <c r="N1275" s="356" t="e" cm="1">
        <f t="array" ref="N1275">_xlfn.IFS(I1275="AEX",H1275/400,I1275="RP",H1275/200)</f>
        <v>#N/A</v>
      </c>
      <c r="P1275" s="75" t="e">
        <f t="shared" si="190"/>
        <v>#DIV/0!</v>
      </c>
      <c r="Q1275" s="3" t="e" cm="1">
        <f t="array" ref="Q1275">_xlfn.IFS(P1275&lt;200, "10", P1275&lt;400, "12", P1275&lt;600, "14", P1275&gt;600, "16")</f>
        <v>#DIV/0!</v>
      </c>
      <c r="R1275" s="75">
        <f t="shared" si="191"/>
        <v>0</v>
      </c>
      <c r="S1275" s="75" t="e">
        <f t="shared" si="192"/>
        <v>#DIV/0!</v>
      </c>
      <c r="U1275" s="306" t="e">
        <f t="shared" si="193"/>
        <v>#DIV/0!</v>
      </c>
    </row>
    <row r="1276" spans="4:21" x14ac:dyDescent="0.35">
      <c r="D1276" s="3"/>
      <c r="G1276" s="3" t="s">
        <v>87</v>
      </c>
      <c r="M1276" s="3"/>
      <c r="N1276" s="356" t="e" cm="1">
        <f t="array" ref="N1276">_xlfn.IFS(I1276="AEX",H1276/400,I1276="RP",H1276/200)</f>
        <v>#N/A</v>
      </c>
      <c r="P1276" s="75" t="e">
        <f t="shared" si="190"/>
        <v>#DIV/0!</v>
      </c>
      <c r="Q1276" s="3" t="e" cm="1">
        <f t="array" ref="Q1276">_xlfn.IFS(P1276&lt;200, "10", P1276&lt;400, "12", P1276&lt;600, "14", P1276&gt;600, "16")</f>
        <v>#DIV/0!</v>
      </c>
      <c r="R1276" s="75">
        <f t="shared" si="191"/>
        <v>0</v>
      </c>
      <c r="S1276" s="75" t="e">
        <f t="shared" si="192"/>
        <v>#DIV/0!</v>
      </c>
      <c r="U1276" s="306" t="e">
        <f t="shared" si="193"/>
        <v>#DIV/0!</v>
      </c>
    </row>
    <row r="1277" spans="4:21" x14ac:dyDescent="0.35">
      <c r="D1277" s="3"/>
      <c r="G1277" s="3" t="s">
        <v>87</v>
      </c>
      <c r="M1277" s="3"/>
      <c r="N1277" s="356" t="e" cm="1">
        <f t="array" ref="N1277">_xlfn.IFS(I1277="AEX",H1277/400,I1277="RP",H1277/200)</f>
        <v>#N/A</v>
      </c>
      <c r="P1277" s="75" t="e">
        <f t="shared" si="190"/>
        <v>#DIV/0!</v>
      </c>
      <c r="Q1277" s="3" t="e" cm="1">
        <f t="array" ref="Q1277">_xlfn.IFS(P1277&lt;200, "10", P1277&lt;400, "12", P1277&lt;600, "14", P1277&gt;600, "16")</f>
        <v>#DIV/0!</v>
      </c>
      <c r="R1277" s="75">
        <f t="shared" si="191"/>
        <v>0</v>
      </c>
      <c r="S1277" s="75" t="e">
        <f t="shared" si="192"/>
        <v>#DIV/0!</v>
      </c>
      <c r="U1277" s="306" t="e">
        <f t="shared" si="193"/>
        <v>#DIV/0!</v>
      </c>
    </row>
    <row r="1278" spans="4:21" x14ac:dyDescent="0.35">
      <c r="D1278" s="3"/>
      <c r="G1278" s="3" t="s">
        <v>87</v>
      </c>
      <c r="M1278" s="3"/>
      <c r="N1278" s="356" t="e" cm="1">
        <f t="array" ref="N1278">_xlfn.IFS(I1278="AEX",H1278/400,I1278="RP",H1278/200)</f>
        <v>#N/A</v>
      </c>
      <c r="P1278" s="75" t="e">
        <f t="shared" si="190"/>
        <v>#DIV/0!</v>
      </c>
      <c r="Q1278" s="3" t="e" cm="1">
        <f t="array" ref="Q1278">_xlfn.IFS(P1278&lt;200, "10", P1278&lt;400, "12", P1278&lt;600, "14", P1278&gt;600, "16")</f>
        <v>#DIV/0!</v>
      </c>
      <c r="R1278" s="75">
        <f t="shared" si="191"/>
        <v>0</v>
      </c>
      <c r="S1278" s="75" t="e">
        <f t="shared" si="192"/>
        <v>#DIV/0!</v>
      </c>
      <c r="U1278" s="306" t="e">
        <f t="shared" si="193"/>
        <v>#DIV/0!</v>
      </c>
    </row>
    <row r="1279" spans="4:21" x14ac:dyDescent="0.35">
      <c r="D1279" s="3"/>
      <c r="G1279" s="3" t="s">
        <v>87</v>
      </c>
      <c r="M1279" s="3"/>
      <c r="N1279" s="356" t="e" cm="1">
        <f t="array" ref="N1279">_xlfn.IFS(I1279="AEX",H1279/400,I1279="RP",H1279/200)</f>
        <v>#N/A</v>
      </c>
      <c r="P1279" s="75" t="e">
        <f t="shared" si="190"/>
        <v>#DIV/0!</v>
      </c>
      <c r="Q1279" s="3" t="e" cm="1">
        <f t="array" ref="Q1279">_xlfn.IFS(P1279&lt;200, "10", P1279&lt;400, "12", P1279&lt;600, "14", P1279&gt;600, "16")</f>
        <v>#DIV/0!</v>
      </c>
      <c r="R1279" s="75">
        <f t="shared" si="191"/>
        <v>0</v>
      </c>
      <c r="S1279" s="75" t="e">
        <f t="shared" si="192"/>
        <v>#DIV/0!</v>
      </c>
      <c r="U1279" s="306" t="e">
        <f t="shared" si="193"/>
        <v>#DIV/0!</v>
      </c>
    </row>
    <row r="1280" spans="4:21" x14ac:dyDescent="0.35">
      <c r="D1280" s="3"/>
      <c r="G1280" s="3" t="s">
        <v>87</v>
      </c>
      <c r="M1280" s="3"/>
      <c r="N1280" s="356" t="e" cm="1">
        <f t="array" ref="N1280">_xlfn.IFS(I1280="AEX",H1280/400,I1280="RP",H1280/200)</f>
        <v>#N/A</v>
      </c>
      <c r="P1280" s="75" t="e">
        <f t="shared" si="190"/>
        <v>#DIV/0!</v>
      </c>
      <c r="Q1280" s="3" t="e" cm="1">
        <f t="array" ref="Q1280">_xlfn.IFS(P1280&lt;200, "10", P1280&lt;400, "12", P1280&lt;600, "14", P1280&gt;600, "16")</f>
        <v>#DIV/0!</v>
      </c>
      <c r="R1280" s="75">
        <f t="shared" si="191"/>
        <v>0</v>
      </c>
      <c r="S1280" s="75" t="e">
        <f t="shared" si="192"/>
        <v>#DIV/0!</v>
      </c>
      <c r="U1280" s="306" t="e">
        <f t="shared" si="193"/>
        <v>#DIV/0!</v>
      </c>
    </row>
    <row r="1281" spans="4:21" x14ac:dyDescent="0.35">
      <c r="D1281" s="3"/>
      <c r="G1281" s="3" t="s">
        <v>87</v>
      </c>
      <c r="M1281" s="3"/>
      <c r="N1281" s="356" t="e" cm="1">
        <f t="array" ref="N1281">_xlfn.IFS(I1281="AEX",H1281/400,I1281="RP",H1281/200)</f>
        <v>#N/A</v>
      </c>
      <c r="P1281" s="75" t="e">
        <f t="shared" si="190"/>
        <v>#DIV/0!</v>
      </c>
      <c r="Q1281" s="3" t="e" cm="1">
        <f t="array" ref="Q1281">_xlfn.IFS(P1281&lt;200, "10", P1281&lt;400, "12", P1281&lt;600, "14", P1281&gt;600, "16")</f>
        <v>#DIV/0!</v>
      </c>
      <c r="R1281" s="75">
        <f t="shared" si="191"/>
        <v>0</v>
      </c>
      <c r="S1281" s="75" t="e">
        <f t="shared" si="192"/>
        <v>#DIV/0!</v>
      </c>
      <c r="U1281" s="306" t="e">
        <f t="shared" si="193"/>
        <v>#DIV/0!</v>
      </c>
    </row>
    <row r="1282" spans="4:21" x14ac:dyDescent="0.35">
      <c r="D1282" s="3"/>
      <c r="G1282" s="3" t="s">
        <v>87</v>
      </c>
      <c r="M1282" s="3"/>
      <c r="N1282" s="356" t="e" cm="1">
        <f t="array" ref="N1282">_xlfn.IFS(I1282="AEX",H1282/400,I1282="RP",H1282/200)</f>
        <v>#N/A</v>
      </c>
      <c r="P1282" s="75" t="e">
        <f t="shared" si="190"/>
        <v>#DIV/0!</v>
      </c>
      <c r="Q1282" s="3" t="e" cm="1">
        <f t="array" ref="Q1282">_xlfn.IFS(P1282&lt;200, "10", P1282&lt;400, "12", P1282&lt;600, "14", P1282&gt;600, "16")</f>
        <v>#DIV/0!</v>
      </c>
      <c r="R1282" s="75">
        <f t="shared" si="191"/>
        <v>0</v>
      </c>
      <c r="S1282" s="75" t="e">
        <f t="shared" si="192"/>
        <v>#DIV/0!</v>
      </c>
      <c r="U1282" s="306" t="e">
        <f t="shared" si="193"/>
        <v>#DIV/0!</v>
      </c>
    </row>
    <row r="1283" spans="4:21" x14ac:dyDescent="0.35">
      <c r="D1283" s="3"/>
      <c r="G1283" s="3" t="s">
        <v>87</v>
      </c>
      <c r="M1283" s="3"/>
      <c r="N1283" s="356" t="e" cm="1">
        <f t="array" ref="N1283">_xlfn.IFS(I1283="AEX",H1283/400,I1283="RP",H1283/200)</f>
        <v>#N/A</v>
      </c>
      <c r="P1283" s="75" t="e">
        <f t="shared" si="190"/>
        <v>#DIV/0!</v>
      </c>
      <c r="Q1283" s="3" t="e" cm="1">
        <f t="array" ref="Q1283">_xlfn.IFS(P1283&lt;200, "10", P1283&lt;400, "12", P1283&lt;600, "14", P1283&gt;600, "16")</f>
        <v>#DIV/0!</v>
      </c>
      <c r="R1283" s="75">
        <f t="shared" si="191"/>
        <v>0</v>
      </c>
      <c r="S1283" s="75" t="e">
        <f t="shared" si="192"/>
        <v>#DIV/0!</v>
      </c>
      <c r="U1283" s="306" t="e">
        <f t="shared" si="193"/>
        <v>#DIV/0!</v>
      </c>
    </row>
    <row r="1284" spans="4:21" x14ac:dyDescent="0.35">
      <c r="D1284" s="3"/>
      <c r="G1284" s="3" t="s">
        <v>87</v>
      </c>
      <c r="M1284" s="3"/>
      <c r="N1284" s="356" t="e" cm="1">
        <f t="array" ref="N1284">_xlfn.IFS(I1284="AEX",H1284/400,I1284="RP",H1284/200)</f>
        <v>#N/A</v>
      </c>
      <c r="P1284" s="75" t="e">
        <f t="shared" si="190"/>
        <v>#DIV/0!</v>
      </c>
      <c r="Q1284" s="3" t="e" cm="1">
        <f t="array" ref="Q1284">_xlfn.IFS(P1284&lt;200, "10", P1284&lt;400, "12", P1284&lt;600, "14", P1284&gt;600, "16")</f>
        <v>#DIV/0!</v>
      </c>
      <c r="R1284" s="75">
        <f t="shared" si="191"/>
        <v>0</v>
      </c>
      <c r="S1284" s="75" t="e">
        <f t="shared" si="192"/>
        <v>#DIV/0!</v>
      </c>
      <c r="U1284" s="306" t="e">
        <f t="shared" si="193"/>
        <v>#DIV/0!</v>
      </c>
    </row>
    <row r="1285" spans="4:21" x14ac:dyDescent="0.35">
      <c r="D1285" s="3"/>
      <c r="G1285" s="3" t="s">
        <v>87</v>
      </c>
      <c r="M1285" s="3"/>
      <c r="N1285" s="356" t="e" cm="1">
        <f t="array" ref="N1285">_xlfn.IFS(I1285="AEX",H1285/400,I1285="RP",H1285/200)</f>
        <v>#N/A</v>
      </c>
      <c r="P1285" s="75" t="e">
        <f t="shared" si="190"/>
        <v>#DIV/0!</v>
      </c>
      <c r="Q1285" s="3" t="e" cm="1">
        <f t="array" ref="Q1285">_xlfn.IFS(P1285&lt;200, "10", P1285&lt;400, "12", P1285&lt;600, "14", P1285&gt;600, "16")</f>
        <v>#DIV/0!</v>
      </c>
      <c r="R1285" s="75">
        <f t="shared" si="191"/>
        <v>0</v>
      </c>
      <c r="S1285" s="75" t="e">
        <f t="shared" si="192"/>
        <v>#DIV/0!</v>
      </c>
      <c r="U1285" s="306" t="e">
        <f t="shared" si="193"/>
        <v>#DIV/0!</v>
      </c>
    </row>
    <row r="1286" spans="4:21" x14ac:dyDescent="0.35">
      <c r="D1286" s="3"/>
      <c r="G1286" s="3" t="s">
        <v>87</v>
      </c>
      <c r="M1286" s="3"/>
      <c r="N1286" s="356" t="e" cm="1">
        <f t="array" ref="N1286">_xlfn.IFS(I1286="AEX",H1286/400,I1286="RP",H1286/200)</f>
        <v>#N/A</v>
      </c>
      <c r="P1286" s="75" t="e">
        <f t="shared" si="190"/>
        <v>#DIV/0!</v>
      </c>
      <c r="Q1286" s="3" t="e" cm="1">
        <f t="array" ref="Q1286">_xlfn.IFS(P1286&lt;200, "10", P1286&lt;400, "12", P1286&lt;600, "14", P1286&gt;600, "16")</f>
        <v>#DIV/0!</v>
      </c>
      <c r="R1286" s="75">
        <f t="shared" si="191"/>
        <v>0</v>
      </c>
      <c r="S1286" s="75" t="e">
        <f t="shared" si="192"/>
        <v>#DIV/0!</v>
      </c>
      <c r="U1286" s="306" t="e">
        <f t="shared" si="193"/>
        <v>#DIV/0!</v>
      </c>
    </row>
    <row r="1287" spans="4:21" x14ac:dyDescent="0.35">
      <c r="D1287" s="3"/>
      <c r="G1287" s="3" t="s">
        <v>87</v>
      </c>
      <c r="M1287" s="3"/>
      <c r="N1287" s="356" t="e" cm="1">
        <f t="array" ref="N1287">_xlfn.IFS(I1287="AEX",H1287/400,I1287="RP",H1287/200)</f>
        <v>#N/A</v>
      </c>
      <c r="P1287" s="75" t="e">
        <f t="shared" si="190"/>
        <v>#DIV/0!</v>
      </c>
      <c r="Q1287" s="3" t="e" cm="1">
        <f t="array" ref="Q1287">_xlfn.IFS(P1287&lt;200, "10", P1287&lt;400, "12", P1287&lt;600, "14", P1287&gt;600, "16")</f>
        <v>#DIV/0!</v>
      </c>
      <c r="R1287" s="75">
        <f t="shared" si="191"/>
        <v>0</v>
      </c>
      <c r="S1287" s="75" t="e">
        <f t="shared" si="192"/>
        <v>#DIV/0!</v>
      </c>
      <c r="U1287" s="306" t="e">
        <f t="shared" si="193"/>
        <v>#DIV/0!</v>
      </c>
    </row>
    <row r="1288" spans="4:21" x14ac:dyDescent="0.35">
      <c r="D1288" s="3"/>
      <c r="G1288" s="3" t="s">
        <v>87</v>
      </c>
      <c r="M1288" s="3"/>
      <c r="N1288" s="356" t="e" cm="1">
        <f t="array" ref="N1288">_xlfn.IFS(I1288="AEX",H1288/400,I1288="RP",H1288/200)</f>
        <v>#N/A</v>
      </c>
      <c r="P1288" s="75" t="e">
        <f t="shared" si="190"/>
        <v>#DIV/0!</v>
      </c>
      <c r="Q1288" s="3" t="e" cm="1">
        <f t="array" ref="Q1288">_xlfn.IFS(P1288&lt;200, "10", P1288&lt;400, "12", P1288&lt;600, "14", P1288&gt;600, "16")</f>
        <v>#DIV/0!</v>
      </c>
      <c r="R1288" s="75">
        <f t="shared" si="191"/>
        <v>0</v>
      </c>
      <c r="S1288" s="75" t="e">
        <f t="shared" si="192"/>
        <v>#DIV/0!</v>
      </c>
      <c r="U1288" s="306" t="e">
        <f t="shared" si="193"/>
        <v>#DIV/0!</v>
      </c>
    </row>
    <row r="1289" spans="4:21" x14ac:dyDescent="0.35">
      <c r="D1289" s="3"/>
      <c r="G1289" s="3" t="s">
        <v>87</v>
      </c>
      <c r="M1289" s="3"/>
      <c r="N1289" s="356" t="e" cm="1">
        <f t="array" ref="N1289">_xlfn.IFS(I1289="AEX",H1289/400,I1289="RP",H1289/200)</f>
        <v>#N/A</v>
      </c>
      <c r="P1289" s="75" t="e">
        <f t="shared" si="190"/>
        <v>#DIV/0!</v>
      </c>
      <c r="Q1289" s="3" t="e" cm="1">
        <f t="array" ref="Q1289">_xlfn.IFS(P1289&lt;200, "10", P1289&lt;400, "12", P1289&lt;600, "14", P1289&gt;600, "16")</f>
        <v>#DIV/0!</v>
      </c>
      <c r="R1289" s="75">
        <f t="shared" si="191"/>
        <v>0</v>
      </c>
      <c r="S1289" s="75" t="e">
        <f t="shared" si="192"/>
        <v>#DIV/0!</v>
      </c>
      <c r="U1289" s="306" t="e">
        <f t="shared" si="193"/>
        <v>#DIV/0!</v>
      </c>
    </row>
    <row r="1290" spans="4:21" x14ac:dyDescent="0.35">
      <c r="D1290" s="3"/>
      <c r="G1290" s="3" t="s">
        <v>87</v>
      </c>
      <c r="M1290" s="3"/>
      <c r="N1290" s="356" t="e" cm="1">
        <f t="array" ref="N1290">_xlfn.IFS(I1290="AEX",H1290/400,I1290="RP",H1290/200)</f>
        <v>#N/A</v>
      </c>
      <c r="P1290" s="75" t="e">
        <f t="shared" si="190"/>
        <v>#DIV/0!</v>
      </c>
      <c r="Q1290" s="3" t="e" cm="1">
        <f t="array" ref="Q1290">_xlfn.IFS(P1290&lt;200, "10", P1290&lt;400, "12", P1290&lt;600, "14", P1290&gt;600, "16")</f>
        <v>#DIV/0!</v>
      </c>
      <c r="R1290" s="75">
        <f t="shared" si="191"/>
        <v>0</v>
      </c>
      <c r="S1290" s="75" t="e">
        <f t="shared" si="192"/>
        <v>#DIV/0!</v>
      </c>
      <c r="U1290" s="306" t="e">
        <f t="shared" si="193"/>
        <v>#DIV/0!</v>
      </c>
    </row>
    <row r="1291" spans="4:21" x14ac:dyDescent="0.35">
      <c r="D1291" s="3"/>
      <c r="G1291" s="3" t="s">
        <v>87</v>
      </c>
      <c r="M1291" s="3"/>
      <c r="N1291" s="356" t="e" cm="1">
        <f t="array" ref="N1291">_xlfn.IFS(I1291="AEX",H1291/400,I1291="RP",H1291/200)</f>
        <v>#N/A</v>
      </c>
      <c r="P1291" s="75" t="e">
        <f t="shared" si="190"/>
        <v>#DIV/0!</v>
      </c>
      <c r="Q1291" s="3" t="e" cm="1">
        <f t="array" ref="Q1291">_xlfn.IFS(P1291&lt;200, "10", P1291&lt;400, "12", P1291&lt;600, "14", P1291&gt;600, "16")</f>
        <v>#DIV/0!</v>
      </c>
      <c r="R1291" s="75">
        <f t="shared" si="191"/>
        <v>0</v>
      </c>
      <c r="S1291" s="75" t="e">
        <f t="shared" si="192"/>
        <v>#DIV/0!</v>
      </c>
      <c r="U1291" s="306" t="e">
        <f t="shared" si="193"/>
        <v>#DIV/0!</v>
      </c>
    </row>
    <row r="1292" spans="4:21" x14ac:dyDescent="0.35">
      <c r="D1292" s="3"/>
      <c r="G1292" s="3" t="s">
        <v>87</v>
      </c>
      <c r="M1292" s="3"/>
      <c r="N1292" s="356" t="e" cm="1">
        <f t="array" ref="N1292">_xlfn.IFS(I1292="AEX",H1292/400,I1292="RP",H1292/200)</f>
        <v>#N/A</v>
      </c>
      <c r="P1292" s="75" t="e">
        <f t="shared" si="190"/>
        <v>#DIV/0!</v>
      </c>
      <c r="Q1292" s="3" t="e" cm="1">
        <f t="array" ref="Q1292">_xlfn.IFS(P1292&lt;200, "10", P1292&lt;400, "12", P1292&lt;600, "14", P1292&gt;600, "16")</f>
        <v>#DIV/0!</v>
      </c>
      <c r="R1292" s="75">
        <f t="shared" si="191"/>
        <v>0</v>
      </c>
      <c r="S1292" s="75" t="e">
        <f t="shared" si="192"/>
        <v>#DIV/0!</v>
      </c>
      <c r="U1292" s="306" t="e">
        <f t="shared" si="193"/>
        <v>#DIV/0!</v>
      </c>
    </row>
    <row r="1293" spans="4:21" x14ac:dyDescent="0.35">
      <c r="D1293" s="3"/>
      <c r="G1293" s="3" t="s">
        <v>87</v>
      </c>
      <c r="M1293" s="3"/>
      <c r="N1293" s="356" t="e" cm="1">
        <f t="array" ref="N1293">_xlfn.IFS(I1293="AEX",H1293/400,I1293="RP",H1293/200)</f>
        <v>#N/A</v>
      </c>
      <c r="P1293" s="75" t="e">
        <f t="shared" si="190"/>
        <v>#DIV/0!</v>
      </c>
      <c r="Q1293" s="3" t="e" cm="1">
        <f t="array" ref="Q1293">_xlfn.IFS(P1293&lt;200, "10", P1293&lt;400, "12", P1293&lt;600, "14", P1293&gt;600, "16")</f>
        <v>#DIV/0!</v>
      </c>
      <c r="R1293" s="75">
        <f t="shared" si="191"/>
        <v>0</v>
      </c>
      <c r="S1293" s="75" t="e">
        <f t="shared" si="192"/>
        <v>#DIV/0!</v>
      </c>
      <c r="U1293" s="306" t="e">
        <f t="shared" si="193"/>
        <v>#DIV/0!</v>
      </c>
    </row>
    <row r="1294" spans="4:21" x14ac:dyDescent="0.35">
      <c r="D1294" s="3"/>
      <c r="G1294" s="3" t="s">
        <v>87</v>
      </c>
      <c r="M1294" s="3"/>
      <c r="N1294" s="356" t="e" cm="1">
        <f t="array" ref="N1294">_xlfn.IFS(I1294="AEX",H1294/400,I1294="RP",H1294/200)</f>
        <v>#N/A</v>
      </c>
      <c r="P1294" s="75" t="e">
        <f t="shared" si="190"/>
        <v>#DIV/0!</v>
      </c>
      <c r="Q1294" s="3" t="e" cm="1">
        <f t="array" ref="Q1294">_xlfn.IFS(P1294&lt;200, "10", P1294&lt;400, "12", P1294&lt;600, "14", P1294&gt;600, "16")</f>
        <v>#DIV/0!</v>
      </c>
      <c r="R1294" s="75">
        <f t="shared" si="191"/>
        <v>0</v>
      </c>
      <c r="S1294" s="75" t="e">
        <f t="shared" si="192"/>
        <v>#DIV/0!</v>
      </c>
      <c r="U1294" s="306" t="e">
        <f t="shared" si="193"/>
        <v>#DIV/0!</v>
      </c>
    </row>
    <row r="1295" spans="4:21" x14ac:dyDescent="0.35">
      <c r="D1295" s="3"/>
      <c r="G1295" s="3" t="s">
        <v>87</v>
      </c>
      <c r="M1295" s="3"/>
      <c r="N1295" s="356" t="e" cm="1">
        <f t="array" ref="N1295">_xlfn.IFS(I1295="AEX",H1295/400,I1295="RP",H1295/200)</f>
        <v>#N/A</v>
      </c>
      <c r="P1295" s="75" t="e">
        <f t="shared" si="190"/>
        <v>#DIV/0!</v>
      </c>
      <c r="Q1295" s="3" t="e" cm="1">
        <f t="array" ref="Q1295">_xlfn.IFS(P1295&lt;200, "10", P1295&lt;400, "12", P1295&lt;600, "14", P1295&gt;600, "16")</f>
        <v>#DIV/0!</v>
      </c>
      <c r="R1295" s="75">
        <f t="shared" si="191"/>
        <v>0</v>
      </c>
      <c r="S1295" s="75" t="e">
        <f t="shared" si="192"/>
        <v>#DIV/0!</v>
      </c>
      <c r="U1295" s="306" t="e">
        <f t="shared" si="193"/>
        <v>#DIV/0!</v>
      </c>
    </row>
    <row r="1296" spans="4:21" x14ac:dyDescent="0.35">
      <c r="D1296" s="3"/>
      <c r="G1296" s="3" t="s">
        <v>87</v>
      </c>
      <c r="M1296" s="3"/>
      <c r="N1296" s="356" t="e" cm="1">
        <f t="array" ref="N1296">_xlfn.IFS(I1296="AEX",H1296/400,I1296="RP",H1296/200)</f>
        <v>#N/A</v>
      </c>
      <c r="P1296" s="75" t="e">
        <f t="shared" si="190"/>
        <v>#DIV/0!</v>
      </c>
      <c r="Q1296" s="3" t="e" cm="1">
        <f t="array" ref="Q1296">_xlfn.IFS(P1296&lt;200, "10", P1296&lt;400, "12", P1296&lt;600, "14", P1296&gt;600, "16")</f>
        <v>#DIV/0!</v>
      </c>
      <c r="R1296" s="75">
        <f t="shared" si="191"/>
        <v>0</v>
      </c>
      <c r="S1296" s="75" t="e">
        <f t="shared" si="192"/>
        <v>#DIV/0!</v>
      </c>
      <c r="U1296" s="306" t="e">
        <f t="shared" si="193"/>
        <v>#DIV/0!</v>
      </c>
    </row>
    <row r="1297" spans="4:21" x14ac:dyDescent="0.35">
      <c r="D1297" s="3"/>
      <c r="G1297" s="3" t="s">
        <v>87</v>
      </c>
      <c r="M1297" s="3"/>
      <c r="N1297" s="356" t="e" cm="1">
        <f t="array" ref="N1297">_xlfn.IFS(I1297="AEX",H1297/400,I1297="RP",H1297/200)</f>
        <v>#N/A</v>
      </c>
      <c r="P1297" s="75" t="e">
        <f t="shared" si="190"/>
        <v>#DIV/0!</v>
      </c>
      <c r="Q1297" s="3" t="e" cm="1">
        <f t="array" ref="Q1297">_xlfn.IFS(P1297&lt;200, "10", P1297&lt;400, "12", P1297&lt;600, "14", P1297&gt;600, "16")</f>
        <v>#DIV/0!</v>
      </c>
      <c r="R1297" s="75">
        <f t="shared" si="191"/>
        <v>0</v>
      </c>
      <c r="S1297" s="75" t="e">
        <f t="shared" si="192"/>
        <v>#DIV/0!</v>
      </c>
      <c r="U1297" s="306" t="e">
        <f t="shared" si="193"/>
        <v>#DIV/0!</v>
      </c>
    </row>
    <row r="1298" spans="4:21" x14ac:dyDescent="0.35">
      <c r="D1298" s="3"/>
      <c r="G1298" s="3" t="s">
        <v>87</v>
      </c>
      <c r="M1298" s="3"/>
      <c r="N1298" s="356" t="e" cm="1">
        <f t="array" ref="N1298">_xlfn.IFS(I1298="AEX",H1298/400,I1298="RP",H1298/200)</f>
        <v>#N/A</v>
      </c>
      <c r="P1298" s="75" t="e">
        <f t="shared" si="190"/>
        <v>#DIV/0!</v>
      </c>
      <c r="Q1298" s="3" t="e" cm="1">
        <f t="array" ref="Q1298">_xlfn.IFS(P1298&lt;200, "10", P1298&lt;400, "12", P1298&lt;600, "14", P1298&gt;600, "16")</f>
        <v>#DIV/0!</v>
      </c>
      <c r="R1298" s="75">
        <f t="shared" si="191"/>
        <v>0</v>
      </c>
      <c r="S1298" s="75" t="e">
        <f t="shared" si="192"/>
        <v>#DIV/0!</v>
      </c>
      <c r="U1298" s="306" t="e">
        <f t="shared" si="193"/>
        <v>#DIV/0!</v>
      </c>
    </row>
    <row r="1299" spans="4:21" x14ac:dyDescent="0.35">
      <c r="D1299" s="3"/>
      <c r="G1299" s="3" t="s">
        <v>87</v>
      </c>
      <c r="M1299" s="3"/>
      <c r="N1299" s="356" t="e" cm="1">
        <f t="array" ref="N1299">_xlfn.IFS(I1299="AEX",H1299/400,I1299="RP",H1299/200)</f>
        <v>#N/A</v>
      </c>
      <c r="P1299" s="75" t="e">
        <f t="shared" si="190"/>
        <v>#DIV/0!</v>
      </c>
      <c r="Q1299" s="3" t="e" cm="1">
        <f t="array" ref="Q1299">_xlfn.IFS(P1299&lt;200, "10", P1299&lt;400, "12", P1299&lt;600, "14", P1299&gt;600, "16")</f>
        <v>#DIV/0!</v>
      </c>
      <c r="R1299" s="75">
        <f t="shared" si="191"/>
        <v>0</v>
      </c>
      <c r="S1299" s="75" t="e">
        <f t="shared" si="192"/>
        <v>#DIV/0!</v>
      </c>
      <c r="U1299" s="306" t="e">
        <f t="shared" si="193"/>
        <v>#DIV/0!</v>
      </c>
    </row>
    <row r="1300" spans="4:21" x14ac:dyDescent="0.35">
      <c r="D1300" s="3"/>
      <c r="G1300" s="3" t="s">
        <v>87</v>
      </c>
      <c r="M1300" s="3"/>
      <c r="N1300" s="356" t="e" cm="1">
        <f t="array" ref="N1300">_xlfn.IFS(I1300="AEX",H1300/400,I1300="RP",H1300/200)</f>
        <v>#N/A</v>
      </c>
      <c r="P1300" s="75" t="e">
        <f t="shared" si="190"/>
        <v>#DIV/0!</v>
      </c>
      <c r="Q1300" s="3" t="e" cm="1">
        <f t="array" ref="Q1300">_xlfn.IFS(P1300&lt;200, "10", P1300&lt;400, "12", P1300&lt;600, "14", P1300&gt;600, "16")</f>
        <v>#DIV/0!</v>
      </c>
      <c r="R1300" s="75">
        <f t="shared" si="191"/>
        <v>0</v>
      </c>
      <c r="S1300" s="75" t="e">
        <f t="shared" si="192"/>
        <v>#DIV/0!</v>
      </c>
      <c r="U1300" s="306" t="e">
        <f t="shared" si="193"/>
        <v>#DIV/0!</v>
      </c>
    </row>
    <row r="1301" spans="4:21" x14ac:dyDescent="0.35">
      <c r="D1301" s="3"/>
      <c r="G1301" s="3" t="s">
        <v>87</v>
      </c>
      <c r="M1301" s="3"/>
      <c r="N1301" s="356" t="e" cm="1">
        <f t="array" ref="N1301">_xlfn.IFS(I1301="AEX",H1301/400,I1301="RP",H1301/200)</f>
        <v>#N/A</v>
      </c>
      <c r="P1301" s="75" t="e">
        <f t="shared" si="190"/>
        <v>#DIV/0!</v>
      </c>
      <c r="Q1301" s="3" t="e" cm="1">
        <f t="array" ref="Q1301">_xlfn.IFS(P1301&lt;200, "10", P1301&lt;400, "12", P1301&lt;600, "14", P1301&gt;600, "16")</f>
        <v>#DIV/0!</v>
      </c>
      <c r="R1301" s="75">
        <f t="shared" si="191"/>
        <v>0</v>
      </c>
      <c r="S1301" s="75" t="e">
        <f t="shared" si="192"/>
        <v>#DIV/0!</v>
      </c>
      <c r="U1301" s="306" t="e">
        <f t="shared" si="193"/>
        <v>#DIV/0!</v>
      </c>
    </row>
    <row r="1302" spans="4:21" x14ac:dyDescent="0.35">
      <c r="D1302" s="3"/>
      <c r="G1302" s="3" t="s">
        <v>87</v>
      </c>
      <c r="M1302" s="3"/>
      <c r="N1302" s="356" t="e" cm="1">
        <f t="array" ref="N1302">_xlfn.IFS(I1302="AEX",H1302/400,I1302="RP",H1302/200)</f>
        <v>#N/A</v>
      </c>
      <c r="P1302" s="75" t="e">
        <f t="shared" si="190"/>
        <v>#DIV/0!</v>
      </c>
      <c r="Q1302" s="3" t="e" cm="1">
        <f t="array" ref="Q1302">_xlfn.IFS(P1302&lt;200, "10", P1302&lt;400, "12", P1302&lt;600, "14", P1302&gt;600, "16")</f>
        <v>#DIV/0!</v>
      </c>
      <c r="R1302" s="75">
        <f t="shared" si="191"/>
        <v>0</v>
      </c>
      <c r="S1302" s="75" t="e">
        <f t="shared" si="192"/>
        <v>#DIV/0!</v>
      </c>
      <c r="U1302" s="306" t="e">
        <f t="shared" si="193"/>
        <v>#DIV/0!</v>
      </c>
    </row>
    <row r="1303" spans="4:21" x14ac:dyDescent="0.35">
      <c r="D1303" s="3"/>
      <c r="G1303" s="3" t="s">
        <v>87</v>
      </c>
      <c r="M1303" s="3"/>
      <c r="N1303" s="356" t="e" cm="1">
        <f t="array" ref="N1303">_xlfn.IFS(I1303="AEX",H1303/400,I1303="RP",H1303/200)</f>
        <v>#N/A</v>
      </c>
      <c r="P1303" s="75" t="e">
        <f t="shared" si="190"/>
        <v>#DIV/0!</v>
      </c>
      <c r="Q1303" s="3" t="e" cm="1">
        <f t="array" ref="Q1303">_xlfn.IFS(P1303&lt;200, "10", P1303&lt;400, "12", P1303&lt;600, "14", P1303&gt;600, "16")</f>
        <v>#DIV/0!</v>
      </c>
      <c r="R1303" s="75">
        <f t="shared" si="191"/>
        <v>0</v>
      </c>
      <c r="S1303" s="75" t="e">
        <f t="shared" si="192"/>
        <v>#DIV/0!</v>
      </c>
      <c r="U1303" s="306" t="e">
        <f t="shared" si="193"/>
        <v>#DIV/0!</v>
      </c>
    </row>
    <row r="1304" spans="4:21" x14ac:dyDescent="0.35">
      <c r="D1304" s="3"/>
      <c r="G1304" s="3" t="s">
        <v>87</v>
      </c>
      <c r="M1304" s="3"/>
      <c r="N1304" s="356" t="e" cm="1">
        <f t="array" ref="N1304">_xlfn.IFS(I1304="AEX",H1304/400,I1304="RP",H1304/200)</f>
        <v>#N/A</v>
      </c>
      <c r="P1304" s="75" t="e">
        <f t="shared" si="190"/>
        <v>#DIV/0!</v>
      </c>
      <c r="Q1304" s="3" t="e" cm="1">
        <f t="array" ref="Q1304">_xlfn.IFS(P1304&lt;200, "10", P1304&lt;400, "12", P1304&lt;600, "14", P1304&gt;600, "16")</f>
        <v>#DIV/0!</v>
      </c>
      <c r="R1304" s="75">
        <f t="shared" si="191"/>
        <v>0</v>
      </c>
      <c r="S1304" s="75" t="e">
        <f t="shared" si="192"/>
        <v>#DIV/0!</v>
      </c>
      <c r="U1304" s="306" t="e">
        <f t="shared" si="193"/>
        <v>#DIV/0!</v>
      </c>
    </row>
    <row r="1305" spans="4:21" x14ac:dyDescent="0.35">
      <c r="D1305" s="3"/>
      <c r="G1305" s="3" t="s">
        <v>87</v>
      </c>
      <c r="M1305" s="3"/>
      <c r="N1305" s="356" t="e" cm="1">
        <f t="array" ref="N1305">_xlfn.IFS(I1305="AEX",H1305/400,I1305="RP",H1305/200)</f>
        <v>#N/A</v>
      </c>
      <c r="P1305" s="75" t="e">
        <f t="shared" si="190"/>
        <v>#DIV/0!</v>
      </c>
      <c r="Q1305" s="3" t="e" cm="1">
        <f t="array" ref="Q1305">_xlfn.IFS(P1305&lt;200, "10", P1305&lt;400, "12", P1305&lt;600, "14", P1305&gt;600, "16")</f>
        <v>#DIV/0!</v>
      </c>
      <c r="R1305" s="75">
        <f t="shared" si="191"/>
        <v>0</v>
      </c>
      <c r="S1305" s="75" t="e">
        <f t="shared" si="192"/>
        <v>#DIV/0!</v>
      </c>
      <c r="U1305" s="306" t="e">
        <f t="shared" si="193"/>
        <v>#DIV/0!</v>
      </c>
    </row>
    <row r="1306" spans="4:21" x14ac:dyDescent="0.35">
      <c r="D1306" s="3"/>
      <c r="G1306" s="3" t="s">
        <v>87</v>
      </c>
      <c r="M1306" s="3"/>
      <c r="N1306" s="356" t="e" cm="1">
        <f t="array" ref="N1306">_xlfn.IFS(I1306="AEX",H1306/400,I1306="RP",H1306/200)</f>
        <v>#N/A</v>
      </c>
      <c r="P1306" s="75" t="e">
        <f t="shared" si="190"/>
        <v>#DIV/0!</v>
      </c>
      <c r="Q1306" s="3" t="e" cm="1">
        <f t="array" ref="Q1306">_xlfn.IFS(P1306&lt;200, "10", P1306&lt;400, "12", P1306&lt;600, "14", P1306&gt;600, "16")</f>
        <v>#DIV/0!</v>
      </c>
      <c r="R1306" s="75">
        <f t="shared" si="191"/>
        <v>0</v>
      </c>
      <c r="S1306" s="75" t="e">
        <f t="shared" si="192"/>
        <v>#DIV/0!</v>
      </c>
      <c r="U1306" s="306" t="e">
        <f t="shared" si="193"/>
        <v>#DIV/0!</v>
      </c>
    </row>
    <row r="1307" spans="4:21" x14ac:dyDescent="0.35">
      <c r="D1307" s="3"/>
      <c r="G1307" s="3" t="s">
        <v>87</v>
      </c>
      <c r="M1307" s="3"/>
      <c r="N1307" s="356" t="e" cm="1">
        <f t="array" ref="N1307">_xlfn.IFS(I1307="AEX",H1307/400,I1307="RP",H1307/200)</f>
        <v>#N/A</v>
      </c>
      <c r="P1307" s="75" t="e">
        <f t="shared" si="190"/>
        <v>#DIV/0!</v>
      </c>
      <c r="Q1307" s="3" t="e" cm="1">
        <f t="array" ref="Q1307">_xlfn.IFS(P1307&lt;200, "10", P1307&lt;400, "12", P1307&lt;600, "14", P1307&gt;600, "16")</f>
        <v>#DIV/0!</v>
      </c>
      <c r="R1307" s="75">
        <f t="shared" si="191"/>
        <v>0</v>
      </c>
      <c r="S1307" s="75" t="e">
        <f t="shared" si="192"/>
        <v>#DIV/0!</v>
      </c>
      <c r="U1307" s="306" t="e">
        <f t="shared" si="193"/>
        <v>#DIV/0!</v>
      </c>
    </row>
    <row r="1308" spans="4:21" x14ac:dyDescent="0.35">
      <c r="D1308" s="3"/>
      <c r="G1308" s="3" t="s">
        <v>87</v>
      </c>
      <c r="M1308" s="3"/>
      <c r="N1308" s="356" t="e" cm="1">
        <f t="array" ref="N1308">_xlfn.IFS(I1308="AEX",H1308/400,I1308="RP",H1308/200)</f>
        <v>#N/A</v>
      </c>
      <c r="P1308" s="75" t="e">
        <f t="shared" si="190"/>
        <v>#DIV/0!</v>
      </c>
      <c r="Q1308" s="3" t="e" cm="1">
        <f t="array" ref="Q1308">_xlfn.IFS(P1308&lt;200, "10", P1308&lt;400, "12", P1308&lt;600, "14", P1308&gt;600, "16")</f>
        <v>#DIV/0!</v>
      </c>
      <c r="R1308" s="75">
        <f t="shared" si="191"/>
        <v>0</v>
      </c>
      <c r="S1308" s="75" t="e">
        <f t="shared" si="192"/>
        <v>#DIV/0!</v>
      </c>
      <c r="U1308" s="306" t="e">
        <f t="shared" si="193"/>
        <v>#DIV/0!</v>
      </c>
    </row>
    <row r="1309" spans="4:21" x14ac:dyDescent="0.35">
      <c r="D1309" s="3"/>
      <c r="G1309" s="3" t="s">
        <v>87</v>
      </c>
      <c r="M1309" s="3"/>
      <c r="N1309" s="356" t="e" cm="1">
        <f t="array" ref="N1309">_xlfn.IFS(I1309="AEX",H1309/400,I1309="RP",H1309/200)</f>
        <v>#N/A</v>
      </c>
      <c r="P1309" s="75" t="e">
        <f t="shared" si="190"/>
        <v>#DIV/0!</v>
      </c>
      <c r="Q1309" s="3" t="e" cm="1">
        <f t="array" ref="Q1309">_xlfn.IFS(P1309&lt;200, "10", P1309&lt;400, "12", P1309&lt;600, "14", P1309&gt;600, "16")</f>
        <v>#DIV/0!</v>
      </c>
      <c r="R1309" s="75">
        <f t="shared" si="191"/>
        <v>0</v>
      </c>
      <c r="S1309" s="75" t="e">
        <f t="shared" si="192"/>
        <v>#DIV/0!</v>
      </c>
      <c r="U1309" s="306" t="e">
        <f t="shared" si="193"/>
        <v>#DIV/0!</v>
      </c>
    </row>
    <row r="1310" spans="4:21" x14ac:dyDescent="0.35">
      <c r="D1310" s="3"/>
      <c r="G1310" s="3" t="s">
        <v>87</v>
      </c>
      <c r="M1310" s="3"/>
      <c r="N1310" s="356" t="e" cm="1">
        <f t="array" ref="N1310">_xlfn.IFS(I1310="AEX",H1310/400,I1310="RP",H1310/200)</f>
        <v>#N/A</v>
      </c>
      <c r="P1310" s="75" t="e">
        <f t="shared" si="190"/>
        <v>#DIV/0!</v>
      </c>
      <c r="Q1310" s="3" t="e" cm="1">
        <f t="array" ref="Q1310">_xlfn.IFS(P1310&lt;200, "10", P1310&lt;400, "12", P1310&lt;600, "14", P1310&gt;600, "16")</f>
        <v>#DIV/0!</v>
      </c>
      <c r="R1310" s="75">
        <f t="shared" si="191"/>
        <v>0</v>
      </c>
      <c r="S1310" s="75" t="e">
        <f t="shared" si="192"/>
        <v>#DIV/0!</v>
      </c>
      <c r="U1310" s="306" t="e">
        <f t="shared" si="193"/>
        <v>#DIV/0!</v>
      </c>
    </row>
    <row r="1311" spans="4:21" x14ac:dyDescent="0.35">
      <c r="D1311" s="3"/>
      <c r="G1311" s="3" t="s">
        <v>87</v>
      </c>
      <c r="M1311" s="3"/>
      <c r="N1311" s="356" t="e" cm="1">
        <f t="array" ref="N1311">_xlfn.IFS(I1311="AEX",H1311/400,I1311="RP",H1311/200)</f>
        <v>#N/A</v>
      </c>
      <c r="P1311" s="75" t="e">
        <f t="shared" si="190"/>
        <v>#DIV/0!</v>
      </c>
      <c r="Q1311" s="3" t="e" cm="1">
        <f t="array" ref="Q1311">_xlfn.IFS(P1311&lt;200, "10", P1311&lt;400, "12", P1311&lt;600, "14", P1311&gt;600, "16")</f>
        <v>#DIV/0!</v>
      </c>
      <c r="R1311" s="75">
        <f t="shared" si="191"/>
        <v>0</v>
      </c>
      <c r="S1311" s="75" t="e">
        <f t="shared" si="192"/>
        <v>#DIV/0!</v>
      </c>
      <c r="U1311" s="306" t="e">
        <f t="shared" si="193"/>
        <v>#DIV/0!</v>
      </c>
    </row>
    <row r="1312" spans="4:21" x14ac:dyDescent="0.35">
      <c r="D1312" s="3"/>
      <c r="G1312" s="3" t="s">
        <v>87</v>
      </c>
      <c r="M1312" s="3"/>
      <c r="N1312" s="356" t="e" cm="1">
        <f t="array" ref="N1312">_xlfn.IFS(I1312="AEX",H1312/400,I1312="RP",H1312/200)</f>
        <v>#N/A</v>
      </c>
      <c r="P1312" s="75" t="e">
        <f t="shared" si="190"/>
        <v>#DIV/0!</v>
      </c>
      <c r="Q1312" s="3" t="e" cm="1">
        <f t="array" ref="Q1312">_xlfn.IFS(P1312&lt;200, "10", P1312&lt;400, "12", P1312&lt;600, "14", P1312&gt;600, "16")</f>
        <v>#DIV/0!</v>
      </c>
      <c r="R1312" s="75">
        <f t="shared" si="191"/>
        <v>0</v>
      </c>
      <c r="S1312" s="75" t="e">
        <f t="shared" si="192"/>
        <v>#DIV/0!</v>
      </c>
      <c r="U1312" s="306" t="e">
        <f t="shared" si="193"/>
        <v>#DIV/0!</v>
      </c>
    </row>
    <row r="1313" spans="4:21" x14ac:dyDescent="0.35">
      <c r="D1313" s="3"/>
      <c r="G1313" s="3" t="s">
        <v>87</v>
      </c>
      <c r="M1313" s="3"/>
      <c r="N1313" s="356" t="e" cm="1">
        <f t="array" ref="N1313">_xlfn.IFS(I1313="AEX",H1313/400,I1313="RP",H1313/200)</f>
        <v>#N/A</v>
      </c>
      <c r="P1313" s="75" t="e">
        <f t="shared" si="190"/>
        <v>#DIV/0!</v>
      </c>
      <c r="Q1313" s="3" t="e" cm="1">
        <f t="array" ref="Q1313">_xlfn.IFS(P1313&lt;200, "10", P1313&lt;400, "12", P1313&lt;600, "14", P1313&gt;600, "16")</f>
        <v>#DIV/0!</v>
      </c>
      <c r="R1313" s="75">
        <f t="shared" si="191"/>
        <v>0</v>
      </c>
      <c r="S1313" s="75" t="e">
        <f t="shared" si="192"/>
        <v>#DIV/0!</v>
      </c>
      <c r="U1313" s="306" t="e">
        <f t="shared" si="193"/>
        <v>#DIV/0!</v>
      </c>
    </row>
    <row r="1314" spans="4:21" x14ac:dyDescent="0.35">
      <c r="D1314" s="3"/>
      <c r="G1314" s="3" t="s">
        <v>87</v>
      </c>
      <c r="M1314" s="3"/>
      <c r="N1314" s="356" t="e" cm="1">
        <f t="array" ref="N1314">_xlfn.IFS(I1314="AEX",H1314/400,I1314="RP",H1314/200)</f>
        <v>#N/A</v>
      </c>
      <c r="P1314" s="75" t="e">
        <f t="shared" si="190"/>
        <v>#DIV/0!</v>
      </c>
      <c r="Q1314" s="3" t="e" cm="1">
        <f t="array" ref="Q1314">_xlfn.IFS(P1314&lt;200, "10", P1314&lt;400, "12", P1314&lt;600, "14", P1314&gt;600, "16")</f>
        <v>#DIV/0!</v>
      </c>
      <c r="R1314" s="75">
        <f t="shared" si="191"/>
        <v>0</v>
      </c>
      <c r="S1314" s="75" t="e">
        <f t="shared" si="192"/>
        <v>#DIV/0!</v>
      </c>
      <c r="U1314" s="306" t="e">
        <f t="shared" si="193"/>
        <v>#DIV/0!</v>
      </c>
    </row>
    <row r="1315" spans="4:21" x14ac:dyDescent="0.35">
      <c r="D1315" s="3"/>
      <c r="G1315" s="3" t="s">
        <v>87</v>
      </c>
      <c r="M1315" s="3"/>
      <c r="N1315" s="356" t="e" cm="1">
        <f t="array" ref="N1315">_xlfn.IFS(I1315="AEX",H1315/400,I1315="RP",H1315/200)</f>
        <v>#N/A</v>
      </c>
      <c r="P1315" s="75" t="e">
        <f t="shared" si="190"/>
        <v>#DIV/0!</v>
      </c>
      <c r="Q1315" s="3" t="e" cm="1">
        <f t="array" ref="Q1315">_xlfn.IFS(P1315&lt;200, "10", P1315&lt;400, "12", P1315&lt;600, "14", P1315&gt;600, "16")</f>
        <v>#DIV/0!</v>
      </c>
      <c r="R1315" s="75">
        <f t="shared" si="191"/>
        <v>0</v>
      </c>
      <c r="S1315" s="75" t="e">
        <f t="shared" si="192"/>
        <v>#DIV/0!</v>
      </c>
      <c r="U1315" s="306" t="e">
        <f t="shared" si="193"/>
        <v>#DIV/0!</v>
      </c>
    </row>
    <row r="1316" spans="4:21" x14ac:dyDescent="0.35">
      <c r="D1316" s="3"/>
      <c r="G1316" s="3" t="s">
        <v>87</v>
      </c>
      <c r="M1316" s="3"/>
      <c r="N1316" s="356" t="e" cm="1">
        <f t="array" ref="N1316">_xlfn.IFS(I1316="AEX",H1316/400,I1316="RP",H1316/200)</f>
        <v>#N/A</v>
      </c>
      <c r="P1316" s="75" t="e">
        <f t="shared" si="190"/>
        <v>#DIV/0!</v>
      </c>
      <c r="Q1316" s="3" t="e" cm="1">
        <f t="array" ref="Q1316">_xlfn.IFS(P1316&lt;200, "10", P1316&lt;400, "12", P1316&lt;600, "14", P1316&gt;600, "16")</f>
        <v>#DIV/0!</v>
      </c>
      <c r="R1316" s="75">
        <f t="shared" si="191"/>
        <v>0</v>
      </c>
      <c r="S1316" s="75" t="e">
        <f t="shared" si="192"/>
        <v>#DIV/0!</v>
      </c>
      <c r="U1316" s="306" t="e">
        <f t="shared" si="193"/>
        <v>#DIV/0!</v>
      </c>
    </row>
    <row r="1317" spans="4:21" x14ac:dyDescent="0.35">
      <c r="D1317" s="3"/>
      <c r="G1317" s="3" t="s">
        <v>87</v>
      </c>
      <c r="M1317" s="3"/>
      <c r="N1317" s="356" t="e" cm="1">
        <f t="array" ref="N1317">_xlfn.IFS(I1317="AEX",H1317/400,I1317="RP",H1317/200)</f>
        <v>#N/A</v>
      </c>
      <c r="P1317" s="75" t="e">
        <f t="shared" si="190"/>
        <v>#DIV/0!</v>
      </c>
      <c r="Q1317" s="3" t="e" cm="1">
        <f t="array" ref="Q1317">_xlfn.IFS(P1317&lt;200, "10", P1317&lt;400, "12", P1317&lt;600, "14", P1317&gt;600, "16")</f>
        <v>#DIV/0!</v>
      </c>
      <c r="R1317" s="75">
        <f t="shared" si="191"/>
        <v>0</v>
      </c>
      <c r="S1317" s="75" t="e">
        <f t="shared" si="192"/>
        <v>#DIV/0!</v>
      </c>
      <c r="U1317" s="306" t="e">
        <f t="shared" si="193"/>
        <v>#DIV/0!</v>
      </c>
    </row>
    <row r="1318" spans="4:21" x14ac:dyDescent="0.35">
      <c r="D1318" s="3"/>
      <c r="G1318" s="3" t="s">
        <v>87</v>
      </c>
      <c r="M1318" s="3"/>
      <c r="N1318" s="356" t="e" cm="1">
        <f t="array" ref="N1318">_xlfn.IFS(I1318="AEX",H1318/400,I1318="RP",H1318/200)</f>
        <v>#N/A</v>
      </c>
      <c r="P1318" s="75" t="e">
        <f t="shared" si="190"/>
        <v>#DIV/0!</v>
      </c>
      <c r="Q1318" s="3" t="e" cm="1">
        <f t="array" ref="Q1318">_xlfn.IFS(P1318&lt;200, "10", P1318&lt;400, "12", P1318&lt;600, "14", P1318&gt;600, "16")</f>
        <v>#DIV/0!</v>
      </c>
      <c r="R1318" s="75">
        <f t="shared" si="191"/>
        <v>0</v>
      </c>
      <c r="S1318" s="75" t="e">
        <f t="shared" si="192"/>
        <v>#DIV/0!</v>
      </c>
      <c r="U1318" s="306" t="e">
        <f t="shared" si="193"/>
        <v>#DIV/0!</v>
      </c>
    </row>
    <row r="1319" spans="4:21" x14ac:dyDescent="0.35">
      <c r="D1319" s="3"/>
      <c r="G1319" s="3" t="s">
        <v>87</v>
      </c>
      <c r="M1319" s="3"/>
      <c r="N1319" s="356" t="e" cm="1">
        <f t="array" ref="N1319">_xlfn.IFS(I1319="AEX",H1319/400,I1319="RP",H1319/200)</f>
        <v>#N/A</v>
      </c>
      <c r="P1319" s="75" t="e">
        <f t="shared" si="190"/>
        <v>#DIV/0!</v>
      </c>
      <c r="Q1319" s="3" t="e" cm="1">
        <f t="array" ref="Q1319">_xlfn.IFS(P1319&lt;200, "10", P1319&lt;400, "12", P1319&lt;600, "14", P1319&gt;600, "16")</f>
        <v>#DIV/0!</v>
      </c>
      <c r="R1319" s="75">
        <f t="shared" si="191"/>
        <v>0</v>
      </c>
      <c r="S1319" s="75" t="e">
        <f t="shared" si="192"/>
        <v>#DIV/0!</v>
      </c>
      <c r="U1319" s="306" t="e">
        <f t="shared" si="193"/>
        <v>#DIV/0!</v>
      </c>
    </row>
    <row r="1320" spans="4:21" x14ac:dyDescent="0.35">
      <c r="D1320" s="3"/>
      <c r="G1320" s="3" t="s">
        <v>87</v>
      </c>
      <c r="M1320" s="3"/>
      <c r="N1320" s="356" t="e" cm="1">
        <f t="array" ref="N1320">_xlfn.IFS(I1320="AEX",H1320/400,I1320="RP",H1320/200)</f>
        <v>#N/A</v>
      </c>
      <c r="P1320" s="75" t="e">
        <f t="shared" si="190"/>
        <v>#DIV/0!</v>
      </c>
      <c r="Q1320" s="3" t="e" cm="1">
        <f t="array" ref="Q1320">_xlfn.IFS(P1320&lt;200, "10", P1320&lt;400, "12", P1320&lt;600, "14", P1320&gt;600, "16")</f>
        <v>#DIV/0!</v>
      </c>
      <c r="R1320" s="75">
        <f t="shared" si="191"/>
        <v>0</v>
      </c>
      <c r="S1320" s="75" t="e">
        <f t="shared" si="192"/>
        <v>#DIV/0!</v>
      </c>
      <c r="U1320" s="306" t="e">
        <f t="shared" si="193"/>
        <v>#DIV/0!</v>
      </c>
    </row>
    <row r="1321" spans="4:21" x14ac:dyDescent="0.35">
      <c r="D1321" s="3"/>
      <c r="G1321" s="3" t="s">
        <v>87</v>
      </c>
      <c r="M1321" s="3"/>
      <c r="N1321" s="356" t="e" cm="1">
        <f t="array" ref="N1321">_xlfn.IFS(I1321="AEX",H1321/400,I1321="RP",H1321/200)</f>
        <v>#N/A</v>
      </c>
      <c r="P1321" s="75" t="e">
        <f t="shared" si="190"/>
        <v>#DIV/0!</v>
      </c>
      <c r="Q1321" s="3" t="e" cm="1">
        <f t="array" ref="Q1321">_xlfn.IFS(P1321&lt;200, "10", P1321&lt;400, "12", P1321&lt;600, "14", P1321&gt;600, "16")</f>
        <v>#DIV/0!</v>
      </c>
      <c r="R1321" s="75">
        <f t="shared" si="191"/>
        <v>0</v>
      </c>
      <c r="S1321" s="75" t="e">
        <f t="shared" si="192"/>
        <v>#DIV/0!</v>
      </c>
      <c r="U1321" s="306" t="e">
        <f t="shared" si="193"/>
        <v>#DIV/0!</v>
      </c>
    </row>
    <row r="1322" spans="4:21" x14ac:dyDescent="0.35">
      <c r="D1322" s="3"/>
      <c r="G1322" s="3" t="s">
        <v>87</v>
      </c>
      <c r="M1322" s="3"/>
      <c r="N1322" s="356" t="e" cm="1">
        <f t="array" ref="N1322">_xlfn.IFS(I1322="AEX",H1322/400,I1322="RP",H1322/200)</f>
        <v>#N/A</v>
      </c>
      <c r="P1322" s="75" t="e">
        <f t="shared" si="190"/>
        <v>#DIV/0!</v>
      </c>
      <c r="Q1322" s="3" t="e" cm="1">
        <f t="array" ref="Q1322">_xlfn.IFS(P1322&lt;200, "10", P1322&lt;400, "12", P1322&lt;600, "14", P1322&gt;600, "16")</f>
        <v>#DIV/0!</v>
      </c>
      <c r="R1322" s="75">
        <f t="shared" si="191"/>
        <v>0</v>
      </c>
      <c r="S1322" s="75" t="e">
        <f t="shared" si="192"/>
        <v>#DIV/0!</v>
      </c>
      <c r="U1322" s="306" t="e">
        <f t="shared" si="193"/>
        <v>#DIV/0!</v>
      </c>
    </row>
    <row r="1323" spans="4:21" x14ac:dyDescent="0.35">
      <c r="D1323" s="3"/>
      <c r="G1323" s="3" t="s">
        <v>87</v>
      </c>
      <c r="M1323" s="3"/>
      <c r="N1323" s="356" t="e" cm="1">
        <f t="array" ref="N1323">_xlfn.IFS(I1323="AEX",H1323/400,I1323="RP",H1323/200)</f>
        <v>#N/A</v>
      </c>
      <c r="P1323" s="75" t="e">
        <f t="shared" si="190"/>
        <v>#DIV/0!</v>
      </c>
      <c r="Q1323" s="3" t="e" cm="1">
        <f t="array" ref="Q1323">_xlfn.IFS(P1323&lt;200, "10", P1323&lt;400, "12", P1323&lt;600, "14", P1323&gt;600, "16")</f>
        <v>#DIV/0!</v>
      </c>
      <c r="R1323" s="75">
        <f t="shared" si="191"/>
        <v>0</v>
      </c>
      <c r="S1323" s="75" t="e">
        <f t="shared" si="192"/>
        <v>#DIV/0!</v>
      </c>
      <c r="U1323" s="306" t="e">
        <f t="shared" si="193"/>
        <v>#DIV/0!</v>
      </c>
    </row>
    <row r="1324" spans="4:21" x14ac:dyDescent="0.35">
      <c r="D1324" s="3"/>
      <c r="G1324" s="3" t="s">
        <v>87</v>
      </c>
      <c r="M1324" s="3"/>
      <c r="N1324" s="356" t="e" cm="1">
        <f t="array" ref="N1324">_xlfn.IFS(I1324="AEX",H1324/400,I1324="RP",H1324/200)</f>
        <v>#N/A</v>
      </c>
      <c r="P1324" s="75" t="e">
        <f t="shared" si="190"/>
        <v>#DIV/0!</v>
      </c>
      <c r="Q1324" s="3" t="e" cm="1">
        <f t="array" ref="Q1324">_xlfn.IFS(P1324&lt;200, "10", P1324&lt;400, "12", P1324&lt;600, "14", P1324&gt;600, "16")</f>
        <v>#DIV/0!</v>
      </c>
      <c r="R1324" s="75">
        <f t="shared" si="191"/>
        <v>0</v>
      </c>
      <c r="S1324" s="75" t="e">
        <f t="shared" si="192"/>
        <v>#DIV/0!</v>
      </c>
      <c r="U1324" s="306" t="e">
        <f t="shared" si="193"/>
        <v>#DIV/0!</v>
      </c>
    </row>
    <row r="1325" spans="4:21" x14ac:dyDescent="0.35">
      <c r="D1325" s="3"/>
      <c r="G1325" s="3" t="s">
        <v>87</v>
      </c>
      <c r="M1325" s="3"/>
      <c r="N1325" s="356" t="e" cm="1">
        <f t="array" ref="N1325">_xlfn.IFS(I1325="AEX",H1325/400,I1325="RP",H1325/200)</f>
        <v>#N/A</v>
      </c>
      <c r="P1325" s="75" t="e">
        <f t="shared" si="190"/>
        <v>#DIV/0!</v>
      </c>
      <c r="Q1325" s="3" t="e" cm="1">
        <f t="array" ref="Q1325">_xlfn.IFS(P1325&lt;200, "10", P1325&lt;400, "12", P1325&lt;600, "14", P1325&gt;600, "16")</f>
        <v>#DIV/0!</v>
      </c>
      <c r="R1325" s="75">
        <f t="shared" si="191"/>
        <v>0</v>
      </c>
      <c r="S1325" s="75" t="e">
        <f t="shared" si="192"/>
        <v>#DIV/0!</v>
      </c>
      <c r="U1325" s="306" t="e">
        <f t="shared" si="193"/>
        <v>#DIV/0!</v>
      </c>
    </row>
    <row r="1326" spans="4:21" x14ac:dyDescent="0.35">
      <c r="D1326" s="3"/>
      <c r="G1326" s="3" t="s">
        <v>87</v>
      </c>
      <c r="M1326" s="3"/>
      <c r="N1326" s="356" t="e" cm="1">
        <f t="array" ref="N1326">_xlfn.IFS(I1326="AEX",H1326/400,I1326="RP",H1326/200)</f>
        <v>#N/A</v>
      </c>
      <c r="P1326" s="75" t="e">
        <f t="shared" si="190"/>
        <v>#DIV/0!</v>
      </c>
      <c r="Q1326" s="3" t="e" cm="1">
        <f t="array" ref="Q1326">_xlfn.IFS(P1326&lt;200, "10", P1326&lt;400, "12", P1326&lt;600, "14", P1326&gt;600, "16")</f>
        <v>#DIV/0!</v>
      </c>
      <c r="R1326" s="75">
        <f t="shared" si="191"/>
        <v>0</v>
      </c>
      <c r="S1326" s="75" t="e">
        <f t="shared" si="192"/>
        <v>#DIV/0!</v>
      </c>
      <c r="U1326" s="306" t="e">
        <f t="shared" si="193"/>
        <v>#DIV/0!</v>
      </c>
    </row>
    <row r="1327" spans="4:21" x14ac:dyDescent="0.35">
      <c r="D1327" s="3"/>
      <c r="G1327" s="3" t="s">
        <v>87</v>
      </c>
      <c r="M1327" s="3"/>
      <c r="N1327" s="356" t="e" cm="1">
        <f t="array" ref="N1327">_xlfn.IFS(I1327="AEX",H1327/400,I1327="RP",H1327/200)</f>
        <v>#N/A</v>
      </c>
      <c r="P1327" s="75" t="e">
        <f t="shared" si="190"/>
        <v>#DIV/0!</v>
      </c>
      <c r="Q1327" s="3" t="e" cm="1">
        <f t="array" ref="Q1327">_xlfn.IFS(P1327&lt;200, "10", P1327&lt;400, "12", P1327&lt;600, "14", P1327&gt;600, "16")</f>
        <v>#DIV/0!</v>
      </c>
      <c r="R1327" s="75">
        <f t="shared" si="191"/>
        <v>0</v>
      </c>
      <c r="S1327" s="75" t="e">
        <f t="shared" si="192"/>
        <v>#DIV/0!</v>
      </c>
      <c r="U1327" s="306" t="e">
        <f t="shared" si="193"/>
        <v>#DIV/0!</v>
      </c>
    </row>
    <row r="1328" spans="4:21" x14ac:dyDescent="0.35">
      <c r="D1328" s="3"/>
      <c r="G1328" s="3" t="s">
        <v>87</v>
      </c>
      <c r="M1328" s="3"/>
      <c r="N1328" s="356" t="e" cm="1">
        <f t="array" ref="N1328">_xlfn.IFS(I1328="AEX",H1328/400,I1328="RP",H1328/200)</f>
        <v>#N/A</v>
      </c>
      <c r="P1328" s="75" t="e">
        <f t="shared" si="190"/>
        <v>#DIV/0!</v>
      </c>
      <c r="Q1328" s="3" t="e" cm="1">
        <f t="array" ref="Q1328">_xlfn.IFS(P1328&lt;200, "10", P1328&lt;400, "12", P1328&lt;600, "14", P1328&gt;600, "16")</f>
        <v>#DIV/0!</v>
      </c>
      <c r="R1328" s="75">
        <f t="shared" si="191"/>
        <v>0</v>
      </c>
      <c r="S1328" s="75" t="e">
        <f t="shared" si="192"/>
        <v>#DIV/0!</v>
      </c>
      <c r="U1328" s="306" t="e">
        <f t="shared" si="193"/>
        <v>#DIV/0!</v>
      </c>
    </row>
    <row r="1329" spans="4:21" x14ac:dyDescent="0.35">
      <c r="D1329" s="3"/>
      <c r="G1329" s="3" t="s">
        <v>87</v>
      </c>
      <c r="M1329" s="3"/>
      <c r="N1329" s="356" t="e" cm="1">
        <f t="array" ref="N1329">_xlfn.IFS(I1329="AEX",H1329/400,I1329="RP",H1329/200)</f>
        <v>#N/A</v>
      </c>
      <c r="P1329" s="75" t="e">
        <f t="shared" si="190"/>
        <v>#DIV/0!</v>
      </c>
      <c r="Q1329" s="3" t="e" cm="1">
        <f t="array" ref="Q1329">_xlfn.IFS(P1329&lt;200, "10", P1329&lt;400, "12", P1329&lt;600, "14", P1329&gt;600, "16")</f>
        <v>#DIV/0!</v>
      </c>
      <c r="R1329" s="75">
        <f t="shared" si="191"/>
        <v>0</v>
      </c>
      <c r="S1329" s="75" t="e">
        <f t="shared" si="192"/>
        <v>#DIV/0!</v>
      </c>
      <c r="U1329" s="306" t="e">
        <f t="shared" si="193"/>
        <v>#DIV/0!</v>
      </c>
    </row>
    <row r="1330" spans="4:21" x14ac:dyDescent="0.35">
      <c r="D1330" s="3"/>
      <c r="G1330" s="3" t="s">
        <v>87</v>
      </c>
      <c r="M1330" s="3"/>
      <c r="N1330" s="356" t="e" cm="1">
        <f t="array" ref="N1330">_xlfn.IFS(I1330="AEX",H1330/400,I1330="RP",H1330/200)</f>
        <v>#N/A</v>
      </c>
      <c r="P1330" s="75" t="e">
        <f t="shared" si="190"/>
        <v>#DIV/0!</v>
      </c>
      <c r="Q1330" s="3" t="e" cm="1">
        <f t="array" ref="Q1330">_xlfn.IFS(P1330&lt;200, "10", P1330&lt;400, "12", P1330&lt;600, "14", P1330&gt;600, "16")</f>
        <v>#DIV/0!</v>
      </c>
      <c r="R1330" s="75">
        <f t="shared" si="191"/>
        <v>0</v>
      </c>
      <c r="S1330" s="75" t="e">
        <f t="shared" si="192"/>
        <v>#DIV/0!</v>
      </c>
      <c r="U1330" s="306" t="e">
        <f t="shared" si="193"/>
        <v>#DIV/0!</v>
      </c>
    </row>
    <row r="1331" spans="4:21" x14ac:dyDescent="0.35">
      <c r="D1331" s="3"/>
      <c r="G1331" s="3" t="s">
        <v>87</v>
      </c>
      <c r="M1331" s="3"/>
      <c r="N1331" s="356" t="e" cm="1">
        <f t="array" ref="N1331">_xlfn.IFS(I1331="AEX",H1331/400,I1331="RP",H1331/200)</f>
        <v>#N/A</v>
      </c>
      <c r="P1331" s="75" t="e">
        <f t="shared" si="190"/>
        <v>#DIV/0!</v>
      </c>
      <c r="Q1331" s="3" t="e" cm="1">
        <f t="array" ref="Q1331">_xlfn.IFS(P1331&lt;200, "10", P1331&lt;400, "12", P1331&lt;600, "14", P1331&gt;600, "16")</f>
        <v>#DIV/0!</v>
      </c>
      <c r="R1331" s="75">
        <f t="shared" si="191"/>
        <v>0</v>
      </c>
      <c r="S1331" s="75" t="e">
        <f t="shared" si="192"/>
        <v>#DIV/0!</v>
      </c>
      <c r="U1331" s="306" t="e">
        <f t="shared" si="193"/>
        <v>#DIV/0!</v>
      </c>
    </row>
    <row r="1332" spans="4:21" x14ac:dyDescent="0.35">
      <c r="D1332" s="3"/>
      <c r="G1332" s="3" t="s">
        <v>87</v>
      </c>
      <c r="M1332" s="3"/>
      <c r="N1332" s="356" t="e" cm="1">
        <f t="array" ref="N1332">_xlfn.IFS(I1332="AEX",H1332/400,I1332="RP",H1332/200)</f>
        <v>#N/A</v>
      </c>
      <c r="P1332" s="75" t="e">
        <f t="shared" ref="P1332:P1395" si="194">H1332/O1332</f>
        <v>#DIV/0!</v>
      </c>
      <c r="Q1332" s="3" t="e" cm="1">
        <f t="array" ref="Q1332">_xlfn.IFS(P1332&lt;200, "10", P1332&lt;400, "12", P1332&lt;600, "14", P1332&gt;600, "16")</f>
        <v>#DIV/0!</v>
      </c>
      <c r="R1332" s="75">
        <f t="shared" ref="R1332:R1395" si="195">IF(I1332="AEX",H1332*0.3/400,H1332*0.3/200)</f>
        <v>0</v>
      </c>
      <c r="S1332" s="75" t="e">
        <f t="shared" ref="S1332:S1395" si="196">R1332/O1332</f>
        <v>#DIV/0!</v>
      </c>
      <c r="U1332" s="306" t="e">
        <f t="shared" ref="U1332:U1395" si="197">T1332/H1332*100</f>
        <v>#DIV/0!</v>
      </c>
    </row>
    <row r="1333" spans="4:21" x14ac:dyDescent="0.35">
      <c r="D1333" s="3"/>
      <c r="G1333" s="3" t="s">
        <v>87</v>
      </c>
      <c r="M1333" s="3"/>
      <c r="N1333" s="356" t="e" cm="1">
        <f t="array" ref="N1333">_xlfn.IFS(I1333="AEX",H1333/400,I1333="RP",H1333/200)</f>
        <v>#N/A</v>
      </c>
      <c r="P1333" s="75" t="e">
        <f t="shared" si="194"/>
        <v>#DIV/0!</v>
      </c>
      <c r="Q1333" s="3" t="e" cm="1">
        <f t="array" ref="Q1333">_xlfn.IFS(P1333&lt;200, "10", P1333&lt;400, "12", P1333&lt;600, "14", P1333&gt;600, "16")</f>
        <v>#DIV/0!</v>
      </c>
      <c r="R1333" s="75">
        <f t="shared" si="195"/>
        <v>0</v>
      </c>
      <c r="S1333" s="75" t="e">
        <f t="shared" si="196"/>
        <v>#DIV/0!</v>
      </c>
      <c r="U1333" s="306" t="e">
        <f t="shared" si="197"/>
        <v>#DIV/0!</v>
      </c>
    </row>
    <row r="1334" spans="4:21" x14ac:dyDescent="0.35">
      <c r="D1334" s="3"/>
      <c r="G1334" s="3" t="s">
        <v>87</v>
      </c>
      <c r="M1334" s="3"/>
      <c r="N1334" s="356" t="e" cm="1">
        <f t="array" ref="N1334">_xlfn.IFS(I1334="AEX",H1334/400,I1334="RP",H1334/200)</f>
        <v>#N/A</v>
      </c>
      <c r="P1334" s="75" t="e">
        <f t="shared" si="194"/>
        <v>#DIV/0!</v>
      </c>
      <c r="Q1334" s="3" t="e" cm="1">
        <f t="array" ref="Q1334">_xlfn.IFS(P1334&lt;200, "10", P1334&lt;400, "12", P1334&lt;600, "14", P1334&gt;600, "16")</f>
        <v>#DIV/0!</v>
      </c>
      <c r="R1334" s="75">
        <f t="shared" si="195"/>
        <v>0</v>
      </c>
      <c r="S1334" s="75" t="e">
        <f t="shared" si="196"/>
        <v>#DIV/0!</v>
      </c>
      <c r="U1334" s="306" t="e">
        <f t="shared" si="197"/>
        <v>#DIV/0!</v>
      </c>
    </row>
    <row r="1335" spans="4:21" x14ac:dyDescent="0.35">
      <c r="D1335" s="3"/>
      <c r="G1335" s="3" t="s">
        <v>87</v>
      </c>
      <c r="M1335" s="3"/>
      <c r="N1335" s="356" t="e" cm="1">
        <f t="array" ref="N1335">_xlfn.IFS(I1335="AEX",H1335/400,I1335="RP",H1335/200)</f>
        <v>#N/A</v>
      </c>
      <c r="P1335" s="75" t="e">
        <f t="shared" si="194"/>
        <v>#DIV/0!</v>
      </c>
      <c r="Q1335" s="3" t="e" cm="1">
        <f t="array" ref="Q1335">_xlfn.IFS(P1335&lt;200, "10", P1335&lt;400, "12", P1335&lt;600, "14", P1335&gt;600, "16")</f>
        <v>#DIV/0!</v>
      </c>
      <c r="R1335" s="75">
        <f t="shared" si="195"/>
        <v>0</v>
      </c>
      <c r="S1335" s="75" t="e">
        <f t="shared" si="196"/>
        <v>#DIV/0!</v>
      </c>
      <c r="U1335" s="306" t="e">
        <f t="shared" si="197"/>
        <v>#DIV/0!</v>
      </c>
    </row>
    <row r="1336" spans="4:21" x14ac:dyDescent="0.35">
      <c r="D1336" s="3"/>
      <c r="G1336" s="3" t="s">
        <v>87</v>
      </c>
      <c r="M1336" s="3"/>
      <c r="N1336" s="356" t="e" cm="1">
        <f t="array" ref="N1336">_xlfn.IFS(I1336="AEX",H1336/400,I1336="RP",H1336/200)</f>
        <v>#N/A</v>
      </c>
      <c r="P1336" s="75" t="e">
        <f t="shared" si="194"/>
        <v>#DIV/0!</v>
      </c>
      <c r="Q1336" s="3" t="e" cm="1">
        <f t="array" ref="Q1336">_xlfn.IFS(P1336&lt;200, "10", P1336&lt;400, "12", P1336&lt;600, "14", P1336&gt;600, "16")</f>
        <v>#DIV/0!</v>
      </c>
      <c r="R1336" s="75">
        <f t="shared" si="195"/>
        <v>0</v>
      </c>
      <c r="S1336" s="75" t="e">
        <f t="shared" si="196"/>
        <v>#DIV/0!</v>
      </c>
      <c r="U1336" s="306" t="e">
        <f t="shared" si="197"/>
        <v>#DIV/0!</v>
      </c>
    </row>
    <row r="1337" spans="4:21" x14ac:dyDescent="0.35">
      <c r="D1337" s="3"/>
      <c r="G1337" s="3" t="s">
        <v>87</v>
      </c>
      <c r="M1337" s="3"/>
      <c r="N1337" s="356" t="e" cm="1">
        <f t="array" ref="N1337">_xlfn.IFS(I1337="AEX",H1337/400,I1337="RP",H1337/200)</f>
        <v>#N/A</v>
      </c>
      <c r="P1337" s="75" t="e">
        <f t="shared" si="194"/>
        <v>#DIV/0!</v>
      </c>
      <c r="Q1337" s="3" t="e" cm="1">
        <f t="array" ref="Q1337">_xlfn.IFS(P1337&lt;200, "10", P1337&lt;400, "12", P1337&lt;600, "14", P1337&gt;600, "16")</f>
        <v>#DIV/0!</v>
      </c>
      <c r="R1337" s="75">
        <f t="shared" si="195"/>
        <v>0</v>
      </c>
      <c r="S1337" s="75" t="e">
        <f t="shared" si="196"/>
        <v>#DIV/0!</v>
      </c>
      <c r="U1337" s="306" t="e">
        <f t="shared" si="197"/>
        <v>#DIV/0!</v>
      </c>
    </row>
    <row r="1338" spans="4:21" x14ac:dyDescent="0.35">
      <c r="D1338" s="3"/>
      <c r="G1338" s="3" t="s">
        <v>87</v>
      </c>
      <c r="M1338" s="3"/>
      <c r="N1338" s="356" t="e" cm="1">
        <f t="array" ref="N1338">_xlfn.IFS(I1338="AEX",H1338/400,I1338="RP",H1338/200)</f>
        <v>#N/A</v>
      </c>
      <c r="P1338" s="75" t="e">
        <f t="shared" si="194"/>
        <v>#DIV/0!</v>
      </c>
      <c r="Q1338" s="3" t="e" cm="1">
        <f t="array" ref="Q1338">_xlfn.IFS(P1338&lt;200, "10", P1338&lt;400, "12", P1338&lt;600, "14", P1338&gt;600, "16")</f>
        <v>#DIV/0!</v>
      </c>
      <c r="R1338" s="75">
        <f t="shared" si="195"/>
        <v>0</v>
      </c>
      <c r="S1338" s="75" t="e">
        <f t="shared" si="196"/>
        <v>#DIV/0!</v>
      </c>
      <c r="U1338" s="306" t="e">
        <f t="shared" si="197"/>
        <v>#DIV/0!</v>
      </c>
    </row>
    <row r="1339" spans="4:21" x14ac:dyDescent="0.35">
      <c r="D1339" s="3"/>
      <c r="G1339" s="3" t="s">
        <v>87</v>
      </c>
      <c r="M1339" s="3"/>
      <c r="N1339" s="356" t="e" cm="1">
        <f t="array" ref="N1339">_xlfn.IFS(I1339="AEX",H1339/400,I1339="RP",H1339/200)</f>
        <v>#N/A</v>
      </c>
      <c r="P1339" s="75" t="e">
        <f t="shared" si="194"/>
        <v>#DIV/0!</v>
      </c>
      <c r="Q1339" s="3" t="e" cm="1">
        <f t="array" ref="Q1339">_xlfn.IFS(P1339&lt;200, "10", P1339&lt;400, "12", P1339&lt;600, "14", P1339&gt;600, "16")</f>
        <v>#DIV/0!</v>
      </c>
      <c r="R1339" s="75">
        <f t="shared" si="195"/>
        <v>0</v>
      </c>
      <c r="S1339" s="75" t="e">
        <f t="shared" si="196"/>
        <v>#DIV/0!</v>
      </c>
      <c r="U1339" s="306" t="e">
        <f t="shared" si="197"/>
        <v>#DIV/0!</v>
      </c>
    </row>
    <row r="1340" spans="4:21" x14ac:dyDescent="0.35">
      <c r="D1340" s="3"/>
      <c r="G1340" s="3" t="s">
        <v>87</v>
      </c>
      <c r="M1340" s="3"/>
      <c r="N1340" s="356" t="e" cm="1">
        <f t="array" ref="N1340">_xlfn.IFS(I1340="AEX",H1340/400,I1340="RP",H1340/200)</f>
        <v>#N/A</v>
      </c>
      <c r="P1340" s="75" t="e">
        <f t="shared" si="194"/>
        <v>#DIV/0!</v>
      </c>
      <c r="Q1340" s="3" t="e" cm="1">
        <f t="array" ref="Q1340">_xlfn.IFS(P1340&lt;200, "10", P1340&lt;400, "12", P1340&lt;600, "14", P1340&gt;600, "16")</f>
        <v>#DIV/0!</v>
      </c>
      <c r="R1340" s="75">
        <f t="shared" si="195"/>
        <v>0</v>
      </c>
      <c r="S1340" s="75" t="e">
        <f t="shared" si="196"/>
        <v>#DIV/0!</v>
      </c>
      <c r="U1340" s="306" t="e">
        <f t="shared" si="197"/>
        <v>#DIV/0!</v>
      </c>
    </row>
    <row r="1341" spans="4:21" x14ac:dyDescent="0.35">
      <c r="D1341" s="3"/>
      <c r="G1341" s="3" t="s">
        <v>87</v>
      </c>
      <c r="M1341" s="3"/>
      <c r="N1341" s="356" t="e" cm="1">
        <f t="array" ref="N1341">_xlfn.IFS(I1341="AEX",H1341/400,I1341="RP",H1341/200)</f>
        <v>#N/A</v>
      </c>
      <c r="P1341" s="75" t="e">
        <f t="shared" si="194"/>
        <v>#DIV/0!</v>
      </c>
      <c r="Q1341" s="3" t="e" cm="1">
        <f t="array" ref="Q1341">_xlfn.IFS(P1341&lt;200, "10", P1341&lt;400, "12", P1341&lt;600, "14", P1341&gt;600, "16")</f>
        <v>#DIV/0!</v>
      </c>
      <c r="R1341" s="75">
        <f t="shared" si="195"/>
        <v>0</v>
      </c>
      <c r="S1341" s="75" t="e">
        <f t="shared" si="196"/>
        <v>#DIV/0!</v>
      </c>
      <c r="U1341" s="306" t="e">
        <f t="shared" si="197"/>
        <v>#DIV/0!</v>
      </c>
    </row>
    <row r="1342" spans="4:21" x14ac:dyDescent="0.35">
      <c r="D1342" s="3"/>
      <c r="G1342" s="3" t="s">
        <v>87</v>
      </c>
      <c r="M1342" s="3"/>
      <c r="N1342" s="356" t="e" cm="1">
        <f t="array" ref="N1342">_xlfn.IFS(I1342="AEX",H1342/400,I1342="RP",H1342/200)</f>
        <v>#N/A</v>
      </c>
      <c r="P1342" s="75" t="e">
        <f t="shared" si="194"/>
        <v>#DIV/0!</v>
      </c>
      <c r="Q1342" s="3" t="e" cm="1">
        <f t="array" ref="Q1342">_xlfn.IFS(P1342&lt;200, "10", P1342&lt;400, "12", P1342&lt;600, "14", P1342&gt;600, "16")</f>
        <v>#DIV/0!</v>
      </c>
      <c r="R1342" s="75">
        <f t="shared" si="195"/>
        <v>0</v>
      </c>
      <c r="S1342" s="75" t="e">
        <f t="shared" si="196"/>
        <v>#DIV/0!</v>
      </c>
      <c r="U1342" s="306" t="e">
        <f t="shared" si="197"/>
        <v>#DIV/0!</v>
      </c>
    </row>
    <row r="1343" spans="4:21" x14ac:dyDescent="0.35">
      <c r="D1343" s="3"/>
      <c r="G1343" s="3" t="s">
        <v>87</v>
      </c>
      <c r="M1343" s="3"/>
      <c r="N1343" s="356" t="e" cm="1">
        <f t="array" ref="N1343">_xlfn.IFS(I1343="AEX",H1343/400,I1343="RP",H1343/200)</f>
        <v>#N/A</v>
      </c>
      <c r="P1343" s="75" t="e">
        <f t="shared" si="194"/>
        <v>#DIV/0!</v>
      </c>
      <c r="Q1343" s="3" t="e" cm="1">
        <f t="array" ref="Q1343">_xlfn.IFS(P1343&lt;200, "10", P1343&lt;400, "12", P1343&lt;600, "14", P1343&gt;600, "16")</f>
        <v>#DIV/0!</v>
      </c>
      <c r="R1343" s="75">
        <f t="shared" si="195"/>
        <v>0</v>
      </c>
      <c r="S1343" s="75" t="e">
        <f t="shared" si="196"/>
        <v>#DIV/0!</v>
      </c>
      <c r="U1343" s="306" t="e">
        <f t="shared" si="197"/>
        <v>#DIV/0!</v>
      </c>
    </row>
    <row r="1344" spans="4:21" x14ac:dyDescent="0.35">
      <c r="D1344" s="3"/>
      <c r="G1344" s="3" t="s">
        <v>87</v>
      </c>
      <c r="M1344" s="3"/>
      <c r="N1344" s="356" t="e" cm="1">
        <f t="array" ref="N1344">_xlfn.IFS(I1344="AEX",H1344/400,I1344="RP",H1344/200)</f>
        <v>#N/A</v>
      </c>
      <c r="P1344" s="75" t="e">
        <f t="shared" si="194"/>
        <v>#DIV/0!</v>
      </c>
      <c r="Q1344" s="3" t="e" cm="1">
        <f t="array" ref="Q1344">_xlfn.IFS(P1344&lt;200, "10", P1344&lt;400, "12", P1344&lt;600, "14", P1344&gt;600, "16")</f>
        <v>#DIV/0!</v>
      </c>
      <c r="R1344" s="75">
        <f t="shared" si="195"/>
        <v>0</v>
      </c>
      <c r="S1344" s="75" t="e">
        <f t="shared" si="196"/>
        <v>#DIV/0!</v>
      </c>
      <c r="U1344" s="306" t="e">
        <f t="shared" si="197"/>
        <v>#DIV/0!</v>
      </c>
    </row>
    <row r="1345" spans="4:21" x14ac:dyDescent="0.35">
      <c r="D1345" s="3"/>
      <c r="G1345" s="3" t="s">
        <v>87</v>
      </c>
      <c r="M1345" s="3"/>
      <c r="N1345" s="356" t="e" cm="1">
        <f t="array" ref="N1345">_xlfn.IFS(I1345="AEX",H1345/400,I1345="RP",H1345/200)</f>
        <v>#N/A</v>
      </c>
      <c r="P1345" s="75" t="e">
        <f t="shared" si="194"/>
        <v>#DIV/0!</v>
      </c>
      <c r="Q1345" s="3" t="e" cm="1">
        <f t="array" ref="Q1345">_xlfn.IFS(P1345&lt;200, "10", P1345&lt;400, "12", P1345&lt;600, "14", P1345&gt;600, "16")</f>
        <v>#DIV/0!</v>
      </c>
      <c r="R1345" s="75">
        <f t="shared" si="195"/>
        <v>0</v>
      </c>
      <c r="S1345" s="75" t="e">
        <f t="shared" si="196"/>
        <v>#DIV/0!</v>
      </c>
      <c r="U1345" s="306" t="e">
        <f t="shared" si="197"/>
        <v>#DIV/0!</v>
      </c>
    </row>
    <row r="1346" spans="4:21" x14ac:dyDescent="0.35">
      <c r="D1346" s="3"/>
      <c r="G1346" s="3" t="s">
        <v>87</v>
      </c>
      <c r="M1346" s="3"/>
      <c r="N1346" s="356" t="e" cm="1">
        <f t="array" ref="N1346">_xlfn.IFS(I1346="AEX",H1346/400,I1346="RP",H1346/200)</f>
        <v>#N/A</v>
      </c>
      <c r="P1346" s="75" t="e">
        <f t="shared" si="194"/>
        <v>#DIV/0!</v>
      </c>
      <c r="Q1346" s="3" t="e" cm="1">
        <f t="array" ref="Q1346">_xlfn.IFS(P1346&lt;200, "10", P1346&lt;400, "12", P1346&lt;600, "14", P1346&gt;600, "16")</f>
        <v>#DIV/0!</v>
      </c>
      <c r="R1346" s="75">
        <f t="shared" si="195"/>
        <v>0</v>
      </c>
      <c r="S1346" s="75" t="e">
        <f t="shared" si="196"/>
        <v>#DIV/0!</v>
      </c>
      <c r="U1346" s="306" t="e">
        <f t="shared" si="197"/>
        <v>#DIV/0!</v>
      </c>
    </row>
    <row r="1347" spans="4:21" x14ac:dyDescent="0.35">
      <c r="D1347" s="3"/>
      <c r="G1347" s="3" t="s">
        <v>87</v>
      </c>
      <c r="M1347" s="3"/>
      <c r="N1347" s="356" t="e" cm="1">
        <f t="array" ref="N1347">_xlfn.IFS(I1347="AEX",H1347/400,I1347="RP",H1347/200)</f>
        <v>#N/A</v>
      </c>
      <c r="P1347" s="75" t="e">
        <f t="shared" si="194"/>
        <v>#DIV/0!</v>
      </c>
      <c r="Q1347" s="3" t="e" cm="1">
        <f t="array" ref="Q1347">_xlfn.IFS(P1347&lt;200, "10", P1347&lt;400, "12", P1347&lt;600, "14", P1347&gt;600, "16")</f>
        <v>#DIV/0!</v>
      </c>
      <c r="R1347" s="75">
        <f t="shared" si="195"/>
        <v>0</v>
      </c>
      <c r="S1347" s="75" t="e">
        <f t="shared" si="196"/>
        <v>#DIV/0!</v>
      </c>
      <c r="U1347" s="306" t="e">
        <f t="shared" si="197"/>
        <v>#DIV/0!</v>
      </c>
    </row>
    <row r="1348" spans="4:21" x14ac:dyDescent="0.35">
      <c r="D1348" s="3"/>
      <c r="G1348" s="3" t="s">
        <v>87</v>
      </c>
      <c r="M1348" s="3"/>
      <c r="N1348" s="356" t="e" cm="1">
        <f t="array" ref="N1348">_xlfn.IFS(I1348="AEX",H1348/400,I1348="RP",H1348/200)</f>
        <v>#N/A</v>
      </c>
      <c r="P1348" s="75" t="e">
        <f t="shared" si="194"/>
        <v>#DIV/0!</v>
      </c>
      <c r="Q1348" s="3" t="e" cm="1">
        <f t="array" ref="Q1348">_xlfn.IFS(P1348&lt;200, "10", P1348&lt;400, "12", P1348&lt;600, "14", P1348&gt;600, "16")</f>
        <v>#DIV/0!</v>
      </c>
      <c r="R1348" s="75">
        <f t="shared" si="195"/>
        <v>0</v>
      </c>
      <c r="S1348" s="75" t="e">
        <f t="shared" si="196"/>
        <v>#DIV/0!</v>
      </c>
      <c r="U1348" s="306" t="e">
        <f t="shared" si="197"/>
        <v>#DIV/0!</v>
      </c>
    </row>
    <row r="1349" spans="4:21" x14ac:dyDescent="0.35">
      <c r="D1349" s="3"/>
      <c r="G1349" s="3" t="s">
        <v>87</v>
      </c>
      <c r="M1349" s="3"/>
      <c r="N1349" s="356" t="e" cm="1">
        <f t="array" ref="N1349">_xlfn.IFS(I1349="AEX",H1349/400,I1349="RP",H1349/200)</f>
        <v>#N/A</v>
      </c>
      <c r="P1349" s="75" t="e">
        <f t="shared" si="194"/>
        <v>#DIV/0!</v>
      </c>
      <c r="Q1349" s="3" t="e" cm="1">
        <f t="array" ref="Q1349">_xlfn.IFS(P1349&lt;200, "10", P1349&lt;400, "12", P1349&lt;600, "14", P1349&gt;600, "16")</f>
        <v>#DIV/0!</v>
      </c>
      <c r="R1349" s="75">
        <f t="shared" si="195"/>
        <v>0</v>
      </c>
      <c r="S1349" s="75" t="e">
        <f t="shared" si="196"/>
        <v>#DIV/0!</v>
      </c>
      <c r="U1349" s="306" t="e">
        <f t="shared" si="197"/>
        <v>#DIV/0!</v>
      </c>
    </row>
    <row r="1350" spans="4:21" x14ac:dyDescent="0.35">
      <c r="D1350" s="3"/>
      <c r="G1350" s="3" t="s">
        <v>87</v>
      </c>
      <c r="M1350" s="3"/>
      <c r="N1350" s="356" t="e" cm="1">
        <f t="array" ref="N1350">_xlfn.IFS(I1350="AEX",H1350/400,I1350="RP",H1350/200)</f>
        <v>#N/A</v>
      </c>
      <c r="P1350" s="75" t="e">
        <f t="shared" si="194"/>
        <v>#DIV/0!</v>
      </c>
      <c r="Q1350" s="3" t="e" cm="1">
        <f t="array" ref="Q1350">_xlfn.IFS(P1350&lt;200, "10", P1350&lt;400, "12", P1350&lt;600, "14", P1350&gt;600, "16")</f>
        <v>#DIV/0!</v>
      </c>
      <c r="R1350" s="75">
        <f t="shared" si="195"/>
        <v>0</v>
      </c>
      <c r="S1350" s="75" t="e">
        <f t="shared" si="196"/>
        <v>#DIV/0!</v>
      </c>
      <c r="U1350" s="306" t="e">
        <f t="shared" si="197"/>
        <v>#DIV/0!</v>
      </c>
    </row>
    <row r="1351" spans="4:21" x14ac:dyDescent="0.35">
      <c r="D1351" s="3"/>
      <c r="G1351" s="3" t="s">
        <v>87</v>
      </c>
      <c r="M1351" s="3"/>
      <c r="N1351" s="356" t="e" cm="1">
        <f t="array" ref="N1351">_xlfn.IFS(I1351="AEX",H1351/400,I1351="RP",H1351/200)</f>
        <v>#N/A</v>
      </c>
      <c r="P1351" s="75" t="e">
        <f t="shared" si="194"/>
        <v>#DIV/0!</v>
      </c>
      <c r="Q1351" s="3" t="e" cm="1">
        <f t="array" ref="Q1351">_xlfn.IFS(P1351&lt;200, "10", P1351&lt;400, "12", P1351&lt;600, "14", P1351&gt;600, "16")</f>
        <v>#DIV/0!</v>
      </c>
      <c r="R1351" s="75">
        <f t="shared" si="195"/>
        <v>0</v>
      </c>
      <c r="S1351" s="75" t="e">
        <f t="shared" si="196"/>
        <v>#DIV/0!</v>
      </c>
      <c r="U1351" s="306" t="e">
        <f t="shared" si="197"/>
        <v>#DIV/0!</v>
      </c>
    </row>
    <row r="1352" spans="4:21" x14ac:dyDescent="0.35">
      <c r="D1352" s="3"/>
      <c r="G1352" s="3" t="s">
        <v>87</v>
      </c>
      <c r="M1352" s="3"/>
      <c r="N1352" s="356" t="e" cm="1">
        <f t="array" ref="N1352">_xlfn.IFS(I1352="AEX",H1352/400,I1352="RP",H1352/200)</f>
        <v>#N/A</v>
      </c>
      <c r="P1352" s="75" t="e">
        <f t="shared" si="194"/>
        <v>#DIV/0!</v>
      </c>
      <c r="Q1352" s="3" t="e" cm="1">
        <f t="array" ref="Q1352">_xlfn.IFS(P1352&lt;200, "10", P1352&lt;400, "12", P1352&lt;600, "14", P1352&gt;600, "16")</f>
        <v>#DIV/0!</v>
      </c>
      <c r="R1352" s="75">
        <f t="shared" si="195"/>
        <v>0</v>
      </c>
      <c r="S1352" s="75" t="e">
        <f t="shared" si="196"/>
        <v>#DIV/0!</v>
      </c>
      <c r="U1352" s="306" t="e">
        <f t="shared" si="197"/>
        <v>#DIV/0!</v>
      </c>
    </row>
    <row r="1353" spans="4:21" x14ac:dyDescent="0.35">
      <c r="D1353" s="3"/>
      <c r="G1353" s="3" t="s">
        <v>87</v>
      </c>
      <c r="M1353" s="3"/>
      <c r="N1353" s="356" t="e" cm="1">
        <f t="array" ref="N1353">_xlfn.IFS(I1353="AEX",H1353/400,I1353="RP",H1353/200)</f>
        <v>#N/A</v>
      </c>
      <c r="P1353" s="75" t="e">
        <f t="shared" si="194"/>
        <v>#DIV/0!</v>
      </c>
      <c r="Q1353" s="3" t="e" cm="1">
        <f t="array" ref="Q1353">_xlfn.IFS(P1353&lt;200, "10", P1353&lt;400, "12", P1353&lt;600, "14", P1353&gt;600, "16")</f>
        <v>#DIV/0!</v>
      </c>
      <c r="R1353" s="75">
        <f t="shared" si="195"/>
        <v>0</v>
      </c>
      <c r="S1353" s="75" t="e">
        <f t="shared" si="196"/>
        <v>#DIV/0!</v>
      </c>
      <c r="U1353" s="306" t="e">
        <f t="shared" si="197"/>
        <v>#DIV/0!</v>
      </c>
    </row>
    <row r="1354" spans="4:21" x14ac:dyDescent="0.35">
      <c r="D1354" s="3"/>
      <c r="G1354" s="3" t="s">
        <v>87</v>
      </c>
      <c r="M1354" s="3"/>
      <c r="N1354" s="356" t="e" cm="1">
        <f t="array" ref="N1354">_xlfn.IFS(I1354="AEX",H1354/400,I1354="RP",H1354/200)</f>
        <v>#N/A</v>
      </c>
      <c r="P1354" s="75" t="e">
        <f t="shared" si="194"/>
        <v>#DIV/0!</v>
      </c>
      <c r="Q1354" s="3" t="e" cm="1">
        <f t="array" ref="Q1354">_xlfn.IFS(P1354&lt;200, "10", P1354&lt;400, "12", P1354&lt;600, "14", P1354&gt;600, "16")</f>
        <v>#DIV/0!</v>
      </c>
      <c r="R1354" s="75">
        <f t="shared" si="195"/>
        <v>0</v>
      </c>
      <c r="S1354" s="75" t="e">
        <f t="shared" si="196"/>
        <v>#DIV/0!</v>
      </c>
      <c r="U1354" s="306" t="e">
        <f t="shared" si="197"/>
        <v>#DIV/0!</v>
      </c>
    </row>
    <row r="1355" spans="4:21" x14ac:dyDescent="0.35">
      <c r="D1355" s="3"/>
      <c r="G1355" s="3" t="s">
        <v>87</v>
      </c>
      <c r="M1355" s="3"/>
      <c r="N1355" s="356" t="e" cm="1">
        <f t="array" ref="N1355">_xlfn.IFS(I1355="AEX",H1355/400,I1355="RP",H1355/200)</f>
        <v>#N/A</v>
      </c>
      <c r="P1355" s="75" t="e">
        <f t="shared" si="194"/>
        <v>#DIV/0!</v>
      </c>
      <c r="Q1355" s="3" t="e" cm="1">
        <f t="array" ref="Q1355">_xlfn.IFS(P1355&lt;200, "10", P1355&lt;400, "12", P1355&lt;600, "14", P1355&gt;600, "16")</f>
        <v>#DIV/0!</v>
      </c>
      <c r="R1355" s="75">
        <f t="shared" si="195"/>
        <v>0</v>
      </c>
      <c r="S1355" s="75" t="e">
        <f t="shared" si="196"/>
        <v>#DIV/0!</v>
      </c>
      <c r="U1355" s="306" t="e">
        <f t="shared" si="197"/>
        <v>#DIV/0!</v>
      </c>
    </row>
    <row r="1356" spans="4:21" x14ac:dyDescent="0.35">
      <c r="D1356" s="3"/>
      <c r="G1356" s="3" t="s">
        <v>87</v>
      </c>
      <c r="M1356" s="3"/>
      <c r="N1356" s="356" t="e" cm="1">
        <f t="array" ref="N1356">_xlfn.IFS(I1356="AEX",H1356/400,I1356="RP",H1356/200)</f>
        <v>#N/A</v>
      </c>
      <c r="P1356" s="75" t="e">
        <f t="shared" si="194"/>
        <v>#DIV/0!</v>
      </c>
      <c r="Q1356" s="3" t="e" cm="1">
        <f t="array" ref="Q1356">_xlfn.IFS(P1356&lt;200, "10", P1356&lt;400, "12", P1356&lt;600, "14", P1356&gt;600, "16")</f>
        <v>#DIV/0!</v>
      </c>
      <c r="R1356" s="75">
        <f t="shared" si="195"/>
        <v>0</v>
      </c>
      <c r="S1356" s="75" t="e">
        <f t="shared" si="196"/>
        <v>#DIV/0!</v>
      </c>
      <c r="U1356" s="306" t="e">
        <f t="shared" si="197"/>
        <v>#DIV/0!</v>
      </c>
    </row>
    <row r="1357" spans="4:21" x14ac:dyDescent="0.35">
      <c r="D1357" s="3"/>
      <c r="G1357" s="3" t="s">
        <v>87</v>
      </c>
      <c r="M1357" s="3"/>
      <c r="N1357" s="356" t="e" cm="1">
        <f t="array" ref="N1357">_xlfn.IFS(I1357="AEX",H1357/400,I1357="RP",H1357/200)</f>
        <v>#N/A</v>
      </c>
      <c r="P1357" s="75" t="e">
        <f t="shared" si="194"/>
        <v>#DIV/0!</v>
      </c>
      <c r="Q1357" s="3" t="e" cm="1">
        <f t="array" ref="Q1357">_xlfn.IFS(P1357&lt;200, "10", P1357&lt;400, "12", P1357&lt;600, "14", P1357&gt;600, "16")</f>
        <v>#DIV/0!</v>
      </c>
      <c r="R1357" s="75">
        <f t="shared" si="195"/>
        <v>0</v>
      </c>
      <c r="S1357" s="75" t="e">
        <f t="shared" si="196"/>
        <v>#DIV/0!</v>
      </c>
      <c r="U1357" s="306" t="e">
        <f t="shared" si="197"/>
        <v>#DIV/0!</v>
      </c>
    </row>
    <row r="1358" spans="4:21" x14ac:dyDescent="0.35">
      <c r="D1358" s="3"/>
      <c r="G1358" s="3" t="s">
        <v>87</v>
      </c>
      <c r="M1358" s="3"/>
      <c r="N1358" s="356" t="e" cm="1">
        <f t="array" ref="N1358">_xlfn.IFS(I1358="AEX",H1358/400,I1358="RP",H1358/200)</f>
        <v>#N/A</v>
      </c>
      <c r="P1358" s="75" t="e">
        <f t="shared" si="194"/>
        <v>#DIV/0!</v>
      </c>
      <c r="Q1358" s="3" t="e" cm="1">
        <f t="array" ref="Q1358">_xlfn.IFS(P1358&lt;200, "10", P1358&lt;400, "12", P1358&lt;600, "14", P1358&gt;600, "16")</f>
        <v>#DIV/0!</v>
      </c>
      <c r="R1358" s="75">
        <f t="shared" si="195"/>
        <v>0</v>
      </c>
      <c r="S1358" s="75" t="e">
        <f t="shared" si="196"/>
        <v>#DIV/0!</v>
      </c>
      <c r="U1358" s="306" t="e">
        <f t="shared" si="197"/>
        <v>#DIV/0!</v>
      </c>
    </row>
    <row r="1359" spans="4:21" x14ac:dyDescent="0.35">
      <c r="D1359" s="3"/>
      <c r="G1359" s="3" t="s">
        <v>87</v>
      </c>
      <c r="M1359" s="3"/>
      <c r="N1359" s="356" t="e" cm="1">
        <f t="array" ref="N1359">_xlfn.IFS(I1359="AEX",H1359/400,I1359="RP",H1359/200)</f>
        <v>#N/A</v>
      </c>
      <c r="P1359" s="75" t="e">
        <f t="shared" si="194"/>
        <v>#DIV/0!</v>
      </c>
      <c r="Q1359" s="3" t="e" cm="1">
        <f t="array" ref="Q1359">_xlfn.IFS(P1359&lt;200, "10", P1359&lt;400, "12", P1359&lt;600, "14", P1359&gt;600, "16")</f>
        <v>#DIV/0!</v>
      </c>
      <c r="R1359" s="75">
        <f t="shared" si="195"/>
        <v>0</v>
      </c>
      <c r="S1359" s="75" t="e">
        <f t="shared" si="196"/>
        <v>#DIV/0!</v>
      </c>
      <c r="U1359" s="306" t="e">
        <f t="shared" si="197"/>
        <v>#DIV/0!</v>
      </c>
    </row>
    <row r="1360" spans="4:21" x14ac:dyDescent="0.35">
      <c r="D1360" s="3"/>
      <c r="G1360" s="3" t="s">
        <v>87</v>
      </c>
      <c r="M1360" s="3"/>
      <c r="N1360" s="356" t="e" cm="1">
        <f t="array" ref="N1360">_xlfn.IFS(I1360="AEX",H1360/400,I1360="RP",H1360/200)</f>
        <v>#N/A</v>
      </c>
      <c r="P1360" s="75" t="e">
        <f t="shared" si="194"/>
        <v>#DIV/0!</v>
      </c>
      <c r="Q1360" s="3" t="e" cm="1">
        <f t="array" ref="Q1360">_xlfn.IFS(P1360&lt;200, "10", P1360&lt;400, "12", P1360&lt;600, "14", P1360&gt;600, "16")</f>
        <v>#DIV/0!</v>
      </c>
      <c r="R1360" s="75">
        <f t="shared" si="195"/>
        <v>0</v>
      </c>
      <c r="S1360" s="75" t="e">
        <f t="shared" si="196"/>
        <v>#DIV/0!</v>
      </c>
      <c r="U1360" s="306" t="e">
        <f t="shared" si="197"/>
        <v>#DIV/0!</v>
      </c>
    </row>
    <row r="1361" spans="4:21" x14ac:dyDescent="0.35">
      <c r="D1361" s="3"/>
      <c r="G1361" s="3" t="s">
        <v>87</v>
      </c>
      <c r="M1361" s="3"/>
      <c r="N1361" s="356" t="e" cm="1">
        <f t="array" ref="N1361">_xlfn.IFS(I1361="AEX",H1361/400,I1361="RP",H1361/200)</f>
        <v>#N/A</v>
      </c>
      <c r="P1361" s="75" t="e">
        <f t="shared" si="194"/>
        <v>#DIV/0!</v>
      </c>
      <c r="Q1361" s="3" t="e" cm="1">
        <f t="array" ref="Q1361">_xlfn.IFS(P1361&lt;200, "10", P1361&lt;400, "12", P1361&lt;600, "14", P1361&gt;600, "16")</f>
        <v>#DIV/0!</v>
      </c>
      <c r="R1361" s="75">
        <f t="shared" si="195"/>
        <v>0</v>
      </c>
      <c r="S1361" s="75" t="e">
        <f t="shared" si="196"/>
        <v>#DIV/0!</v>
      </c>
      <c r="U1361" s="306" t="e">
        <f t="shared" si="197"/>
        <v>#DIV/0!</v>
      </c>
    </row>
    <row r="1362" spans="4:21" x14ac:dyDescent="0.35">
      <c r="D1362" s="3"/>
      <c r="G1362" s="3" t="s">
        <v>87</v>
      </c>
      <c r="M1362" s="3"/>
      <c r="N1362" s="356" t="e" cm="1">
        <f t="array" ref="N1362">_xlfn.IFS(I1362="AEX",H1362/400,I1362="RP",H1362/200)</f>
        <v>#N/A</v>
      </c>
      <c r="P1362" s="75" t="e">
        <f t="shared" si="194"/>
        <v>#DIV/0!</v>
      </c>
      <c r="Q1362" s="3" t="e" cm="1">
        <f t="array" ref="Q1362">_xlfn.IFS(P1362&lt;200, "10", P1362&lt;400, "12", P1362&lt;600, "14", P1362&gt;600, "16")</f>
        <v>#DIV/0!</v>
      </c>
      <c r="R1362" s="75">
        <f t="shared" si="195"/>
        <v>0</v>
      </c>
      <c r="S1362" s="75" t="e">
        <f t="shared" si="196"/>
        <v>#DIV/0!</v>
      </c>
      <c r="U1362" s="306" t="e">
        <f t="shared" si="197"/>
        <v>#DIV/0!</v>
      </c>
    </row>
    <row r="1363" spans="4:21" x14ac:dyDescent="0.35">
      <c r="D1363" s="3"/>
      <c r="G1363" s="3" t="s">
        <v>87</v>
      </c>
      <c r="M1363" s="3"/>
      <c r="N1363" s="356" t="e" cm="1">
        <f t="array" ref="N1363">_xlfn.IFS(I1363="AEX",H1363/400,I1363="RP",H1363/200)</f>
        <v>#N/A</v>
      </c>
      <c r="P1363" s="75" t="e">
        <f t="shared" si="194"/>
        <v>#DIV/0!</v>
      </c>
      <c r="Q1363" s="3" t="e" cm="1">
        <f t="array" ref="Q1363">_xlfn.IFS(P1363&lt;200, "10", P1363&lt;400, "12", P1363&lt;600, "14", P1363&gt;600, "16")</f>
        <v>#DIV/0!</v>
      </c>
      <c r="R1363" s="75">
        <f t="shared" si="195"/>
        <v>0</v>
      </c>
      <c r="S1363" s="75" t="e">
        <f t="shared" si="196"/>
        <v>#DIV/0!</v>
      </c>
      <c r="U1363" s="306" t="e">
        <f t="shared" si="197"/>
        <v>#DIV/0!</v>
      </c>
    </row>
    <row r="1364" spans="4:21" x14ac:dyDescent="0.35">
      <c r="D1364" s="3"/>
      <c r="G1364" s="3" t="s">
        <v>87</v>
      </c>
      <c r="M1364" s="3"/>
      <c r="N1364" s="356" t="e" cm="1">
        <f t="array" ref="N1364">_xlfn.IFS(I1364="AEX",H1364/400,I1364="RP",H1364/200)</f>
        <v>#N/A</v>
      </c>
      <c r="P1364" s="75" t="e">
        <f t="shared" si="194"/>
        <v>#DIV/0!</v>
      </c>
      <c r="Q1364" s="3" t="e" cm="1">
        <f t="array" ref="Q1364">_xlfn.IFS(P1364&lt;200, "10", P1364&lt;400, "12", P1364&lt;600, "14", P1364&gt;600, "16")</f>
        <v>#DIV/0!</v>
      </c>
      <c r="R1364" s="75">
        <f t="shared" si="195"/>
        <v>0</v>
      </c>
      <c r="S1364" s="75" t="e">
        <f t="shared" si="196"/>
        <v>#DIV/0!</v>
      </c>
      <c r="U1364" s="306" t="e">
        <f t="shared" si="197"/>
        <v>#DIV/0!</v>
      </c>
    </row>
    <row r="1365" spans="4:21" x14ac:dyDescent="0.35">
      <c r="D1365" s="3"/>
      <c r="G1365" s="3" t="s">
        <v>87</v>
      </c>
      <c r="M1365" s="3"/>
      <c r="N1365" s="356" t="e" cm="1">
        <f t="array" ref="N1365">_xlfn.IFS(I1365="AEX",H1365/400,I1365="RP",H1365/200)</f>
        <v>#N/A</v>
      </c>
      <c r="P1365" s="75" t="e">
        <f t="shared" si="194"/>
        <v>#DIV/0!</v>
      </c>
      <c r="Q1365" s="3" t="e" cm="1">
        <f t="array" ref="Q1365">_xlfn.IFS(P1365&lt;200, "10", P1365&lt;400, "12", P1365&lt;600, "14", P1365&gt;600, "16")</f>
        <v>#DIV/0!</v>
      </c>
      <c r="R1365" s="75">
        <f t="shared" si="195"/>
        <v>0</v>
      </c>
      <c r="S1365" s="75" t="e">
        <f t="shared" si="196"/>
        <v>#DIV/0!</v>
      </c>
      <c r="U1365" s="306" t="e">
        <f t="shared" si="197"/>
        <v>#DIV/0!</v>
      </c>
    </row>
    <row r="1366" spans="4:21" x14ac:dyDescent="0.35">
      <c r="D1366" s="3"/>
      <c r="G1366" s="3" t="s">
        <v>87</v>
      </c>
      <c r="M1366" s="3"/>
      <c r="N1366" s="356" t="e" cm="1">
        <f t="array" ref="N1366">_xlfn.IFS(I1366="AEX",H1366/400,I1366="RP",H1366/200)</f>
        <v>#N/A</v>
      </c>
      <c r="P1366" s="75" t="e">
        <f t="shared" si="194"/>
        <v>#DIV/0!</v>
      </c>
      <c r="Q1366" s="3" t="e" cm="1">
        <f t="array" ref="Q1366">_xlfn.IFS(P1366&lt;200, "10", P1366&lt;400, "12", P1366&lt;600, "14", P1366&gt;600, "16")</f>
        <v>#DIV/0!</v>
      </c>
      <c r="R1366" s="75">
        <f t="shared" si="195"/>
        <v>0</v>
      </c>
      <c r="S1366" s="75" t="e">
        <f t="shared" si="196"/>
        <v>#DIV/0!</v>
      </c>
      <c r="U1366" s="306" t="e">
        <f t="shared" si="197"/>
        <v>#DIV/0!</v>
      </c>
    </row>
    <row r="1367" spans="4:21" x14ac:dyDescent="0.35">
      <c r="D1367" s="3"/>
      <c r="G1367" s="3" t="s">
        <v>87</v>
      </c>
      <c r="M1367" s="3"/>
      <c r="N1367" s="356" t="e" cm="1">
        <f t="array" ref="N1367">_xlfn.IFS(I1367="AEX",H1367/400,I1367="RP",H1367/200)</f>
        <v>#N/A</v>
      </c>
      <c r="P1367" s="75" t="e">
        <f t="shared" si="194"/>
        <v>#DIV/0!</v>
      </c>
      <c r="Q1367" s="3" t="e" cm="1">
        <f t="array" ref="Q1367">_xlfn.IFS(P1367&lt;200, "10", P1367&lt;400, "12", P1367&lt;600, "14", P1367&gt;600, "16")</f>
        <v>#DIV/0!</v>
      </c>
      <c r="R1367" s="75">
        <f t="shared" si="195"/>
        <v>0</v>
      </c>
      <c r="S1367" s="75" t="e">
        <f t="shared" si="196"/>
        <v>#DIV/0!</v>
      </c>
      <c r="U1367" s="306" t="e">
        <f t="shared" si="197"/>
        <v>#DIV/0!</v>
      </c>
    </row>
    <row r="1368" spans="4:21" x14ac:dyDescent="0.35">
      <c r="D1368" s="3"/>
      <c r="G1368" s="3" t="s">
        <v>87</v>
      </c>
      <c r="M1368" s="3"/>
      <c r="N1368" s="356" t="e" cm="1">
        <f t="array" ref="N1368">_xlfn.IFS(I1368="AEX",H1368/400,I1368="RP",H1368/200)</f>
        <v>#N/A</v>
      </c>
      <c r="P1368" s="75" t="e">
        <f t="shared" si="194"/>
        <v>#DIV/0!</v>
      </c>
      <c r="Q1368" s="3" t="e" cm="1">
        <f t="array" ref="Q1368">_xlfn.IFS(P1368&lt;200, "10", P1368&lt;400, "12", P1368&lt;600, "14", P1368&gt;600, "16")</f>
        <v>#DIV/0!</v>
      </c>
      <c r="R1368" s="75">
        <f t="shared" si="195"/>
        <v>0</v>
      </c>
      <c r="S1368" s="75" t="e">
        <f t="shared" si="196"/>
        <v>#DIV/0!</v>
      </c>
      <c r="U1368" s="306" t="e">
        <f t="shared" si="197"/>
        <v>#DIV/0!</v>
      </c>
    </row>
    <row r="1369" spans="4:21" x14ac:dyDescent="0.35">
      <c r="D1369" s="3"/>
      <c r="G1369" s="3" t="s">
        <v>87</v>
      </c>
      <c r="M1369" s="3"/>
      <c r="N1369" s="356" t="e" cm="1">
        <f t="array" ref="N1369">_xlfn.IFS(I1369="AEX",H1369/400,I1369="RP",H1369/200)</f>
        <v>#N/A</v>
      </c>
      <c r="P1369" s="75" t="e">
        <f t="shared" si="194"/>
        <v>#DIV/0!</v>
      </c>
      <c r="Q1369" s="3" t="e" cm="1">
        <f t="array" ref="Q1369">_xlfn.IFS(P1369&lt;200, "10", P1369&lt;400, "12", P1369&lt;600, "14", P1369&gt;600, "16")</f>
        <v>#DIV/0!</v>
      </c>
      <c r="R1369" s="75">
        <f t="shared" si="195"/>
        <v>0</v>
      </c>
      <c r="S1369" s="75" t="e">
        <f t="shared" si="196"/>
        <v>#DIV/0!</v>
      </c>
      <c r="U1369" s="306" t="e">
        <f t="shared" si="197"/>
        <v>#DIV/0!</v>
      </c>
    </row>
    <row r="1370" spans="4:21" x14ac:dyDescent="0.35">
      <c r="D1370" s="3"/>
      <c r="G1370" s="3" t="s">
        <v>87</v>
      </c>
      <c r="M1370" s="3"/>
      <c r="N1370" s="356" t="e" cm="1">
        <f t="array" ref="N1370">_xlfn.IFS(I1370="AEX",H1370/400,I1370="RP",H1370/200)</f>
        <v>#N/A</v>
      </c>
      <c r="P1370" s="75" t="e">
        <f t="shared" si="194"/>
        <v>#DIV/0!</v>
      </c>
      <c r="Q1370" s="3" t="e" cm="1">
        <f t="array" ref="Q1370">_xlfn.IFS(P1370&lt;200, "10", P1370&lt;400, "12", P1370&lt;600, "14", P1370&gt;600, "16")</f>
        <v>#DIV/0!</v>
      </c>
      <c r="R1370" s="75">
        <f t="shared" si="195"/>
        <v>0</v>
      </c>
      <c r="S1370" s="75" t="e">
        <f t="shared" si="196"/>
        <v>#DIV/0!</v>
      </c>
      <c r="U1370" s="306" t="e">
        <f t="shared" si="197"/>
        <v>#DIV/0!</v>
      </c>
    </row>
    <row r="1371" spans="4:21" x14ac:dyDescent="0.35">
      <c r="D1371" s="3"/>
      <c r="G1371" s="3" t="s">
        <v>87</v>
      </c>
      <c r="M1371" s="3"/>
      <c r="N1371" s="356" t="e" cm="1">
        <f t="array" ref="N1371">_xlfn.IFS(I1371="AEX",H1371/400,I1371="RP",H1371/200)</f>
        <v>#N/A</v>
      </c>
      <c r="P1371" s="75" t="e">
        <f t="shared" si="194"/>
        <v>#DIV/0!</v>
      </c>
      <c r="Q1371" s="3" t="e" cm="1">
        <f t="array" ref="Q1371">_xlfn.IFS(P1371&lt;200, "10", P1371&lt;400, "12", P1371&lt;600, "14", P1371&gt;600, "16")</f>
        <v>#DIV/0!</v>
      </c>
      <c r="R1371" s="75">
        <f t="shared" si="195"/>
        <v>0</v>
      </c>
      <c r="S1371" s="75" t="e">
        <f t="shared" si="196"/>
        <v>#DIV/0!</v>
      </c>
      <c r="U1371" s="306" t="e">
        <f t="shared" si="197"/>
        <v>#DIV/0!</v>
      </c>
    </row>
    <row r="1372" spans="4:21" x14ac:dyDescent="0.35">
      <c r="D1372" s="3"/>
      <c r="G1372" s="3" t="s">
        <v>87</v>
      </c>
      <c r="M1372" s="3"/>
      <c r="N1372" s="356" t="e" cm="1">
        <f t="array" ref="N1372">_xlfn.IFS(I1372="AEX",H1372/400,I1372="RP",H1372/200)</f>
        <v>#N/A</v>
      </c>
      <c r="P1372" s="75" t="e">
        <f t="shared" si="194"/>
        <v>#DIV/0!</v>
      </c>
      <c r="Q1372" s="3" t="e" cm="1">
        <f t="array" ref="Q1372">_xlfn.IFS(P1372&lt;200, "10", P1372&lt;400, "12", P1372&lt;600, "14", P1372&gt;600, "16")</f>
        <v>#DIV/0!</v>
      </c>
      <c r="R1372" s="75">
        <f t="shared" si="195"/>
        <v>0</v>
      </c>
      <c r="S1372" s="75" t="e">
        <f t="shared" si="196"/>
        <v>#DIV/0!</v>
      </c>
      <c r="U1372" s="306" t="e">
        <f t="shared" si="197"/>
        <v>#DIV/0!</v>
      </c>
    </row>
    <row r="1373" spans="4:21" x14ac:dyDescent="0.35">
      <c r="D1373" s="3"/>
      <c r="G1373" s="3" t="s">
        <v>87</v>
      </c>
      <c r="M1373" s="3"/>
      <c r="N1373" s="356" t="e" cm="1">
        <f t="array" ref="N1373">_xlfn.IFS(I1373="AEX",H1373/400,I1373="RP",H1373/200)</f>
        <v>#N/A</v>
      </c>
      <c r="P1373" s="75" t="e">
        <f t="shared" si="194"/>
        <v>#DIV/0!</v>
      </c>
      <c r="Q1373" s="3" t="e" cm="1">
        <f t="array" ref="Q1373">_xlfn.IFS(P1373&lt;200, "10", P1373&lt;400, "12", P1373&lt;600, "14", P1373&gt;600, "16")</f>
        <v>#DIV/0!</v>
      </c>
      <c r="R1373" s="75">
        <f t="shared" si="195"/>
        <v>0</v>
      </c>
      <c r="S1373" s="75" t="e">
        <f t="shared" si="196"/>
        <v>#DIV/0!</v>
      </c>
      <c r="U1373" s="306" t="e">
        <f t="shared" si="197"/>
        <v>#DIV/0!</v>
      </c>
    </row>
    <row r="1374" spans="4:21" x14ac:dyDescent="0.35">
      <c r="D1374" s="3"/>
      <c r="G1374" s="3" t="s">
        <v>87</v>
      </c>
      <c r="M1374" s="3"/>
      <c r="N1374" s="356" t="e" cm="1">
        <f t="array" ref="N1374">_xlfn.IFS(I1374="AEX",H1374/400,I1374="RP",H1374/200)</f>
        <v>#N/A</v>
      </c>
      <c r="P1374" s="75" t="e">
        <f t="shared" si="194"/>
        <v>#DIV/0!</v>
      </c>
      <c r="Q1374" s="3" t="e" cm="1">
        <f t="array" ref="Q1374">_xlfn.IFS(P1374&lt;200, "10", P1374&lt;400, "12", P1374&lt;600, "14", P1374&gt;600, "16")</f>
        <v>#DIV/0!</v>
      </c>
      <c r="R1374" s="75">
        <f t="shared" si="195"/>
        <v>0</v>
      </c>
      <c r="S1374" s="75" t="e">
        <f t="shared" si="196"/>
        <v>#DIV/0!</v>
      </c>
      <c r="U1374" s="306" t="e">
        <f t="shared" si="197"/>
        <v>#DIV/0!</v>
      </c>
    </row>
    <row r="1375" spans="4:21" x14ac:dyDescent="0.35">
      <c r="D1375" s="3"/>
      <c r="G1375" s="3" t="s">
        <v>87</v>
      </c>
      <c r="M1375" s="3"/>
      <c r="N1375" s="356" t="e" cm="1">
        <f t="array" ref="N1375">_xlfn.IFS(I1375="AEX",H1375/400,I1375="RP",H1375/200)</f>
        <v>#N/A</v>
      </c>
      <c r="P1375" s="75" t="e">
        <f t="shared" si="194"/>
        <v>#DIV/0!</v>
      </c>
      <c r="Q1375" s="3" t="e" cm="1">
        <f t="array" ref="Q1375">_xlfn.IFS(P1375&lt;200, "10", P1375&lt;400, "12", P1375&lt;600, "14", P1375&gt;600, "16")</f>
        <v>#DIV/0!</v>
      </c>
      <c r="R1375" s="75">
        <f t="shared" si="195"/>
        <v>0</v>
      </c>
      <c r="S1375" s="75" t="e">
        <f t="shared" si="196"/>
        <v>#DIV/0!</v>
      </c>
      <c r="U1375" s="306" t="e">
        <f t="shared" si="197"/>
        <v>#DIV/0!</v>
      </c>
    </row>
    <row r="1376" spans="4:21" x14ac:dyDescent="0.35">
      <c r="D1376" s="3"/>
      <c r="G1376" s="3" t="s">
        <v>87</v>
      </c>
      <c r="M1376" s="3"/>
      <c r="N1376" s="356" t="e" cm="1">
        <f t="array" ref="N1376">_xlfn.IFS(I1376="AEX",H1376/400,I1376="RP",H1376/200)</f>
        <v>#N/A</v>
      </c>
      <c r="P1376" s="75" t="e">
        <f t="shared" si="194"/>
        <v>#DIV/0!</v>
      </c>
      <c r="Q1376" s="3" t="e" cm="1">
        <f t="array" ref="Q1376">_xlfn.IFS(P1376&lt;200, "10", P1376&lt;400, "12", P1376&lt;600, "14", P1376&gt;600, "16")</f>
        <v>#DIV/0!</v>
      </c>
      <c r="R1376" s="75">
        <f t="shared" si="195"/>
        <v>0</v>
      </c>
      <c r="S1376" s="75" t="e">
        <f t="shared" si="196"/>
        <v>#DIV/0!</v>
      </c>
      <c r="U1376" s="306" t="e">
        <f t="shared" si="197"/>
        <v>#DIV/0!</v>
      </c>
    </row>
    <row r="1377" spans="4:21" x14ac:dyDescent="0.35">
      <c r="D1377" s="3"/>
      <c r="G1377" s="3" t="s">
        <v>87</v>
      </c>
      <c r="M1377" s="3"/>
      <c r="N1377" s="356" t="e" cm="1">
        <f t="array" ref="N1377">_xlfn.IFS(I1377="AEX",H1377/400,I1377="RP",H1377/200)</f>
        <v>#N/A</v>
      </c>
      <c r="P1377" s="75" t="e">
        <f t="shared" si="194"/>
        <v>#DIV/0!</v>
      </c>
      <c r="Q1377" s="3" t="e" cm="1">
        <f t="array" ref="Q1377">_xlfn.IFS(P1377&lt;200, "10", P1377&lt;400, "12", P1377&lt;600, "14", P1377&gt;600, "16")</f>
        <v>#DIV/0!</v>
      </c>
      <c r="R1377" s="75">
        <f t="shared" si="195"/>
        <v>0</v>
      </c>
      <c r="S1377" s="75" t="e">
        <f t="shared" si="196"/>
        <v>#DIV/0!</v>
      </c>
      <c r="U1377" s="306" t="e">
        <f t="shared" si="197"/>
        <v>#DIV/0!</v>
      </c>
    </row>
    <row r="1378" spans="4:21" x14ac:dyDescent="0.35">
      <c r="D1378" s="3"/>
      <c r="G1378" s="3" t="s">
        <v>87</v>
      </c>
      <c r="M1378" s="3"/>
      <c r="N1378" s="356" t="e" cm="1">
        <f t="array" ref="N1378">_xlfn.IFS(I1378="AEX",H1378/400,I1378="RP",H1378/200)</f>
        <v>#N/A</v>
      </c>
      <c r="P1378" s="75" t="e">
        <f t="shared" si="194"/>
        <v>#DIV/0!</v>
      </c>
      <c r="Q1378" s="3" t="e" cm="1">
        <f t="array" ref="Q1378">_xlfn.IFS(P1378&lt;200, "10", P1378&lt;400, "12", P1378&lt;600, "14", P1378&gt;600, "16")</f>
        <v>#DIV/0!</v>
      </c>
      <c r="R1378" s="75">
        <f t="shared" si="195"/>
        <v>0</v>
      </c>
      <c r="S1378" s="75" t="e">
        <f t="shared" si="196"/>
        <v>#DIV/0!</v>
      </c>
      <c r="U1378" s="306" t="e">
        <f t="shared" si="197"/>
        <v>#DIV/0!</v>
      </c>
    </row>
    <row r="1379" spans="4:21" x14ac:dyDescent="0.35">
      <c r="D1379" s="3"/>
      <c r="G1379" s="3" t="s">
        <v>87</v>
      </c>
      <c r="M1379" s="3"/>
      <c r="N1379" s="356" t="e" cm="1">
        <f t="array" ref="N1379">_xlfn.IFS(I1379="AEX",H1379/400,I1379="RP",H1379/200)</f>
        <v>#N/A</v>
      </c>
      <c r="P1379" s="75" t="e">
        <f t="shared" si="194"/>
        <v>#DIV/0!</v>
      </c>
      <c r="Q1379" s="3" t="e" cm="1">
        <f t="array" ref="Q1379">_xlfn.IFS(P1379&lt;200, "10", P1379&lt;400, "12", P1379&lt;600, "14", P1379&gt;600, "16")</f>
        <v>#DIV/0!</v>
      </c>
      <c r="R1379" s="75">
        <f t="shared" si="195"/>
        <v>0</v>
      </c>
      <c r="S1379" s="75" t="e">
        <f t="shared" si="196"/>
        <v>#DIV/0!</v>
      </c>
      <c r="U1379" s="306" t="e">
        <f t="shared" si="197"/>
        <v>#DIV/0!</v>
      </c>
    </row>
    <row r="1380" spans="4:21" x14ac:dyDescent="0.35">
      <c r="D1380" s="3"/>
      <c r="G1380" s="3" t="s">
        <v>87</v>
      </c>
      <c r="M1380" s="3"/>
      <c r="N1380" s="356" t="e" cm="1">
        <f t="array" ref="N1380">_xlfn.IFS(I1380="AEX",H1380/400,I1380="RP",H1380/200)</f>
        <v>#N/A</v>
      </c>
      <c r="P1380" s="75" t="e">
        <f t="shared" si="194"/>
        <v>#DIV/0!</v>
      </c>
      <c r="Q1380" s="3" t="e" cm="1">
        <f t="array" ref="Q1380">_xlfn.IFS(P1380&lt;200, "10", P1380&lt;400, "12", P1380&lt;600, "14", P1380&gt;600, "16")</f>
        <v>#DIV/0!</v>
      </c>
      <c r="R1380" s="75">
        <f t="shared" si="195"/>
        <v>0</v>
      </c>
      <c r="S1380" s="75" t="e">
        <f t="shared" si="196"/>
        <v>#DIV/0!</v>
      </c>
      <c r="U1380" s="306" t="e">
        <f t="shared" si="197"/>
        <v>#DIV/0!</v>
      </c>
    </row>
    <row r="1381" spans="4:21" x14ac:dyDescent="0.35">
      <c r="D1381" s="3"/>
      <c r="G1381" s="3" t="s">
        <v>87</v>
      </c>
      <c r="M1381" s="3"/>
      <c r="N1381" s="356" t="e" cm="1">
        <f t="array" ref="N1381">_xlfn.IFS(I1381="AEX",H1381/400,I1381="RP",H1381/200)</f>
        <v>#N/A</v>
      </c>
      <c r="P1381" s="75" t="e">
        <f t="shared" si="194"/>
        <v>#DIV/0!</v>
      </c>
      <c r="Q1381" s="3" t="e" cm="1">
        <f t="array" ref="Q1381">_xlfn.IFS(P1381&lt;200, "10", P1381&lt;400, "12", P1381&lt;600, "14", P1381&gt;600, "16")</f>
        <v>#DIV/0!</v>
      </c>
      <c r="R1381" s="75">
        <f t="shared" si="195"/>
        <v>0</v>
      </c>
      <c r="S1381" s="75" t="e">
        <f t="shared" si="196"/>
        <v>#DIV/0!</v>
      </c>
      <c r="U1381" s="306" t="e">
        <f t="shared" si="197"/>
        <v>#DIV/0!</v>
      </c>
    </row>
    <row r="1382" spans="4:21" x14ac:dyDescent="0.35">
      <c r="D1382" s="3"/>
      <c r="G1382" s="3" t="s">
        <v>87</v>
      </c>
      <c r="M1382" s="3"/>
      <c r="N1382" s="356" t="e" cm="1">
        <f t="array" ref="N1382">_xlfn.IFS(I1382="AEX",H1382/400,I1382="RP",H1382/200)</f>
        <v>#N/A</v>
      </c>
      <c r="P1382" s="75" t="e">
        <f t="shared" si="194"/>
        <v>#DIV/0!</v>
      </c>
      <c r="Q1382" s="3" t="e" cm="1">
        <f t="array" ref="Q1382">_xlfn.IFS(P1382&lt;200, "10", P1382&lt;400, "12", P1382&lt;600, "14", P1382&gt;600, "16")</f>
        <v>#DIV/0!</v>
      </c>
      <c r="R1382" s="75">
        <f t="shared" si="195"/>
        <v>0</v>
      </c>
      <c r="S1382" s="75" t="e">
        <f t="shared" si="196"/>
        <v>#DIV/0!</v>
      </c>
      <c r="U1382" s="306" t="e">
        <f t="shared" si="197"/>
        <v>#DIV/0!</v>
      </c>
    </row>
    <row r="1383" spans="4:21" x14ac:dyDescent="0.35">
      <c r="D1383" s="3"/>
      <c r="G1383" s="3" t="s">
        <v>87</v>
      </c>
      <c r="M1383" s="3"/>
      <c r="N1383" s="356" t="e" cm="1">
        <f t="array" ref="N1383">_xlfn.IFS(I1383="AEX",H1383/400,I1383="RP",H1383/200)</f>
        <v>#N/A</v>
      </c>
      <c r="P1383" s="75" t="e">
        <f t="shared" si="194"/>
        <v>#DIV/0!</v>
      </c>
      <c r="Q1383" s="3" t="e" cm="1">
        <f t="array" ref="Q1383">_xlfn.IFS(P1383&lt;200, "10", P1383&lt;400, "12", P1383&lt;600, "14", P1383&gt;600, "16")</f>
        <v>#DIV/0!</v>
      </c>
      <c r="R1383" s="75">
        <f t="shared" si="195"/>
        <v>0</v>
      </c>
      <c r="S1383" s="75" t="e">
        <f t="shared" si="196"/>
        <v>#DIV/0!</v>
      </c>
      <c r="U1383" s="306" t="e">
        <f t="shared" si="197"/>
        <v>#DIV/0!</v>
      </c>
    </row>
    <row r="1384" spans="4:21" x14ac:dyDescent="0.35">
      <c r="D1384" s="3"/>
      <c r="G1384" s="3" t="s">
        <v>87</v>
      </c>
      <c r="M1384" s="3"/>
      <c r="N1384" s="356" t="e" cm="1">
        <f t="array" ref="N1384">_xlfn.IFS(I1384="AEX",H1384/400,I1384="RP",H1384/200)</f>
        <v>#N/A</v>
      </c>
      <c r="P1384" s="75" t="e">
        <f t="shared" si="194"/>
        <v>#DIV/0!</v>
      </c>
      <c r="Q1384" s="3" t="e" cm="1">
        <f t="array" ref="Q1384">_xlfn.IFS(P1384&lt;200, "10", P1384&lt;400, "12", P1384&lt;600, "14", P1384&gt;600, "16")</f>
        <v>#DIV/0!</v>
      </c>
      <c r="R1384" s="75">
        <f t="shared" si="195"/>
        <v>0</v>
      </c>
      <c r="S1384" s="75" t="e">
        <f t="shared" si="196"/>
        <v>#DIV/0!</v>
      </c>
      <c r="U1384" s="306" t="e">
        <f t="shared" si="197"/>
        <v>#DIV/0!</v>
      </c>
    </row>
    <row r="1385" spans="4:21" x14ac:dyDescent="0.35">
      <c r="D1385" s="3"/>
      <c r="G1385" s="3" t="s">
        <v>87</v>
      </c>
      <c r="M1385" s="3"/>
      <c r="N1385" s="356" t="e" cm="1">
        <f t="array" ref="N1385">_xlfn.IFS(I1385="AEX",H1385/400,I1385="RP",H1385/200)</f>
        <v>#N/A</v>
      </c>
      <c r="P1385" s="75" t="e">
        <f t="shared" si="194"/>
        <v>#DIV/0!</v>
      </c>
      <c r="Q1385" s="3" t="e" cm="1">
        <f t="array" ref="Q1385">_xlfn.IFS(P1385&lt;200, "10", P1385&lt;400, "12", P1385&lt;600, "14", P1385&gt;600, "16")</f>
        <v>#DIV/0!</v>
      </c>
      <c r="R1385" s="75">
        <f t="shared" si="195"/>
        <v>0</v>
      </c>
      <c r="S1385" s="75" t="e">
        <f t="shared" si="196"/>
        <v>#DIV/0!</v>
      </c>
      <c r="U1385" s="306" t="e">
        <f t="shared" si="197"/>
        <v>#DIV/0!</v>
      </c>
    </row>
    <row r="1386" spans="4:21" x14ac:dyDescent="0.35">
      <c r="D1386" s="3"/>
      <c r="G1386" s="3" t="s">
        <v>87</v>
      </c>
      <c r="M1386" s="3"/>
      <c r="N1386" s="356" t="e" cm="1">
        <f t="array" ref="N1386">_xlfn.IFS(I1386="AEX",H1386/400,I1386="RP",H1386/200)</f>
        <v>#N/A</v>
      </c>
      <c r="P1386" s="75" t="e">
        <f t="shared" si="194"/>
        <v>#DIV/0!</v>
      </c>
      <c r="Q1386" s="3" t="e" cm="1">
        <f t="array" ref="Q1386">_xlfn.IFS(P1386&lt;200, "10", P1386&lt;400, "12", P1386&lt;600, "14", P1386&gt;600, "16")</f>
        <v>#DIV/0!</v>
      </c>
      <c r="R1386" s="75">
        <f t="shared" si="195"/>
        <v>0</v>
      </c>
      <c r="S1386" s="75" t="e">
        <f t="shared" si="196"/>
        <v>#DIV/0!</v>
      </c>
      <c r="U1386" s="306" t="e">
        <f t="shared" si="197"/>
        <v>#DIV/0!</v>
      </c>
    </row>
    <row r="1387" spans="4:21" x14ac:dyDescent="0.35">
      <c r="D1387" s="3"/>
      <c r="G1387" s="3" t="s">
        <v>87</v>
      </c>
      <c r="M1387" s="3"/>
      <c r="N1387" s="356" t="e" cm="1">
        <f t="array" ref="N1387">_xlfn.IFS(I1387="AEX",H1387/400,I1387="RP",H1387/200)</f>
        <v>#N/A</v>
      </c>
      <c r="P1387" s="75" t="e">
        <f t="shared" si="194"/>
        <v>#DIV/0!</v>
      </c>
      <c r="Q1387" s="3" t="e" cm="1">
        <f t="array" ref="Q1387">_xlfn.IFS(P1387&lt;200, "10", P1387&lt;400, "12", P1387&lt;600, "14", P1387&gt;600, "16")</f>
        <v>#DIV/0!</v>
      </c>
      <c r="R1387" s="75">
        <f t="shared" si="195"/>
        <v>0</v>
      </c>
      <c r="S1387" s="75" t="e">
        <f t="shared" si="196"/>
        <v>#DIV/0!</v>
      </c>
      <c r="U1387" s="306" t="e">
        <f t="shared" si="197"/>
        <v>#DIV/0!</v>
      </c>
    </row>
    <row r="1388" spans="4:21" x14ac:dyDescent="0.35">
      <c r="D1388" s="3"/>
      <c r="G1388" s="3" t="s">
        <v>87</v>
      </c>
      <c r="M1388" s="3"/>
      <c r="N1388" s="356" t="e" cm="1">
        <f t="array" ref="N1388">_xlfn.IFS(I1388="AEX",H1388/400,I1388="RP",H1388/200)</f>
        <v>#N/A</v>
      </c>
      <c r="P1388" s="75" t="e">
        <f t="shared" si="194"/>
        <v>#DIV/0!</v>
      </c>
      <c r="Q1388" s="3" t="e" cm="1">
        <f t="array" ref="Q1388">_xlfn.IFS(P1388&lt;200, "10", P1388&lt;400, "12", P1388&lt;600, "14", P1388&gt;600, "16")</f>
        <v>#DIV/0!</v>
      </c>
      <c r="R1388" s="75">
        <f t="shared" si="195"/>
        <v>0</v>
      </c>
      <c r="S1388" s="75" t="e">
        <f t="shared" si="196"/>
        <v>#DIV/0!</v>
      </c>
      <c r="U1388" s="306" t="e">
        <f t="shared" si="197"/>
        <v>#DIV/0!</v>
      </c>
    </row>
    <row r="1389" spans="4:21" x14ac:dyDescent="0.35">
      <c r="D1389" s="3"/>
      <c r="G1389" s="3" t="s">
        <v>87</v>
      </c>
      <c r="M1389" s="3"/>
      <c r="N1389" s="356" t="e" cm="1">
        <f t="array" ref="N1389">_xlfn.IFS(I1389="AEX",H1389/400,I1389="RP",H1389/200)</f>
        <v>#N/A</v>
      </c>
      <c r="P1389" s="75" t="e">
        <f t="shared" si="194"/>
        <v>#DIV/0!</v>
      </c>
      <c r="Q1389" s="3" t="e" cm="1">
        <f t="array" ref="Q1389">_xlfn.IFS(P1389&lt;200, "10", P1389&lt;400, "12", P1389&lt;600, "14", P1389&gt;600, "16")</f>
        <v>#DIV/0!</v>
      </c>
      <c r="R1389" s="75">
        <f t="shared" si="195"/>
        <v>0</v>
      </c>
      <c r="S1389" s="75" t="e">
        <f t="shared" si="196"/>
        <v>#DIV/0!</v>
      </c>
      <c r="U1389" s="306" t="e">
        <f t="shared" si="197"/>
        <v>#DIV/0!</v>
      </c>
    </row>
    <row r="1390" spans="4:21" x14ac:dyDescent="0.35">
      <c r="D1390" s="3"/>
      <c r="G1390" s="3" t="s">
        <v>87</v>
      </c>
      <c r="M1390" s="3"/>
      <c r="N1390" s="356" t="e" cm="1">
        <f t="array" ref="N1390">_xlfn.IFS(I1390="AEX",H1390/400,I1390="RP",H1390/200)</f>
        <v>#N/A</v>
      </c>
      <c r="P1390" s="75" t="e">
        <f t="shared" si="194"/>
        <v>#DIV/0!</v>
      </c>
      <c r="Q1390" s="3" t="e" cm="1">
        <f t="array" ref="Q1390">_xlfn.IFS(P1390&lt;200, "10", P1390&lt;400, "12", P1390&lt;600, "14", P1390&gt;600, "16")</f>
        <v>#DIV/0!</v>
      </c>
      <c r="R1390" s="75">
        <f t="shared" si="195"/>
        <v>0</v>
      </c>
      <c r="S1390" s="75" t="e">
        <f t="shared" si="196"/>
        <v>#DIV/0!</v>
      </c>
      <c r="U1390" s="306" t="e">
        <f t="shared" si="197"/>
        <v>#DIV/0!</v>
      </c>
    </row>
    <row r="1391" spans="4:21" x14ac:dyDescent="0.35">
      <c r="D1391" s="3"/>
      <c r="G1391" s="3" t="s">
        <v>87</v>
      </c>
      <c r="M1391" s="3"/>
      <c r="N1391" s="356" t="e" cm="1">
        <f t="array" ref="N1391">_xlfn.IFS(I1391="AEX",H1391/400,I1391="RP",H1391/200)</f>
        <v>#N/A</v>
      </c>
      <c r="P1391" s="75" t="e">
        <f t="shared" si="194"/>
        <v>#DIV/0!</v>
      </c>
      <c r="Q1391" s="3" t="e" cm="1">
        <f t="array" ref="Q1391">_xlfn.IFS(P1391&lt;200, "10", P1391&lt;400, "12", P1391&lt;600, "14", P1391&gt;600, "16")</f>
        <v>#DIV/0!</v>
      </c>
      <c r="R1391" s="75">
        <f t="shared" si="195"/>
        <v>0</v>
      </c>
      <c r="S1391" s="75" t="e">
        <f t="shared" si="196"/>
        <v>#DIV/0!</v>
      </c>
      <c r="U1391" s="306" t="e">
        <f t="shared" si="197"/>
        <v>#DIV/0!</v>
      </c>
    </row>
    <row r="1392" spans="4:21" x14ac:dyDescent="0.35">
      <c r="D1392" s="3"/>
      <c r="G1392" s="3" t="s">
        <v>87</v>
      </c>
      <c r="M1392" s="3"/>
      <c r="N1392" s="356" t="e" cm="1">
        <f t="array" ref="N1392">_xlfn.IFS(I1392="AEX",H1392/400,I1392="RP",H1392/200)</f>
        <v>#N/A</v>
      </c>
      <c r="P1392" s="75" t="e">
        <f t="shared" si="194"/>
        <v>#DIV/0!</v>
      </c>
      <c r="Q1392" s="3" t="e" cm="1">
        <f t="array" ref="Q1392">_xlfn.IFS(P1392&lt;200, "10", P1392&lt;400, "12", P1392&lt;600, "14", P1392&gt;600, "16")</f>
        <v>#DIV/0!</v>
      </c>
      <c r="R1392" s="75">
        <f t="shared" si="195"/>
        <v>0</v>
      </c>
      <c r="S1392" s="75" t="e">
        <f t="shared" si="196"/>
        <v>#DIV/0!</v>
      </c>
      <c r="U1392" s="306" t="e">
        <f t="shared" si="197"/>
        <v>#DIV/0!</v>
      </c>
    </row>
    <row r="1393" spans="4:21" x14ac:dyDescent="0.35">
      <c r="D1393" s="3"/>
      <c r="G1393" s="3" t="s">
        <v>87</v>
      </c>
      <c r="M1393" s="3"/>
      <c r="N1393" s="356" t="e" cm="1">
        <f t="array" ref="N1393">_xlfn.IFS(I1393="AEX",H1393/400,I1393="RP",H1393/200)</f>
        <v>#N/A</v>
      </c>
      <c r="P1393" s="75" t="e">
        <f t="shared" si="194"/>
        <v>#DIV/0!</v>
      </c>
      <c r="Q1393" s="3" t="e" cm="1">
        <f t="array" ref="Q1393">_xlfn.IFS(P1393&lt;200, "10", P1393&lt;400, "12", P1393&lt;600, "14", P1393&gt;600, "16")</f>
        <v>#DIV/0!</v>
      </c>
      <c r="R1393" s="75">
        <f t="shared" si="195"/>
        <v>0</v>
      </c>
      <c r="S1393" s="75" t="e">
        <f t="shared" si="196"/>
        <v>#DIV/0!</v>
      </c>
      <c r="U1393" s="306" t="e">
        <f t="shared" si="197"/>
        <v>#DIV/0!</v>
      </c>
    </row>
    <row r="1394" spans="4:21" x14ac:dyDescent="0.35">
      <c r="D1394" s="3"/>
      <c r="G1394" s="3" t="s">
        <v>87</v>
      </c>
      <c r="M1394" s="3"/>
      <c r="N1394" s="356" t="e" cm="1">
        <f t="array" ref="N1394">_xlfn.IFS(I1394="AEX",H1394/400,I1394="RP",H1394/200)</f>
        <v>#N/A</v>
      </c>
      <c r="P1394" s="75" t="e">
        <f t="shared" si="194"/>
        <v>#DIV/0!</v>
      </c>
      <c r="Q1394" s="3" t="e" cm="1">
        <f t="array" ref="Q1394">_xlfn.IFS(P1394&lt;200, "10", P1394&lt;400, "12", P1394&lt;600, "14", P1394&gt;600, "16")</f>
        <v>#DIV/0!</v>
      </c>
      <c r="R1394" s="75">
        <f t="shared" si="195"/>
        <v>0</v>
      </c>
      <c r="S1394" s="75" t="e">
        <f t="shared" si="196"/>
        <v>#DIV/0!</v>
      </c>
      <c r="U1394" s="306" t="e">
        <f t="shared" si="197"/>
        <v>#DIV/0!</v>
      </c>
    </row>
    <row r="1395" spans="4:21" x14ac:dyDescent="0.35">
      <c r="D1395" s="3"/>
      <c r="G1395" s="3" t="s">
        <v>87</v>
      </c>
      <c r="M1395" s="3"/>
      <c r="N1395" s="356" t="e" cm="1">
        <f t="array" ref="N1395">_xlfn.IFS(I1395="AEX",H1395/400,I1395="RP",H1395/200)</f>
        <v>#N/A</v>
      </c>
      <c r="P1395" s="75" t="e">
        <f t="shared" si="194"/>
        <v>#DIV/0!</v>
      </c>
      <c r="Q1395" s="3" t="e" cm="1">
        <f t="array" ref="Q1395">_xlfn.IFS(P1395&lt;200, "10", P1395&lt;400, "12", P1395&lt;600, "14", P1395&gt;600, "16")</f>
        <v>#DIV/0!</v>
      </c>
      <c r="R1395" s="75">
        <f t="shared" si="195"/>
        <v>0</v>
      </c>
      <c r="S1395" s="75" t="e">
        <f t="shared" si="196"/>
        <v>#DIV/0!</v>
      </c>
      <c r="U1395" s="306" t="e">
        <f t="shared" si="197"/>
        <v>#DIV/0!</v>
      </c>
    </row>
    <row r="1396" spans="4:21" x14ac:dyDescent="0.35">
      <c r="D1396" s="3"/>
      <c r="G1396" s="3" t="s">
        <v>87</v>
      </c>
      <c r="M1396" s="3"/>
      <c r="N1396" s="356" t="e" cm="1">
        <f t="array" ref="N1396">_xlfn.IFS(I1396="AEX",H1396/400,I1396="RP",H1396/200)</f>
        <v>#N/A</v>
      </c>
      <c r="P1396" s="75" t="e">
        <f t="shared" ref="P1396:P1459" si="198">H1396/O1396</f>
        <v>#DIV/0!</v>
      </c>
      <c r="Q1396" s="3" t="e" cm="1">
        <f t="array" ref="Q1396">_xlfn.IFS(P1396&lt;200, "10", P1396&lt;400, "12", P1396&lt;600, "14", P1396&gt;600, "16")</f>
        <v>#DIV/0!</v>
      </c>
      <c r="R1396" s="75">
        <f t="shared" ref="R1396:R1459" si="199">IF(I1396="AEX",H1396*0.3/400,H1396*0.3/200)</f>
        <v>0</v>
      </c>
      <c r="S1396" s="75" t="e">
        <f t="shared" ref="S1396:S1459" si="200">R1396/O1396</f>
        <v>#DIV/0!</v>
      </c>
      <c r="U1396" s="306" t="e">
        <f t="shared" ref="U1396:U1459" si="201">T1396/H1396*100</f>
        <v>#DIV/0!</v>
      </c>
    </row>
    <row r="1397" spans="4:21" x14ac:dyDescent="0.35">
      <c r="D1397" s="3"/>
      <c r="G1397" s="3" t="s">
        <v>87</v>
      </c>
      <c r="M1397" s="3"/>
      <c r="N1397" s="356" t="e" cm="1">
        <f t="array" ref="N1397">_xlfn.IFS(I1397="AEX",H1397/400,I1397="RP",H1397/200)</f>
        <v>#N/A</v>
      </c>
      <c r="P1397" s="75" t="e">
        <f t="shared" si="198"/>
        <v>#DIV/0!</v>
      </c>
      <c r="Q1397" s="3" t="e" cm="1">
        <f t="array" ref="Q1397">_xlfn.IFS(P1397&lt;200, "10", P1397&lt;400, "12", P1397&lt;600, "14", P1397&gt;600, "16")</f>
        <v>#DIV/0!</v>
      </c>
      <c r="R1397" s="75">
        <f t="shared" si="199"/>
        <v>0</v>
      </c>
      <c r="S1397" s="75" t="e">
        <f t="shared" si="200"/>
        <v>#DIV/0!</v>
      </c>
      <c r="U1397" s="306" t="e">
        <f t="shared" si="201"/>
        <v>#DIV/0!</v>
      </c>
    </row>
    <row r="1398" spans="4:21" x14ac:dyDescent="0.35">
      <c r="D1398" s="3"/>
      <c r="G1398" s="3" t="s">
        <v>87</v>
      </c>
      <c r="M1398" s="3"/>
      <c r="N1398" s="356" t="e" cm="1">
        <f t="array" ref="N1398">_xlfn.IFS(I1398="AEX",H1398/400,I1398="RP",H1398/200)</f>
        <v>#N/A</v>
      </c>
      <c r="P1398" s="75" t="e">
        <f t="shared" si="198"/>
        <v>#DIV/0!</v>
      </c>
      <c r="Q1398" s="3" t="e" cm="1">
        <f t="array" ref="Q1398">_xlfn.IFS(P1398&lt;200, "10", P1398&lt;400, "12", P1398&lt;600, "14", P1398&gt;600, "16")</f>
        <v>#DIV/0!</v>
      </c>
      <c r="R1398" s="75">
        <f t="shared" si="199"/>
        <v>0</v>
      </c>
      <c r="S1398" s="75" t="e">
        <f t="shared" si="200"/>
        <v>#DIV/0!</v>
      </c>
      <c r="U1398" s="306" t="e">
        <f t="shared" si="201"/>
        <v>#DIV/0!</v>
      </c>
    </row>
    <row r="1399" spans="4:21" x14ac:dyDescent="0.35">
      <c r="D1399" s="3"/>
      <c r="G1399" s="3" t="s">
        <v>87</v>
      </c>
      <c r="M1399" s="3"/>
      <c r="N1399" s="356" t="e" cm="1">
        <f t="array" ref="N1399">_xlfn.IFS(I1399="AEX",H1399/400,I1399="RP",H1399/200)</f>
        <v>#N/A</v>
      </c>
      <c r="P1399" s="75" t="e">
        <f t="shared" si="198"/>
        <v>#DIV/0!</v>
      </c>
      <c r="Q1399" s="3" t="e" cm="1">
        <f t="array" ref="Q1399">_xlfn.IFS(P1399&lt;200, "10", P1399&lt;400, "12", P1399&lt;600, "14", P1399&gt;600, "16")</f>
        <v>#DIV/0!</v>
      </c>
      <c r="R1399" s="75">
        <f t="shared" si="199"/>
        <v>0</v>
      </c>
      <c r="S1399" s="75" t="e">
        <f t="shared" si="200"/>
        <v>#DIV/0!</v>
      </c>
      <c r="U1399" s="306" t="e">
        <f t="shared" si="201"/>
        <v>#DIV/0!</v>
      </c>
    </row>
    <row r="1400" spans="4:21" x14ac:dyDescent="0.35">
      <c r="D1400" s="3"/>
      <c r="G1400" s="3" t="s">
        <v>87</v>
      </c>
      <c r="M1400" s="3"/>
      <c r="N1400" s="356" t="e" cm="1">
        <f t="array" ref="N1400">_xlfn.IFS(I1400="AEX",H1400/400,I1400="RP",H1400/200)</f>
        <v>#N/A</v>
      </c>
      <c r="P1400" s="75" t="e">
        <f t="shared" si="198"/>
        <v>#DIV/0!</v>
      </c>
      <c r="Q1400" s="3" t="e" cm="1">
        <f t="array" ref="Q1400">_xlfn.IFS(P1400&lt;200, "10", P1400&lt;400, "12", P1400&lt;600, "14", P1400&gt;600, "16")</f>
        <v>#DIV/0!</v>
      </c>
      <c r="R1400" s="75">
        <f t="shared" si="199"/>
        <v>0</v>
      </c>
      <c r="S1400" s="75" t="e">
        <f t="shared" si="200"/>
        <v>#DIV/0!</v>
      </c>
      <c r="U1400" s="306" t="e">
        <f t="shared" si="201"/>
        <v>#DIV/0!</v>
      </c>
    </row>
    <row r="1401" spans="4:21" x14ac:dyDescent="0.35">
      <c r="D1401" s="3"/>
      <c r="G1401" s="3" t="s">
        <v>87</v>
      </c>
      <c r="M1401" s="3"/>
      <c r="N1401" s="356" t="e" cm="1">
        <f t="array" ref="N1401">_xlfn.IFS(I1401="AEX",H1401/400,I1401="RP",H1401/200)</f>
        <v>#N/A</v>
      </c>
      <c r="P1401" s="75" t="e">
        <f t="shared" si="198"/>
        <v>#DIV/0!</v>
      </c>
      <c r="Q1401" s="3" t="e" cm="1">
        <f t="array" ref="Q1401">_xlfn.IFS(P1401&lt;200, "10", P1401&lt;400, "12", P1401&lt;600, "14", P1401&gt;600, "16")</f>
        <v>#DIV/0!</v>
      </c>
      <c r="R1401" s="75">
        <f t="shared" si="199"/>
        <v>0</v>
      </c>
      <c r="S1401" s="75" t="e">
        <f t="shared" si="200"/>
        <v>#DIV/0!</v>
      </c>
      <c r="U1401" s="306" t="e">
        <f t="shared" si="201"/>
        <v>#DIV/0!</v>
      </c>
    </row>
    <row r="1402" spans="4:21" x14ac:dyDescent="0.35">
      <c r="D1402" s="3"/>
      <c r="G1402" s="3" t="s">
        <v>87</v>
      </c>
      <c r="M1402" s="3"/>
      <c r="N1402" s="356" t="e" cm="1">
        <f t="array" ref="N1402">_xlfn.IFS(I1402="AEX",H1402/400,I1402="RP",H1402/200)</f>
        <v>#N/A</v>
      </c>
      <c r="P1402" s="75" t="e">
        <f t="shared" si="198"/>
        <v>#DIV/0!</v>
      </c>
      <c r="Q1402" s="3" t="e" cm="1">
        <f t="array" ref="Q1402">_xlfn.IFS(P1402&lt;200, "10", P1402&lt;400, "12", P1402&lt;600, "14", P1402&gt;600, "16")</f>
        <v>#DIV/0!</v>
      </c>
      <c r="R1402" s="75">
        <f t="shared" si="199"/>
        <v>0</v>
      </c>
      <c r="S1402" s="75" t="e">
        <f t="shared" si="200"/>
        <v>#DIV/0!</v>
      </c>
      <c r="U1402" s="306" t="e">
        <f t="shared" si="201"/>
        <v>#DIV/0!</v>
      </c>
    </row>
    <row r="1403" spans="4:21" x14ac:dyDescent="0.35">
      <c r="D1403" s="3"/>
      <c r="G1403" s="3" t="s">
        <v>87</v>
      </c>
      <c r="M1403" s="3"/>
      <c r="N1403" s="356" t="e" cm="1">
        <f t="array" ref="N1403">_xlfn.IFS(I1403="AEX",H1403/400,I1403="RP",H1403/200)</f>
        <v>#N/A</v>
      </c>
      <c r="P1403" s="75" t="e">
        <f t="shared" si="198"/>
        <v>#DIV/0!</v>
      </c>
      <c r="Q1403" s="3" t="e" cm="1">
        <f t="array" ref="Q1403">_xlfn.IFS(P1403&lt;200, "10", P1403&lt;400, "12", P1403&lt;600, "14", P1403&gt;600, "16")</f>
        <v>#DIV/0!</v>
      </c>
      <c r="R1403" s="75">
        <f t="shared" si="199"/>
        <v>0</v>
      </c>
      <c r="S1403" s="75" t="e">
        <f t="shared" si="200"/>
        <v>#DIV/0!</v>
      </c>
      <c r="U1403" s="306" t="e">
        <f t="shared" si="201"/>
        <v>#DIV/0!</v>
      </c>
    </row>
    <row r="1404" spans="4:21" x14ac:dyDescent="0.35">
      <c r="D1404" s="3"/>
      <c r="G1404" s="3" t="s">
        <v>87</v>
      </c>
      <c r="M1404" s="3"/>
      <c r="N1404" s="356" t="e" cm="1">
        <f t="array" ref="N1404">_xlfn.IFS(I1404="AEX",H1404/400,I1404="RP",H1404/200)</f>
        <v>#N/A</v>
      </c>
      <c r="P1404" s="75" t="e">
        <f t="shared" si="198"/>
        <v>#DIV/0!</v>
      </c>
      <c r="Q1404" s="3" t="e" cm="1">
        <f t="array" ref="Q1404">_xlfn.IFS(P1404&lt;200, "10", P1404&lt;400, "12", P1404&lt;600, "14", P1404&gt;600, "16")</f>
        <v>#DIV/0!</v>
      </c>
      <c r="R1404" s="75">
        <f t="shared" si="199"/>
        <v>0</v>
      </c>
      <c r="S1404" s="75" t="e">
        <f t="shared" si="200"/>
        <v>#DIV/0!</v>
      </c>
      <c r="U1404" s="306" t="e">
        <f t="shared" si="201"/>
        <v>#DIV/0!</v>
      </c>
    </row>
    <row r="1405" spans="4:21" x14ac:dyDescent="0.35">
      <c r="D1405" s="3"/>
      <c r="G1405" s="3" t="s">
        <v>87</v>
      </c>
      <c r="M1405" s="3"/>
      <c r="N1405" s="356" t="e" cm="1">
        <f t="array" ref="N1405">_xlfn.IFS(I1405="AEX",H1405/400,I1405="RP",H1405/200)</f>
        <v>#N/A</v>
      </c>
      <c r="P1405" s="75" t="e">
        <f t="shared" si="198"/>
        <v>#DIV/0!</v>
      </c>
      <c r="Q1405" s="3" t="e" cm="1">
        <f t="array" ref="Q1405">_xlfn.IFS(P1405&lt;200, "10", P1405&lt;400, "12", P1405&lt;600, "14", P1405&gt;600, "16")</f>
        <v>#DIV/0!</v>
      </c>
      <c r="R1405" s="75">
        <f t="shared" si="199"/>
        <v>0</v>
      </c>
      <c r="S1405" s="75" t="e">
        <f t="shared" si="200"/>
        <v>#DIV/0!</v>
      </c>
      <c r="U1405" s="306" t="e">
        <f t="shared" si="201"/>
        <v>#DIV/0!</v>
      </c>
    </row>
    <row r="1406" spans="4:21" x14ac:dyDescent="0.35">
      <c r="D1406" s="3"/>
      <c r="G1406" s="3" t="s">
        <v>87</v>
      </c>
      <c r="M1406" s="3"/>
      <c r="N1406" s="356" t="e" cm="1">
        <f t="array" ref="N1406">_xlfn.IFS(I1406="AEX",H1406/400,I1406="RP",H1406/200)</f>
        <v>#N/A</v>
      </c>
      <c r="P1406" s="75" t="e">
        <f t="shared" si="198"/>
        <v>#DIV/0!</v>
      </c>
      <c r="Q1406" s="3" t="e" cm="1">
        <f t="array" ref="Q1406">_xlfn.IFS(P1406&lt;200, "10", P1406&lt;400, "12", P1406&lt;600, "14", P1406&gt;600, "16")</f>
        <v>#DIV/0!</v>
      </c>
      <c r="R1406" s="75">
        <f t="shared" si="199"/>
        <v>0</v>
      </c>
      <c r="S1406" s="75" t="e">
        <f t="shared" si="200"/>
        <v>#DIV/0!</v>
      </c>
      <c r="U1406" s="306" t="e">
        <f t="shared" si="201"/>
        <v>#DIV/0!</v>
      </c>
    </row>
    <row r="1407" spans="4:21" x14ac:dyDescent="0.35">
      <c r="D1407" s="3"/>
      <c r="G1407" s="3" t="s">
        <v>87</v>
      </c>
      <c r="M1407" s="3"/>
      <c r="N1407" s="356" t="e" cm="1">
        <f t="array" ref="N1407">_xlfn.IFS(I1407="AEX",H1407/400,I1407="RP",H1407/200)</f>
        <v>#N/A</v>
      </c>
      <c r="P1407" s="75" t="e">
        <f t="shared" si="198"/>
        <v>#DIV/0!</v>
      </c>
      <c r="Q1407" s="3" t="e" cm="1">
        <f t="array" ref="Q1407">_xlfn.IFS(P1407&lt;200, "10", P1407&lt;400, "12", P1407&lt;600, "14", P1407&gt;600, "16")</f>
        <v>#DIV/0!</v>
      </c>
      <c r="R1407" s="75">
        <f t="shared" si="199"/>
        <v>0</v>
      </c>
      <c r="S1407" s="75" t="e">
        <f t="shared" si="200"/>
        <v>#DIV/0!</v>
      </c>
      <c r="U1407" s="306" t="e">
        <f t="shared" si="201"/>
        <v>#DIV/0!</v>
      </c>
    </row>
    <row r="1408" spans="4:21" x14ac:dyDescent="0.35">
      <c r="D1408" s="3"/>
      <c r="G1408" s="3" t="s">
        <v>87</v>
      </c>
      <c r="M1408" s="3"/>
      <c r="N1408" s="356" t="e" cm="1">
        <f t="array" ref="N1408">_xlfn.IFS(I1408="AEX",H1408/400,I1408="RP",H1408/200)</f>
        <v>#N/A</v>
      </c>
      <c r="P1408" s="75" t="e">
        <f t="shared" si="198"/>
        <v>#DIV/0!</v>
      </c>
      <c r="Q1408" s="3" t="e" cm="1">
        <f t="array" ref="Q1408">_xlfn.IFS(P1408&lt;200, "10", P1408&lt;400, "12", P1408&lt;600, "14", P1408&gt;600, "16")</f>
        <v>#DIV/0!</v>
      </c>
      <c r="R1408" s="75">
        <f t="shared" si="199"/>
        <v>0</v>
      </c>
      <c r="S1408" s="75" t="e">
        <f t="shared" si="200"/>
        <v>#DIV/0!</v>
      </c>
      <c r="U1408" s="306" t="e">
        <f t="shared" si="201"/>
        <v>#DIV/0!</v>
      </c>
    </row>
    <row r="1409" spans="4:21" x14ac:dyDescent="0.35">
      <c r="D1409" s="3"/>
      <c r="G1409" s="3" t="s">
        <v>87</v>
      </c>
      <c r="M1409" s="3"/>
      <c r="N1409" s="356" t="e" cm="1">
        <f t="array" ref="N1409">_xlfn.IFS(I1409="AEX",H1409/400,I1409="RP",H1409/200)</f>
        <v>#N/A</v>
      </c>
      <c r="P1409" s="75" t="e">
        <f t="shared" si="198"/>
        <v>#DIV/0!</v>
      </c>
      <c r="Q1409" s="3" t="e" cm="1">
        <f t="array" ref="Q1409">_xlfn.IFS(P1409&lt;200, "10", P1409&lt;400, "12", P1409&lt;600, "14", P1409&gt;600, "16")</f>
        <v>#DIV/0!</v>
      </c>
      <c r="R1409" s="75">
        <f t="shared" si="199"/>
        <v>0</v>
      </c>
      <c r="S1409" s="75" t="e">
        <f t="shared" si="200"/>
        <v>#DIV/0!</v>
      </c>
      <c r="U1409" s="306" t="e">
        <f t="shared" si="201"/>
        <v>#DIV/0!</v>
      </c>
    </row>
    <row r="1410" spans="4:21" x14ac:dyDescent="0.35">
      <c r="D1410" s="3"/>
      <c r="G1410" s="3" t="s">
        <v>87</v>
      </c>
      <c r="M1410" s="3"/>
      <c r="N1410" s="356" t="e" cm="1">
        <f t="array" ref="N1410">_xlfn.IFS(I1410="AEX",H1410/400,I1410="RP",H1410/200)</f>
        <v>#N/A</v>
      </c>
      <c r="P1410" s="75" t="e">
        <f t="shared" si="198"/>
        <v>#DIV/0!</v>
      </c>
      <c r="Q1410" s="3" t="e" cm="1">
        <f t="array" ref="Q1410">_xlfn.IFS(P1410&lt;200, "10", P1410&lt;400, "12", P1410&lt;600, "14", P1410&gt;600, "16")</f>
        <v>#DIV/0!</v>
      </c>
      <c r="R1410" s="75">
        <f t="shared" si="199"/>
        <v>0</v>
      </c>
      <c r="S1410" s="75" t="e">
        <f t="shared" si="200"/>
        <v>#DIV/0!</v>
      </c>
      <c r="U1410" s="306" t="e">
        <f t="shared" si="201"/>
        <v>#DIV/0!</v>
      </c>
    </row>
    <row r="1411" spans="4:21" x14ac:dyDescent="0.35">
      <c r="D1411" s="3"/>
      <c r="G1411" s="3" t="s">
        <v>87</v>
      </c>
      <c r="M1411" s="3"/>
      <c r="N1411" s="356" t="e" cm="1">
        <f t="array" ref="N1411">_xlfn.IFS(I1411="AEX",H1411/400,I1411="RP",H1411/200)</f>
        <v>#N/A</v>
      </c>
      <c r="P1411" s="75" t="e">
        <f t="shared" si="198"/>
        <v>#DIV/0!</v>
      </c>
      <c r="Q1411" s="3" t="e" cm="1">
        <f t="array" ref="Q1411">_xlfn.IFS(P1411&lt;200, "10", P1411&lt;400, "12", P1411&lt;600, "14", P1411&gt;600, "16")</f>
        <v>#DIV/0!</v>
      </c>
      <c r="R1411" s="75">
        <f t="shared" si="199"/>
        <v>0</v>
      </c>
      <c r="S1411" s="75" t="e">
        <f t="shared" si="200"/>
        <v>#DIV/0!</v>
      </c>
      <c r="U1411" s="306" t="e">
        <f t="shared" si="201"/>
        <v>#DIV/0!</v>
      </c>
    </row>
    <row r="1412" spans="4:21" x14ac:dyDescent="0.35">
      <c r="D1412" s="3"/>
      <c r="G1412" s="3" t="s">
        <v>87</v>
      </c>
      <c r="M1412" s="3"/>
      <c r="N1412" s="356" t="e" cm="1">
        <f t="array" ref="N1412">_xlfn.IFS(I1412="AEX",H1412/400,I1412="RP",H1412/200)</f>
        <v>#N/A</v>
      </c>
      <c r="P1412" s="75" t="e">
        <f t="shared" si="198"/>
        <v>#DIV/0!</v>
      </c>
      <c r="Q1412" s="3" t="e" cm="1">
        <f t="array" ref="Q1412">_xlfn.IFS(P1412&lt;200, "10", P1412&lt;400, "12", P1412&lt;600, "14", P1412&gt;600, "16")</f>
        <v>#DIV/0!</v>
      </c>
      <c r="R1412" s="75">
        <f t="shared" si="199"/>
        <v>0</v>
      </c>
      <c r="S1412" s="75" t="e">
        <f t="shared" si="200"/>
        <v>#DIV/0!</v>
      </c>
      <c r="U1412" s="306" t="e">
        <f t="shared" si="201"/>
        <v>#DIV/0!</v>
      </c>
    </row>
    <row r="1413" spans="4:21" x14ac:dyDescent="0.35">
      <c r="D1413" s="3"/>
      <c r="G1413" s="3" t="s">
        <v>87</v>
      </c>
      <c r="M1413" s="3"/>
      <c r="N1413" s="356" t="e" cm="1">
        <f t="array" ref="N1413">_xlfn.IFS(I1413="AEX",H1413/400,I1413="RP",H1413/200)</f>
        <v>#N/A</v>
      </c>
      <c r="P1413" s="75" t="e">
        <f t="shared" si="198"/>
        <v>#DIV/0!</v>
      </c>
      <c r="Q1413" s="3" t="e" cm="1">
        <f t="array" ref="Q1413">_xlfn.IFS(P1413&lt;200, "10", P1413&lt;400, "12", P1413&lt;600, "14", P1413&gt;600, "16")</f>
        <v>#DIV/0!</v>
      </c>
      <c r="R1413" s="75">
        <f t="shared" si="199"/>
        <v>0</v>
      </c>
      <c r="S1413" s="75" t="e">
        <f t="shared" si="200"/>
        <v>#DIV/0!</v>
      </c>
      <c r="U1413" s="306" t="e">
        <f t="shared" si="201"/>
        <v>#DIV/0!</v>
      </c>
    </row>
    <row r="1414" spans="4:21" x14ac:dyDescent="0.35">
      <c r="D1414" s="3"/>
      <c r="G1414" s="3" t="s">
        <v>87</v>
      </c>
      <c r="M1414" s="3"/>
      <c r="N1414" s="356" t="e" cm="1">
        <f t="array" ref="N1414">_xlfn.IFS(I1414="AEX",H1414/400,I1414="RP",H1414/200)</f>
        <v>#N/A</v>
      </c>
      <c r="P1414" s="75" t="e">
        <f t="shared" si="198"/>
        <v>#DIV/0!</v>
      </c>
      <c r="Q1414" s="3" t="e" cm="1">
        <f t="array" ref="Q1414">_xlfn.IFS(P1414&lt;200, "10", P1414&lt;400, "12", P1414&lt;600, "14", P1414&gt;600, "16")</f>
        <v>#DIV/0!</v>
      </c>
      <c r="R1414" s="75">
        <f t="shared" si="199"/>
        <v>0</v>
      </c>
      <c r="S1414" s="75" t="e">
        <f t="shared" si="200"/>
        <v>#DIV/0!</v>
      </c>
      <c r="U1414" s="306" t="e">
        <f t="shared" si="201"/>
        <v>#DIV/0!</v>
      </c>
    </row>
    <row r="1415" spans="4:21" x14ac:dyDescent="0.35">
      <c r="D1415" s="3"/>
      <c r="G1415" s="3" t="s">
        <v>87</v>
      </c>
      <c r="M1415" s="3"/>
      <c r="N1415" s="356" t="e" cm="1">
        <f t="array" ref="N1415">_xlfn.IFS(I1415="AEX",H1415/400,I1415="RP",H1415/200)</f>
        <v>#N/A</v>
      </c>
      <c r="P1415" s="75" t="e">
        <f t="shared" si="198"/>
        <v>#DIV/0!</v>
      </c>
      <c r="Q1415" s="3" t="e" cm="1">
        <f t="array" ref="Q1415">_xlfn.IFS(P1415&lt;200, "10", P1415&lt;400, "12", P1415&lt;600, "14", P1415&gt;600, "16")</f>
        <v>#DIV/0!</v>
      </c>
      <c r="R1415" s="75">
        <f t="shared" si="199"/>
        <v>0</v>
      </c>
      <c r="S1415" s="75" t="e">
        <f t="shared" si="200"/>
        <v>#DIV/0!</v>
      </c>
      <c r="U1415" s="306" t="e">
        <f t="shared" si="201"/>
        <v>#DIV/0!</v>
      </c>
    </row>
    <row r="1416" spans="4:21" x14ac:dyDescent="0.35">
      <c r="D1416" s="3"/>
      <c r="G1416" s="3" t="s">
        <v>87</v>
      </c>
      <c r="M1416" s="3"/>
      <c r="N1416" s="356" t="e" cm="1">
        <f t="array" ref="N1416">_xlfn.IFS(I1416="AEX",H1416/400,I1416="RP",H1416/200)</f>
        <v>#N/A</v>
      </c>
      <c r="P1416" s="75" t="e">
        <f t="shared" si="198"/>
        <v>#DIV/0!</v>
      </c>
      <c r="Q1416" s="3" t="e" cm="1">
        <f t="array" ref="Q1416">_xlfn.IFS(P1416&lt;200, "10", P1416&lt;400, "12", P1416&lt;600, "14", P1416&gt;600, "16")</f>
        <v>#DIV/0!</v>
      </c>
      <c r="R1416" s="75">
        <f t="shared" si="199"/>
        <v>0</v>
      </c>
      <c r="S1416" s="75" t="e">
        <f t="shared" si="200"/>
        <v>#DIV/0!</v>
      </c>
      <c r="U1416" s="306" t="e">
        <f t="shared" si="201"/>
        <v>#DIV/0!</v>
      </c>
    </row>
    <row r="1417" spans="4:21" x14ac:dyDescent="0.35">
      <c r="D1417" s="3"/>
      <c r="G1417" s="3" t="s">
        <v>87</v>
      </c>
      <c r="M1417" s="3"/>
      <c r="N1417" s="356" t="e" cm="1">
        <f t="array" ref="N1417">_xlfn.IFS(I1417="AEX",H1417/400,I1417="RP",H1417/200)</f>
        <v>#N/A</v>
      </c>
      <c r="P1417" s="75" t="e">
        <f t="shared" si="198"/>
        <v>#DIV/0!</v>
      </c>
      <c r="Q1417" s="3" t="e" cm="1">
        <f t="array" ref="Q1417">_xlfn.IFS(P1417&lt;200, "10", P1417&lt;400, "12", P1417&lt;600, "14", P1417&gt;600, "16")</f>
        <v>#DIV/0!</v>
      </c>
      <c r="R1417" s="75">
        <f t="shared" si="199"/>
        <v>0</v>
      </c>
      <c r="S1417" s="75" t="e">
        <f t="shared" si="200"/>
        <v>#DIV/0!</v>
      </c>
      <c r="U1417" s="306" t="e">
        <f t="shared" si="201"/>
        <v>#DIV/0!</v>
      </c>
    </row>
    <row r="1418" spans="4:21" x14ac:dyDescent="0.35">
      <c r="D1418" s="3"/>
      <c r="G1418" s="3" t="s">
        <v>87</v>
      </c>
      <c r="M1418" s="3"/>
      <c r="N1418" s="356" t="e" cm="1">
        <f t="array" ref="N1418">_xlfn.IFS(I1418="AEX",H1418/400,I1418="RP",H1418/200)</f>
        <v>#N/A</v>
      </c>
      <c r="P1418" s="75" t="e">
        <f t="shared" si="198"/>
        <v>#DIV/0!</v>
      </c>
      <c r="Q1418" s="3" t="e" cm="1">
        <f t="array" ref="Q1418">_xlfn.IFS(P1418&lt;200, "10", P1418&lt;400, "12", P1418&lt;600, "14", P1418&gt;600, "16")</f>
        <v>#DIV/0!</v>
      </c>
      <c r="R1418" s="75">
        <f t="shared" si="199"/>
        <v>0</v>
      </c>
      <c r="S1418" s="75" t="e">
        <f t="shared" si="200"/>
        <v>#DIV/0!</v>
      </c>
      <c r="U1418" s="306" t="e">
        <f t="shared" si="201"/>
        <v>#DIV/0!</v>
      </c>
    </row>
    <row r="1419" spans="4:21" x14ac:dyDescent="0.35">
      <c r="D1419" s="3"/>
      <c r="G1419" s="3" t="s">
        <v>87</v>
      </c>
      <c r="M1419" s="3"/>
      <c r="N1419" s="356" t="e" cm="1">
        <f t="array" ref="N1419">_xlfn.IFS(I1419="AEX",H1419/400,I1419="RP",H1419/200)</f>
        <v>#N/A</v>
      </c>
      <c r="P1419" s="75" t="e">
        <f t="shared" si="198"/>
        <v>#DIV/0!</v>
      </c>
      <c r="Q1419" s="3" t="e" cm="1">
        <f t="array" ref="Q1419">_xlfn.IFS(P1419&lt;200, "10", P1419&lt;400, "12", P1419&lt;600, "14", P1419&gt;600, "16")</f>
        <v>#DIV/0!</v>
      </c>
      <c r="R1419" s="75">
        <f t="shared" si="199"/>
        <v>0</v>
      </c>
      <c r="S1419" s="75" t="e">
        <f t="shared" si="200"/>
        <v>#DIV/0!</v>
      </c>
      <c r="U1419" s="306" t="e">
        <f t="shared" si="201"/>
        <v>#DIV/0!</v>
      </c>
    </row>
    <row r="1420" spans="4:21" x14ac:dyDescent="0.35">
      <c r="D1420" s="3"/>
      <c r="G1420" s="3" t="s">
        <v>87</v>
      </c>
      <c r="M1420" s="3"/>
      <c r="N1420" s="356" t="e" cm="1">
        <f t="array" ref="N1420">_xlfn.IFS(I1420="AEX",H1420/400,I1420="RP",H1420/200)</f>
        <v>#N/A</v>
      </c>
      <c r="P1420" s="75" t="e">
        <f t="shared" si="198"/>
        <v>#DIV/0!</v>
      </c>
      <c r="Q1420" s="3" t="e" cm="1">
        <f t="array" ref="Q1420">_xlfn.IFS(P1420&lt;200, "10", P1420&lt;400, "12", P1420&lt;600, "14", P1420&gt;600, "16")</f>
        <v>#DIV/0!</v>
      </c>
      <c r="R1420" s="75">
        <f t="shared" si="199"/>
        <v>0</v>
      </c>
      <c r="S1420" s="75" t="e">
        <f t="shared" si="200"/>
        <v>#DIV/0!</v>
      </c>
      <c r="U1420" s="306" t="e">
        <f t="shared" si="201"/>
        <v>#DIV/0!</v>
      </c>
    </row>
    <row r="1421" spans="4:21" x14ac:dyDescent="0.35">
      <c r="D1421" s="3"/>
      <c r="G1421" s="3" t="s">
        <v>87</v>
      </c>
      <c r="M1421" s="3"/>
      <c r="N1421" s="356" t="e" cm="1">
        <f t="array" ref="N1421">_xlfn.IFS(I1421="AEX",H1421/400,I1421="RP",H1421/200)</f>
        <v>#N/A</v>
      </c>
      <c r="P1421" s="75" t="e">
        <f t="shared" si="198"/>
        <v>#DIV/0!</v>
      </c>
      <c r="Q1421" s="3" t="e" cm="1">
        <f t="array" ref="Q1421">_xlfn.IFS(P1421&lt;200, "10", P1421&lt;400, "12", P1421&lt;600, "14", P1421&gt;600, "16")</f>
        <v>#DIV/0!</v>
      </c>
      <c r="R1421" s="75">
        <f t="shared" si="199"/>
        <v>0</v>
      </c>
      <c r="S1421" s="75" t="e">
        <f t="shared" si="200"/>
        <v>#DIV/0!</v>
      </c>
      <c r="U1421" s="306" t="e">
        <f t="shared" si="201"/>
        <v>#DIV/0!</v>
      </c>
    </row>
    <row r="1422" spans="4:21" x14ac:dyDescent="0.35">
      <c r="D1422" s="3"/>
      <c r="G1422" s="3" t="s">
        <v>87</v>
      </c>
      <c r="M1422" s="3"/>
      <c r="N1422" s="356" t="e" cm="1">
        <f t="array" ref="N1422">_xlfn.IFS(I1422="AEX",H1422/400,I1422="RP",H1422/200)</f>
        <v>#N/A</v>
      </c>
      <c r="P1422" s="75" t="e">
        <f t="shared" si="198"/>
        <v>#DIV/0!</v>
      </c>
      <c r="Q1422" s="3" t="e" cm="1">
        <f t="array" ref="Q1422">_xlfn.IFS(P1422&lt;200, "10", P1422&lt;400, "12", P1422&lt;600, "14", P1422&gt;600, "16")</f>
        <v>#DIV/0!</v>
      </c>
      <c r="R1422" s="75">
        <f t="shared" si="199"/>
        <v>0</v>
      </c>
      <c r="S1422" s="75" t="e">
        <f t="shared" si="200"/>
        <v>#DIV/0!</v>
      </c>
      <c r="U1422" s="306" t="e">
        <f t="shared" si="201"/>
        <v>#DIV/0!</v>
      </c>
    </row>
    <row r="1423" spans="4:21" x14ac:dyDescent="0.35">
      <c r="D1423" s="3"/>
      <c r="G1423" s="3" t="s">
        <v>87</v>
      </c>
      <c r="M1423" s="3"/>
      <c r="N1423" s="356" t="e" cm="1">
        <f t="array" ref="N1423">_xlfn.IFS(I1423="AEX",H1423/400,I1423="RP",H1423/200)</f>
        <v>#N/A</v>
      </c>
      <c r="P1423" s="75" t="e">
        <f t="shared" si="198"/>
        <v>#DIV/0!</v>
      </c>
      <c r="Q1423" s="3" t="e" cm="1">
        <f t="array" ref="Q1423">_xlfn.IFS(P1423&lt;200, "10", P1423&lt;400, "12", P1423&lt;600, "14", P1423&gt;600, "16")</f>
        <v>#DIV/0!</v>
      </c>
      <c r="R1423" s="75">
        <f t="shared" si="199"/>
        <v>0</v>
      </c>
      <c r="S1423" s="75" t="e">
        <f t="shared" si="200"/>
        <v>#DIV/0!</v>
      </c>
      <c r="U1423" s="306" t="e">
        <f t="shared" si="201"/>
        <v>#DIV/0!</v>
      </c>
    </row>
    <row r="1424" spans="4:21" x14ac:dyDescent="0.35">
      <c r="D1424" s="3"/>
      <c r="G1424" s="3" t="s">
        <v>87</v>
      </c>
      <c r="M1424" s="3"/>
      <c r="N1424" s="356" t="e" cm="1">
        <f t="array" ref="N1424">_xlfn.IFS(I1424="AEX",H1424/400,I1424="RP",H1424/200)</f>
        <v>#N/A</v>
      </c>
      <c r="P1424" s="75" t="e">
        <f t="shared" si="198"/>
        <v>#DIV/0!</v>
      </c>
      <c r="Q1424" s="3" t="e" cm="1">
        <f t="array" ref="Q1424">_xlfn.IFS(P1424&lt;200, "10", P1424&lt;400, "12", P1424&lt;600, "14", P1424&gt;600, "16")</f>
        <v>#DIV/0!</v>
      </c>
      <c r="R1424" s="75">
        <f t="shared" si="199"/>
        <v>0</v>
      </c>
      <c r="S1424" s="75" t="e">
        <f t="shared" si="200"/>
        <v>#DIV/0!</v>
      </c>
      <c r="U1424" s="306" t="e">
        <f t="shared" si="201"/>
        <v>#DIV/0!</v>
      </c>
    </row>
    <row r="1425" spans="4:21" x14ac:dyDescent="0.35">
      <c r="D1425" s="3"/>
      <c r="G1425" s="3" t="s">
        <v>87</v>
      </c>
      <c r="M1425" s="3"/>
      <c r="N1425" s="356" t="e" cm="1">
        <f t="array" ref="N1425">_xlfn.IFS(I1425="AEX",H1425/400,I1425="RP",H1425/200)</f>
        <v>#N/A</v>
      </c>
      <c r="P1425" s="75" t="e">
        <f t="shared" si="198"/>
        <v>#DIV/0!</v>
      </c>
      <c r="Q1425" s="3" t="e" cm="1">
        <f t="array" ref="Q1425">_xlfn.IFS(P1425&lt;200, "10", P1425&lt;400, "12", P1425&lt;600, "14", P1425&gt;600, "16")</f>
        <v>#DIV/0!</v>
      </c>
      <c r="R1425" s="75">
        <f t="shared" si="199"/>
        <v>0</v>
      </c>
      <c r="S1425" s="75" t="e">
        <f t="shared" si="200"/>
        <v>#DIV/0!</v>
      </c>
      <c r="U1425" s="306" t="e">
        <f t="shared" si="201"/>
        <v>#DIV/0!</v>
      </c>
    </row>
    <row r="1426" spans="4:21" x14ac:dyDescent="0.35">
      <c r="D1426" s="3"/>
      <c r="G1426" s="3" t="s">
        <v>87</v>
      </c>
      <c r="M1426" s="3"/>
      <c r="N1426" s="356" t="e" cm="1">
        <f t="array" ref="N1426">_xlfn.IFS(I1426="AEX",H1426/400,I1426="RP",H1426/200)</f>
        <v>#N/A</v>
      </c>
      <c r="P1426" s="75" t="e">
        <f t="shared" si="198"/>
        <v>#DIV/0!</v>
      </c>
      <c r="Q1426" s="3" t="e" cm="1">
        <f t="array" ref="Q1426">_xlfn.IFS(P1426&lt;200, "10", P1426&lt;400, "12", P1426&lt;600, "14", P1426&gt;600, "16")</f>
        <v>#DIV/0!</v>
      </c>
      <c r="R1426" s="75">
        <f t="shared" si="199"/>
        <v>0</v>
      </c>
      <c r="S1426" s="75" t="e">
        <f t="shared" si="200"/>
        <v>#DIV/0!</v>
      </c>
      <c r="U1426" s="306" t="e">
        <f t="shared" si="201"/>
        <v>#DIV/0!</v>
      </c>
    </row>
    <row r="1427" spans="4:21" x14ac:dyDescent="0.35">
      <c r="D1427" s="3"/>
      <c r="G1427" s="3" t="s">
        <v>87</v>
      </c>
      <c r="M1427" s="3"/>
      <c r="N1427" s="356" t="e" cm="1">
        <f t="array" ref="N1427">_xlfn.IFS(I1427="AEX",H1427/400,I1427="RP",H1427/200)</f>
        <v>#N/A</v>
      </c>
      <c r="P1427" s="75" t="e">
        <f t="shared" si="198"/>
        <v>#DIV/0!</v>
      </c>
      <c r="Q1427" s="3" t="e" cm="1">
        <f t="array" ref="Q1427">_xlfn.IFS(P1427&lt;200, "10", P1427&lt;400, "12", P1427&lt;600, "14", P1427&gt;600, "16")</f>
        <v>#DIV/0!</v>
      </c>
      <c r="R1427" s="75">
        <f t="shared" si="199"/>
        <v>0</v>
      </c>
      <c r="S1427" s="75" t="e">
        <f t="shared" si="200"/>
        <v>#DIV/0!</v>
      </c>
      <c r="U1427" s="306" t="e">
        <f t="shared" si="201"/>
        <v>#DIV/0!</v>
      </c>
    </row>
    <row r="1428" spans="4:21" x14ac:dyDescent="0.35">
      <c r="D1428" s="3"/>
      <c r="G1428" s="3" t="s">
        <v>87</v>
      </c>
      <c r="M1428" s="3"/>
      <c r="N1428" s="356" t="e" cm="1">
        <f t="array" ref="N1428">_xlfn.IFS(I1428="AEX",H1428/400,I1428="RP",H1428/200)</f>
        <v>#N/A</v>
      </c>
      <c r="P1428" s="75" t="e">
        <f t="shared" si="198"/>
        <v>#DIV/0!</v>
      </c>
      <c r="Q1428" s="3" t="e" cm="1">
        <f t="array" ref="Q1428">_xlfn.IFS(P1428&lt;200, "10", P1428&lt;400, "12", P1428&lt;600, "14", P1428&gt;600, "16")</f>
        <v>#DIV/0!</v>
      </c>
      <c r="R1428" s="75">
        <f t="shared" si="199"/>
        <v>0</v>
      </c>
      <c r="S1428" s="75" t="e">
        <f t="shared" si="200"/>
        <v>#DIV/0!</v>
      </c>
      <c r="U1428" s="306" t="e">
        <f t="shared" si="201"/>
        <v>#DIV/0!</v>
      </c>
    </row>
    <row r="1429" spans="4:21" x14ac:dyDescent="0.35">
      <c r="D1429" s="3"/>
      <c r="G1429" s="3" t="s">
        <v>87</v>
      </c>
      <c r="M1429" s="3"/>
      <c r="N1429" s="356" t="e" cm="1">
        <f t="array" ref="N1429">_xlfn.IFS(I1429="AEX",H1429/400,I1429="RP",H1429/200)</f>
        <v>#N/A</v>
      </c>
      <c r="P1429" s="75" t="e">
        <f t="shared" si="198"/>
        <v>#DIV/0!</v>
      </c>
      <c r="Q1429" s="3" t="e" cm="1">
        <f t="array" ref="Q1429">_xlfn.IFS(P1429&lt;200, "10", P1429&lt;400, "12", P1429&lt;600, "14", P1429&gt;600, "16")</f>
        <v>#DIV/0!</v>
      </c>
      <c r="R1429" s="75">
        <f t="shared" si="199"/>
        <v>0</v>
      </c>
      <c r="S1429" s="75" t="e">
        <f t="shared" si="200"/>
        <v>#DIV/0!</v>
      </c>
      <c r="U1429" s="306" t="e">
        <f t="shared" si="201"/>
        <v>#DIV/0!</v>
      </c>
    </row>
    <row r="1430" spans="4:21" x14ac:dyDescent="0.35">
      <c r="D1430" s="3"/>
      <c r="G1430" s="3" t="s">
        <v>87</v>
      </c>
      <c r="M1430" s="3"/>
      <c r="N1430" s="356" t="e" cm="1">
        <f t="array" ref="N1430">_xlfn.IFS(I1430="AEX",H1430/400,I1430="RP",H1430/200)</f>
        <v>#N/A</v>
      </c>
      <c r="P1430" s="75" t="e">
        <f t="shared" si="198"/>
        <v>#DIV/0!</v>
      </c>
      <c r="Q1430" s="3" t="e" cm="1">
        <f t="array" ref="Q1430">_xlfn.IFS(P1430&lt;200, "10", P1430&lt;400, "12", P1430&lt;600, "14", P1430&gt;600, "16")</f>
        <v>#DIV/0!</v>
      </c>
      <c r="R1430" s="75">
        <f t="shared" si="199"/>
        <v>0</v>
      </c>
      <c r="S1430" s="75" t="e">
        <f t="shared" si="200"/>
        <v>#DIV/0!</v>
      </c>
      <c r="U1430" s="306" t="e">
        <f t="shared" si="201"/>
        <v>#DIV/0!</v>
      </c>
    </row>
    <row r="1431" spans="4:21" x14ac:dyDescent="0.35">
      <c r="D1431" s="3"/>
      <c r="G1431" s="3" t="s">
        <v>87</v>
      </c>
      <c r="M1431" s="3"/>
      <c r="N1431" s="356" t="e" cm="1">
        <f t="array" ref="N1431">_xlfn.IFS(I1431="AEX",H1431/400,I1431="RP",H1431/200)</f>
        <v>#N/A</v>
      </c>
      <c r="P1431" s="75" t="e">
        <f t="shared" si="198"/>
        <v>#DIV/0!</v>
      </c>
      <c r="Q1431" s="3" t="e" cm="1">
        <f t="array" ref="Q1431">_xlfn.IFS(P1431&lt;200, "10", P1431&lt;400, "12", P1431&lt;600, "14", P1431&gt;600, "16")</f>
        <v>#DIV/0!</v>
      </c>
      <c r="R1431" s="75">
        <f t="shared" si="199"/>
        <v>0</v>
      </c>
      <c r="S1431" s="75" t="e">
        <f t="shared" si="200"/>
        <v>#DIV/0!</v>
      </c>
      <c r="U1431" s="306" t="e">
        <f t="shared" si="201"/>
        <v>#DIV/0!</v>
      </c>
    </row>
    <row r="1432" spans="4:21" x14ac:dyDescent="0.35">
      <c r="D1432" s="3"/>
      <c r="G1432" s="3" t="s">
        <v>87</v>
      </c>
      <c r="M1432" s="3"/>
      <c r="N1432" s="356" t="e" cm="1">
        <f t="array" ref="N1432">_xlfn.IFS(I1432="AEX",H1432/400,I1432="RP",H1432/200)</f>
        <v>#N/A</v>
      </c>
      <c r="P1432" s="75" t="e">
        <f t="shared" si="198"/>
        <v>#DIV/0!</v>
      </c>
      <c r="Q1432" s="3" t="e" cm="1">
        <f t="array" ref="Q1432">_xlfn.IFS(P1432&lt;200, "10", P1432&lt;400, "12", P1432&lt;600, "14", P1432&gt;600, "16")</f>
        <v>#DIV/0!</v>
      </c>
      <c r="R1432" s="75">
        <f t="shared" si="199"/>
        <v>0</v>
      </c>
      <c r="S1432" s="75" t="e">
        <f t="shared" si="200"/>
        <v>#DIV/0!</v>
      </c>
      <c r="U1432" s="306" t="e">
        <f t="shared" si="201"/>
        <v>#DIV/0!</v>
      </c>
    </row>
    <row r="1433" spans="4:21" x14ac:dyDescent="0.35">
      <c r="D1433" s="3"/>
      <c r="G1433" s="3" t="s">
        <v>87</v>
      </c>
      <c r="M1433" s="3"/>
      <c r="N1433" s="356" t="e" cm="1">
        <f t="array" ref="N1433">_xlfn.IFS(I1433="AEX",H1433/400,I1433="RP",H1433/200)</f>
        <v>#N/A</v>
      </c>
      <c r="P1433" s="75" t="e">
        <f t="shared" si="198"/>
        <v>#DIV/0!</v>
      </c>
      <c r="Q1433" s="3" t="e" cm="1">
        <f t="array" ref="Q1433">_xlfn.IFS(P1433&lt;200, "10", P1433&lt;400, "12", P1433&lt;600, "14", P1433&gt;600, "16")</f>
        <v>#DIV/0!</v>
      </c>
      <c r="R1433" s="75">
        <f t="shared" si="199"/>
        <v>0</v>
      </c>
      <c r="S1433" s="75" t="e">
        <f t="shared" si="200"/>
        <v>#DIV/0!</v>
      </c>
      <c r="U1433" s="306" t="e">
        <f t="shared" si="201"/>
        <v>#DIV/0!</v>
      </c>
    </row>
    <row r="1434" spans="4:21" x14ac:dyDescent="0.35">
      <c r="D1434" s="3"/>
      <c r="G1434" s="3" t="s">
        <v>87</v>
      </c>
      <c r="M1434" s="3"/>
      <c r="N1434" s="356" t="e" cm="1">
        <f t="array" ref="N1434">_xlfn.IFS(I1434="AEX",H1434/400,I1434="RP",H1434/200)</f>
        <v>#N/A</v>
      </c>
      <c r="P1434" s="75" t="e">
        <f t="shared" si="198"/>
        <v>#DIV/0!</v>
      </c>
      <c r="Q1434" s="3" t="e" cm="1">
        <f t="array" ref="Q1434">_xlfn.IFS(P1434&lt;200, "10", P1434&lt;400, "12", P1434&lt;600, "14", P1434&gt;600, "16")</f>
        <v>#DIV/0!</v>
      </c>
      <c r="R1434" s="75">
        <f t="shared" si="199"/>
        <v>0</v>
      </c>
      <c r="S1434" s="75" t="e">
        <f t="shared" si="200"/>
        <v>#DIV/0!</v>
      </c>
      <c r="U1434" s="306" t="e">
        <f t="shared" si="201"/>
        <v>#DIV/0!</v>
      </c>
    </row>
    <row r="1435" spans="4:21" x14ac:dyDescent="0.35">
      <c r="D1435" s="3"/>
      <c r="G1435" s="3" t="s">
        <v>87</v>
      </c>
      <c r="M1435" s="3"/>
      <c r="N1435" s="356" t="e" cm="1">
        <f t="array" ref="N1435">_xlfn.IFS(I1435="AEX",H1435/400,I1435="RP",H1435/200)</f>
        <v>#N/A</v>
      </c>
      <c r="P1435" s="75" t="e">
        <f t="shared" si="198"/>
        <v>#DIV/0!</v>
      </c>
      <c r="Q1435" s="3" t="e" cm="1">
        <f t="array" ref="Q1435">_xlfn.IFS(P1435&lt;200, "10", P1435&lt;400, "12", P1435&lt;600, "14", P1435&gt;600, "16")</f>
        <v>#DIV/0!</v>
      </c>
      <c r="R1435" s="75">
        <f t="shared" si="199"/>
        <v>0</v>
      </c>
      <c r="S1435" s="75" t="e">
        <f t="shared" si="200"/>
        <v>#DIV/0!</v>
      </c>
      <c r="U1435" s="306" t="e">
        <f t="shared" si="201"/>
        <v>#DIV/0!</v>
      </c>
    </row>
    <row r="1436" spans="4:21" x14ac:dyDescent="0.35">
      <c r="D1436" s="3"/>
      <c r="G1436" s="3" t="s">
        <v>87</v>
      </c>
      <c r="M1436" s="3"/>
      <c r="N1436" s="356" t="e" cm="1">
        <f t="array" ref="N1436">_xlfn.IFS(I1436="AEX",H1436/400,I1436="RP",H1436/200)</f>
        <v>#N/A</v>
      </c>
      <c r="P1436" s="75" t="e">
        <f t="shared" si="198"/>
        <v>#DIV/0!</v>
      </c>
      <c r="Q1436" s="3" t="e" cm="1">
        <f t="array" ref="Q1436">_xlfn.IFS(P1436&lt;200, "10", P1436&lt;400, "12", P1436&lt;600, "14", P1436&gt;600, "16")</f>
        <v>#DIV/0!</v>
      </c>
      <c r="R1436" s="75">
        <f t="shared" si="199"/>
        <v>0</v>
      </c>
      <c r="S1436" s="75" t="e">
        <f t="shared" si="200"/>
        <v>#DIV/0!</v>
      </c>
      <c r="U1436" s="306" t="e">
        <f t="shared" si="201"/>
        <v>#DIV/0!</v>
      </c>
    </row>
    <row r="1437" spans="4:21" x14ac:dyDescent="0.35">
      <c r="D1437" s="3"/>
      <c r="G1437" s="3" t="s">
        <v>87</v>
      </c>
      <c r="M1437" s="3"/>
      <c r="N1437" s="356" t="e" cm="1">
        <f t="array" ref="N1437">_xlfn.IFS(I1437="AEX",H1437/400,I1437="RP",H1437/200)</f>
        <v>#N/A</v>
      </c>
      <c r="P1437" s="75" t="e">
        <f t="shared" si="198"/>
        <v>#DIV/0!</v>
      </c>
      <c r="Q1437" s="3" t="e" cm="1">
        <f t="array" ref="Q1437">_xlfn.IFS(P1437&lt;200, "10", P1437&lt;400, "12", P1437&lt;600, "14", P1437&gt;600, "16")</f>
        <v>#DIV/0!</v>
      </c>
      <c r="R1437" s="75">
        <f t="shared" si="199"/>
        <v>0</v>
      </c>
      <c r="S1437" s="75" t="e">
        <f t="shared" si="200"/>
        <v>#DIV/0!</v>
      </c>
      <c r="U1437" s="306" t="e">
        <f t="shared" si="201"/>
        <v>#DIV/0!</v>
      </c>
    </row>
    <row r="1438" spans="4:21" x14ac:dyDescent="0.35">
      <c r="D1438" s="3"/>
      <c r="G1438" s="3" t="s">
        <v>87</v>
      </c>
      <c r="M1438" s="3"/>
      <c r="N1438" s="356" t="e" cm="1">
        <f t="array" ref="N1438">_xlfn.IFS(I1438="AEX",H1438/400,I1438="RP",H1438/200)</f>
        <v>#N/A</v>
      </c>
      <c r="P1438" s="75" t="e">
        <f t="shared" si="198"/>
        <v>#DIV/0!</v>
      </c>
      <c r="Q1438" s="3" t="e" cm="1">
        <f t="array" ref="Q1438">_xlfn.IFS(P1438&lt;200, "10", P1438&lt;400, "12", P1438&lt;600, "14", P1438&gt;600, "16")</f>
        <v>#DIV/0!</v>
      </c>
      <c r="R1438" s="75">
        <f t="shared" si="199"/>
        <v>0</v>
      </c>
      <c r="S1438" s="75" t="e">
        <f t="shared" si="200"/>
        <v>#DIV/0!</v>
      </c>
      <c r="U1438" s="306" t="e">
        <f t="shared" si="201"/>
        <v>#DIV/0!</v>
      </c>
    </row>
    <row r="1439" spans="4:21" x14ac:dyDescent="0.35">
      <c r="D1439" s="3"/>
      <c r="G1439" s="3" t="s">
        <v>87</v>
      </c>
      <c r="M1439" s="3"/>
      <c r="N1439" s="356" t="e" cm="1">
        <f t="array" ref="N1439">_xlfn.IFS(I1439="AEX",H1439/400,I1439="RP",H1439/200)</f>
        <v>#N/A</v>
      </c>
      <c r="P1439" s="75" t="e">
        <f t="shared" si="198"/>
        <v>#DIV/0!</v>
      </c>
      <c r="Q1439" s="3" t="e" cm="1">
        <f t="array" ref="Q1439">_xlfn.IFS(P1439&lt;200, "10", P1439&lt;400, "12", P1439&lt;600, "14", P1439&gt;600, "16")</f>
        <v>#DIV/0!</v>
      </c>
      <c r="R1439" s="75">
        <f t="shared" si="199"/>
        <v>0</v>
      </c>
      <c r="S1439" s="75" t="e">
        <f t="shared" si="200"/>
        <v>#DIV/0!</v>
      </c>
      <c r="U1439" s="306" t="e">
        <f t="shared" si="201"/>
        <v>#DIV/0!</v>
      </c>
    </row>
    <row r="1440" spans="4:21" x14ac:dyDescent="0.35">
      <c r="D1440" s="3"/>
      <c r="G1440" s="3" t="s">
        <v>87</v>
      </c>
      <c r="M1440" s="3"/>
      <c r="N1440" s="356" t="e" cm="1">
        <f t="array" ref="N1440">_xlfn.IFS(I1440="AEX",H1440/400,I1440="RP",H1440/200)</f>
        <v>#N/A</v>
      </c>
      <c r="P1440" s="75" t="e">
        <f t="shared" si="198"/>
        <v>#DIV/0!</v>
      </c>
      <c r="Q1440" s="3" t="e" cm="1">
        <f t="array" ref="Q1440">_xlfn.IFS(P1440&lt;200, "10", P1440&lt;400, "12", P1440&lt;600, "14", P1440&gt;600, "16")</f>
        <v>#DIV/0!</v>
      </c>
      <c r="R1440" s="75">
        <f t="shared" si="199"/>
        <v>0</v>
      </c>
      <c r="S1440" s="75" t="e">
        <f t="shared" si="200"/>
        <v>#DIV/0!</v>
      </c>
      <c r="U1440" s="306" t="e">
        <f t="shared" si="201"/>
        <v>#DIV/0!</v>
      </c>
    </row>
    <row r="1441" spans="4:21" x14ac:dyDescent="0.35">
      <c r="D1441" s="3"/>
      <c r="G1441" s="3" t="s">
        <v>87</v>
      </c>
      <c r="M1441" s="3"/>
      <c r="N1441" s="356" t="e" cm="1">
        <f t="array" ref="N1441">_xlfn.IFS(I1441="AEX",H1441/400,I1441="RP",H1441/200)</f>
        <v>#N/A</v>
      </c>
      <c r="P1441" s="75" t="e">
        <f t="shared" si="198"/>
        <v>#DIV/0!</v>
      </c>
      <c r="Q1441" s="3" t="e" cm="1">
        <f t="array" ref="Q1441">_xlfn.IFS(P1441&lt;200, "10", P1441&lt;400, "12", P1441&lt;600, "14", P1441&gt;600, "16")</f>
        <v>#DIV/0!</v>
      </c>
      <c r="R1441" s="75">
        <f t="shared" si="199"/>
        <v>0</v>
      </c>
      <c r="S1441" s="75" t="e">
        <f t="shared" si="200"/>
        <v>#DIV/0!</v>
      </c>
      <c r="U1441" s="306" t="e">
        <f t="shared" si="201"/>
        <v>#DIV/0!</v>
      </c>
    </row>
    <row r="1442" spans="4:21" x14ac:dyDescent="0.35">
      <c r="D1442" s="3"/>
      <c r="G1442" s="3" t="s">
        <v>87</v>
      </c>
      <c r="M1442" s="3"/>
      <c r="N1442" s="356" t="e" cm="1">
        <f t="array" ref="N1442">_xlfn.IFS(I1442="AEX",H1442/400,I1442="RP",H1442/200)</f>
        <v>#N/A</v>
      </c>
      <c r="P1442" s="75" t="e">
        <f t="shared" si="198"/>
        <v>#DIV/0!</v>
      </c>
      <c r="Q1442" s="3" t="e" cm="1">
        <f t="array" ref="Q1442">_xlfn.IFS(P1442&lt;200, "10", P1442&lt;400, "12", P1442&lt;600, "14", P1442&gt;600, "16")</f>
        <v>#DIV/0!</v>
      </c>
      <c r="R1442" s="75">
        <f t="shared" si="199"/>
        <v>0</v>
      </c>
      <c r="S1442" s="75" t="e">
        <f t="shared" si="200"/>
        <v>#DIV/0!</v>
      </c>
      <c r="U1442" s="306" t="e">
        <f t="shared" si="201"/>
        <v>#DIV/0!</v>
      </c>
    </row>
    <row r="1443" spans="4:21" x14ac:dyDescent="0.35">
      <c r="D1443" s="3"/>
      <c r="G1443" s="3" t="s">
        <v>87</v>
      </c>
      <c r="M1443" s="3"/>
      <c r="N1443" s="356" t="e" cm="1">
        <f t="array" ref="N1443">_xlfn.IFS(I1443="AEX",H1443/400,I1443="RP",H1443/200)</f>
        <v>#N/A</v>
      </c>
      <c r="P1443" s="75" t="e">
        <f t="shared" si="198"/>
        <v>#DIV/0!</v>
      </c>
      <c r="Q1443" s="3" t="e" cm="1">
        <f t="array" ref="Q1443">_xlfn.IFS(P1443&lt;200, "10", P1443&lt;400, "12", P1443&lt;600, "14", P1443&gt;600, "16")</f>
        <v>#DIV/0!</v>
      </c>
      <c r="R1443" s="75">
        <f t="shared" si="199"/>
        <v>0</v>
      </c>
      <c r="S1443" s="75" t="e">
        <f t="shared" si="200"/>
        <v>#DIV/0!</v>
      </c>
      <c r="U1443" s="306" t="e">
        <f t="shared" si="201"/>
        <v>#DIV/0!</v>
      </c>
    </row>
    <row r="1444" spans="4:21" x14ac:dyDescent="0.35">
      <c r="D1444" s="3"/>
      <c r="G1444" s="3" t="s">
        <v>87</v>
      </c>
      <c r="M1444" s="3"/>
      <c r="N1444" s="356" t="e" cm="1">
        <f t="array" ref="N1444">_xlfn.IFS(I1444="AEX",H1444/400,I1444="RP",H1444/200)</f>
        <v>#N/A</v>
      </c>
      <c r="P1444" s="75" t="e">
        <f t="shared" si="198"/>
        <v>#DIV/0!</v>
      </c>
      <c r="Q1444" s="3" t="e" cm="1">
        <f t="array" ref="Q1444">_xlfn.IFS(P1444&lt;200, "10", P1444&lt;400, "12", P1444&lt;600, "14", P1444&gt;600, "16")</f>
        <v>#DIV/0!</v>
      </c>
      <c r="R1444" s="75">
        <f t="shared" si="199"/>
        <v>0</v>
      </c>
      <c r="S1444" s="75" t="e">
        <f t="shared" si="200"/>
        <v>#DIV/0!</v>
      </c>
      <c r="U1444" s="306" t="e">
        <f t="shared" si="201"/>
        <v>#DIV/0!</v>
      </c>
    </row>
    <row r="1445" spans="4:21" x14ac:dyDescent="0.35">
      <c r="D1445" s="3"/>
      <c r="G1445" s="3" t="s">
        <v>87</v>
      </c>
      <c r="M1445" s="3"/>
      <c r="N1445" s="356" t="e" cm="1">
        <f t="array" ref="N1445">_xlfn.IFS(I1445="AEX",H1445/400,I1445="RP",H1445/200)</f>
        <v>#N/A</v>
      </c>
      <c r="P1445" s="75" t="e">
        <f t="shared" si="198"/>
        <v>#DIV/0!</v>
      </c>
      <c r="Q1445" s="3" t="e" cm="1">
        <f t="array" ref="Q1445">_xlfn.IFS(P1445&lt;200, "10", P1445&lt;400, "12", P1445&lt;600, "14", P1445&gt;600, "16")</f>
        <v>#DIV/0!</v>
      </c>
      <c r="R1445" s="75">
        <f t="shared" si="199"/>
        <v>0</v>
      </c>
      <c r="S1445" s="75" t="e">
        <f t="shared" si="200"/>
        <v>#DIV/0!</v>
      </c>
      <c r="U1445" s="306" t="e">
        <f t="shared" si="201"/>
        <v>#DIV/0!</v>
      </c>
    </row>
    <row r="1446" spans="4:21" x14ac:dyDescent="0.35">
      <c r="D1446" s="3"/>
      <c r="G1446" s="3" t="s">
        <v>87</v>
      </c>
      <c r="M1446" s="3"/>
      <c r="N1446" s="356" t="e" cm="1">
        <f t="array" ref="N1446">_xlfn.IFS(I1446="AEX",H1446/400,I1446="RP",H1446/200)</f>
        <v>#N/A</v>
      </c>
      <c r="P1446" s="75" t="e">
        <f t="shared" si="198"/>
        <v>#DIV/0!</v>
      </c>
      <c r="Q1446" s="3" t="e" cm="1">
        <f t="array" ref="Q1446">_xlfn.IFS(P1446&lt;200, "10", P1446&lt;400, "12", P1446&lt;600, "14", P1446&gt;600, "16")</f>
        <v>#DIV/0!</v>
      </c>
      <c r="R1446" s="75">
        <f t="shared" si="199"/>
        <v>0</v>
      </c>
      <c r="S1446" s="75" t="e">
        <f t="shared" si="200"/>
        <v>#DIV/0!</v>
      </c>
      <c r="U1446" s="306" t="e">
        <f t="shared" si="201"/>
        <v>#DIV/0!</v>
      </c>
    </row>
    <row r="1447" spans="4:21" x14ac:dyDescent="0.35">
      <c r="D1447" s="3"/>
      <c r="G1447" s="3" t="s">
        <v>87</v>
      </c>
      <c r="M1447" s="3"/>
      <c r="N1447" s="356" t="e" cm="1">
        <f t="array" ref="N1447">_xlfn.IFS(I1447="AEX",H1447/400,I1447="RP",H1447/200)</f>
        <v>#N/A</v>
      </c>
      <c r="P1447" s="75" t="e">
        <f t="shared" si="198"/>
        <v>#DIV/0!</v>
      </c>
      <c r="Q1447" s="3" t="e" cm="1">
        <f t="array" ref="Q1447">_xlfn.IFS(P1447&lt;200, "10", P1447&lt;400, "12", P1447&lt;600, "14", P1447&gt;600, "16")</f>
        <v>#DIV/0!</v>
      </c>
      <c r="R1447" s="75">
        <f t="shared" si="199"/>
        <v>0</v>
      </c>
      <c r="S1447" s="75" t="e">
        <f t="shared" si="200"/>
        <v>#DIV/0!</v>
      </c>
      <c r="U1447" s="306" t="e">
        <f t="shared" si="201"/>
        <v>#DIV/0!</v>
      </c>
    </row>
    <row r="1448" spans="4:21" x14ac:dyDescent="0.35">
      <c r="D1448" s="3"/>
      <c r="G1448" s="3" t="s">
        <v>87</v>
      </c>
      <c r="M1448" s="3"/>
      <c r="N1448" s="356" t="e" cm="1">
        <f t="array" ref="N1448">_xlfn.IFS(I1448="AEX",H1448/400,I1448="RP",H1448/200)</f>
        <v>#N/A</v>
      </c>
      <c r="P1448" s="75" t="e">
        <f t="shared" si="198"/>
        <v>#DIV/0!</v>
      </c>
      <c r="Q1448" s="3" t="e" cm="1">
        <f t="array" ref="Q1448">_xlfn.IFS(P1448&lt;200, "10", P1448&lt;400, "12", P1448&lt;600, "14", P1448&gt;600, "16")</f>
        <v>#DIV/0!</v>
      </c>
      <c r="R1448" s="75">
        <f t="shared" si="199"/>
        <v>0</v>
      </c>
      <c r="S1448" s="75" t="e">
        <f t="shared" si="200"/>
        <v>#DIV/0!</v>
      </c>
      <c r="U1448" s="306" t="e">
        <f t="shared" si="201"/>
        <v>#DIV/0!</v>
      </c>
    </row>
    <row r="1449" spans="4:21" x14ac:dyDescent="0.35">
      <c r="D1449" s="3"/>
      <c r="G1449" s="3" t="s">
        <v>87</v>
      </c>
      <c r="M1449" s="3"/>
      <c r="N1449" s="356" t="e" cm="1">
        <f t="array" ref="N1449">_xlfn.IFS(I1449="AEX",H1449/400,I1449="RP",H1449/200)</f>
        <v>#N/A</v>
      </c>
      <c r="P1449" s="75" t="e">
        <f t="shared" si="198"/>
        <v>#DIV/0!</v>
      </c>
      <c r="Q1449" s="3" t="e" cm="1">
        <f t="array" ref="Q1449">_xlfn.IFS(P1449&lt;200, "10", P1449&lt;400, "12", P1449&lt;600, "14", P1449&gt;600, "16")</f>
        <v>#DIV/0!</v>
      </c>
      <c r="R1449" s="75">
        <f t="shared" si="199"/>
        <v>0</v>
      </c>
      <c r="S1449" s="75" t="e">
        <f t="shared" si="200"/>
        <v>#DIV/0!</v>
      </c>
      <c r="U1449" s="306" t="e">
        <f t="shared" si="201"/>
        <v>#DIV/0!</v>
      </c>
    </row>
    <row r="1450" spans="4:21" x14ac:dyDescent="0.35">
      <c r="D1450" s="3"/>
      <c r="G1450" s="3" t="s">
        <v>87</v>
      </c>
      <c r="M1450" s="3"/>
      <c r="N1450" s="356" t="e" cm="1">
        <f t="array" ref="N1450">_xlfn.IFS(I1450="AEX",H1450/400,I1450="RP",H1450/200)</f>
        <v>#N/A</v>
      </c>
      <c r="P1450" s="75" t="e">
        <f t="shared" si="198"/>
        <v>#DIV/0!</v>
      </c>
      <c r="Q1450" s="3" t="e" cm="1">
        <f t="array" ref="Q1450">_xlfn.IFS(P1450&lt;200, "10", P1450&lt;400, "12", P1450&lt;600, "14", P1450&gt;600, "16")</f>
        <v>#DIV/0!</v>
      </c>
      <c r="R1450" s="75">
        <f t="shared" si="199"/>
        <v>0</v>
      </c>
      <c r="S1450" s="75" t="e">
        <f t="shared" si="200"/>
        <v>#DIV/0!</v>
      </c>
      <c r="U1450" s="306" t="e">
        <f t="shared" si="201"/>
        <v>#DIV/0!</v>
      </c>
    </row>
    <row r="1451" spans="4:21" x14ac:dyDescent="0.35">
      <c r="D1451" s="3"/>
      <c r="G1451" s="3" t="s">
        <v>87</v>
      </c>
      <c r="M1451" s="3"/>
      <c r="N1451" s="356" t="e" cm="1">
        <f t="array" ref="N1451">_xlfn.IFS(I1451="AEX",H1451/400,I1451="RP",H1451/200)</f>
        <v>#N/A</v>
      </c>
      <c r="P1451" s="75" t="e">
        <f t="shared" si="198"/>
        <v>#DIV/0!</v>
      </c>
      <c r="Q1451" s="3" t="e" cm="1">
        <f t="array" ref="Q1451">_xlfn.IFS(P1451&lt;200, "10", P1451&lt;400, "12", P1451&lt;600, "14", P1451&gt;600, "16")</f>
        <v>#DIV/0!</v>
      </c>
      <c r="R1451" s="75">
        <f t="shared" si="199"/>
        <v>0</v>
      </c>
      <c r="S1451" s="75" t="e">
        <f t="shared" si="200"/>
        <v>#DIV/0!</v>
      </c>
      <c r="U1451" s="306" t="e">
        <f t="shared" si="201"/>
        <v>#DIV/0!</v>
      </c>
    </row>
    <row r="1452" spans="4:21" x14ac:dyDescent="0.35">
      <c r="D1452" s="3"/>
      <c r="G1452" s="3" t="s">
        <v>87</v>
      </c>
      <c r="M1452" s="3"/>
      <c r="N1452" s="356" t="e" cm="1">
        <f t="array" ref="N1452">_xlfn.IFS(I1452="AEX",H1452/400,I1452="RP",H1452/200)</f>
        <v>#N/A</v>
      </c>
      <c r="P1452" s="75" t="e">
        <f t="shared" si="198"/>
        <v>#DIV/0!</v>
      </c>
      <c r="Q1452" s="3" t="e" cm="1">
        <f t="array" ref="Q1452">_xlfn.IFS(P1452&lt;200, "10", P1452&lt;400, "12", P1452&lt;600, "14", P1452&gt;600, "16")</f>
        <v>#DIV/0!</v>
      </c>
      <c r="R1452" s="75">
        <f t="shared" si="199"/>
        <v>0</v>
      </c>
      <c r="S1452" s="75" t="e">
        <f t="shared" si="200"/>
        <v>#DIV/0!</v>
      </c>
      <c r="U1452" s="306" t="e">
        <f t="shared" si="201"/>
        <v>#DIV/0!</v>
      </c>
    </row>
    <row r="1453" spans="4:21" x14ac:dyDescent="0.35">
      <c r="D1453" s="3"/>
      <c r="G1453" s="3" t="s">
        <v>87</v>
      </c>
      <c r="M1453" s="3"/>
      <c r="N1453" s="356" t="e" cm="1">
        <f t="array" ref="N1453">_xlfn.IFS(I1453="AEX",H1453/400,I1453="RP",H1453/200)</f>
        <v>#N/A</v>
      </c>
      <c r="P1453" s="75" t="e">
        <f t="shared" si="198"/>
        <v>#DIV/0!</v>
      </c>
      <c r="Q1453" s="3" t="e" cm="1">
        <f t="array" ref="Q1453">_xlfn.IFS(P1453&lt;200, "10", P1453&lt;400, "12", P1453&lt;600, "14", P1453&gt;600, "16")</f>
        <v>#DIV/0!</v>
      </c>
      <c r="R1453" s="75">
        <f t="shared" si="199"/>
        <v>0</v>
      </c>
      <c r="S1453" s="75" t="e">
        <f t="shared" si="200"/>
        <v>#DIV/0!</v>
      </c>
      <c r="U1453" s="306" t="e">
        <f t="shared" si="201"/>
        <v>#DIV/0!</v>
      </c>
    </row>
    <row r="1454" spans="4:21" x14ac:dyDescent="0.35">
      <c r="D1454" s="3"/>
      <c r="G1454" s="3" t="s">
        <v>87</v>
      </c>
      <c r="M1454" s="3"/>
      <c r="N1454" s="356" t="e" cm="1">
        <f t="array" ref="N1454">_xlfn.IFS(I1454="AEX",H1454/400,I1454="RP",H1454/200)</f>
        <v>#N/A</v>
      </c>
      <c r="P1454" s="75" t="e">
        <f t="shared" si="198"/>
        <v>#DIV/0!</v>
      </c>
      <c r="Q1454" s="3" t="e" cm="1">
        <f t="array" ref="Q1454">_xlfn.IFS(P1454&lt;200, "10", P1454&lt;400, "12", P1454&lt;600, "14", P1454&gt;600, "16")</f>
        <v>#DIV/0!</v>
      </c>
      <c r="R1454" s="75">
        <f t="shared" si="199"/>
        <v>0</v>
      </c>
      <c r="S1454" s="75" t="e">
        <f t="shared" si="200"/>
        <v>#DIV/0!</v>
      </c>
      <c r="U1454" s="306" t="e">
        <f t="shared" si="201"/>
        <v>#DIV/0!</v>
      </c>
    </row>
    <row r="1455" spans="4:21" x14ac:dyDescent="0.35">
      <c r="D1455" s="3"/>
      <c r="G1455" s="3" t="s">
        <v>87</v>
      </c>
      <c r="M1455" s="3"/>
      <c r="N1455" s="356" t="e" cm="1">
        <f t="array" ref="N1455">_xlfn.IFS(I1455="AEX",H1455/400,I1455="RP",H1455/200)</f>
        <v>#N/A</v>
      </c>
      <c r="P1455" s="75" t="e">
        <f t="shared" si="198"/>
        <v>#DIV/0!</v>
      </c>
      <c r="Q1455" s="3" t="e" cm="1">
        <f t="array" ref="Q1455">_xlfn.IFS(P1455&lt;200, "10", P1455&lt;400, "12", P1455&lt;600, "14", P1455&gt;600, "16")</f>
        <v>#DIV/0!</v>
      </c>
      <c r="R1455" s="75">
        <f t="shared" si="199"/>
        <v>0</v>
      </c>
      <c r="S1455" s="75" t="e">
        <f t="shared" si="200"/>
        <v>#DIV/0!</v>
      </c>
      <c r="U1455" s="306" t="e">
        <f t="shared" si="201"/>
        <v>#DIV/0!</v>
      </c>
    </row>
    <row r="1456" spans="4:21" x14ac:dyDescent="0.35">
      <c r="D1456" s="3"/>
      <c r="G1456" s="3" t="s">
        <v>87</v>
      </c>
      <c r="M1456" s="3"/>
      <c r="N1456" s="356" t="e" cm="1">
        <f t="array" ref="N1456">_xlfn.IFS(I1456="AEX",H1456/400,I1456="RP",H1456/200)</f>
        <v>#N/A</v>
      </c>
      <c r="P1456" s="75" t="e">
        <f t="shared" si="198"/>
        <v>#DIV/0!</v>
      </c>
      <c r="Q1456" s="3" t="e" cm="1">
        <f t="array" ref="Q1456">_xlfn.IFS(P1456&lt;200, "10", P1456&lt;400, "12", P1456&lt;600, "14", P1456&gt;600, "16")</f>
        <v>#DIV/0!</v>
      </c>
      <c r="R1456" s="75">
        <f t="shared" si="199"/>
        <v>0</v>
      </c>
      <c r="S1456" s="75" t="e">
        <f t="shared" si="200"/>
        <v>#DIV/0!</v>
      </c>
      <c r="U1456" s="306" t="e">
        <f t="shared" si="201"/>
        <v>#DIV/0!</v>
      </c>
    </row>
    <row r="1457" spans="4:21" x14ac:dyDescent="0.35">
      <c r="D1457" s="3"/>
      <c r="G1457" s="3" t="s">
        <v>87</v>
      </c>
      <c r="M1457" s="3"/>
      <c r="N1457" s="356" t="e" cm="1">
        <f t="array" ref="N1457">_xlfn.IFS(I1457="AEX",H1457/400,I1457="RP",H1457/200)</f>
        <v>#N/A</v>
      </c>
      <c r="P1457" s="75" t="e">
        <f t="shared" si="198"/>
        <v>#DIV/0!</v>
      </c>
      <c r="Q1457" s="3" t="e" cm="1">
        <f t="array" ref="Q1457">_xlfn.IFS(P1457&lt;200, "10", P1457&lt;400, "12", P1457&lt;600, "14", P1457&gt;600, "16")</f>
        <v>#DIV/0!</v>
      </c>
      <c r="R1457" s="75">
        <f t="shared" si="199"/>
        <v>0</v>
      </c>
      <c r="S1457" s="75" t="e">
        <f t="shared" si="200"/>
        <v>#DIV/0!</v>
      </c>
      <c r="U1457" s="306" t="e">
        <f t="shared" si="201"/>
        <v>#DIV/0!</v>
      </c>
    </row>
    <row r="1458" spans="4:21" x14ac:dyDescent="0.35">
      <c r="D1458" s="3"/>
      <c r="G1458" s="3" t="s">
        <v>87</v>
      </c>
      <c r="M1458" s="3"/>
      <c r="N1458" s="356" t="e" cm="1">
        <f t="array" ref="N1458">_xlfn.IFS(I1458="AEX",H1458/400,I1458="RP",H1458/200)</f>
        <v>#N/A</v>
      </c>
      <c r="P1458" s="75" t="e">
        <f t="shared" si="198"/>
        <v>#DIV/0!</v>
      </c>
      <c r="Q1458" s="3" t="e" cm="1">
        <f t="array" ref="Q1458">_xlfn.IFS(P1458&lt;200, "10", P1458&lt;400, "12", P1458&lt;600, "14", P1458&gt;600, "16")</f>
        <v>#DIV/0!</v>
      </c>
      <c r="R1458" s="75">
        <f t="shared" si="199"/>
        <v>0</v>
      </c>
      <c r="S1458" s="75" t="e">
        <f t="shared" si="200"/>
        <v>#DIV/0!</v>
      </c>
      <c r="U1458" s="306" t="e">
        <f t="shared" si="201"/>
        <v>#DIV/0!</v>
      </c>
    </row>
    <row r="1459" spans="4:21" x14ac:dyDescent="0.35">
      <c r="D1459" s="3"/>
      <c r="G1459" s="3" t="s">
        <v>87</v>
      </c>
      <c r="M1459" s="3"/>
      <c r="N1459" s="356" t="e" cm="1">
        <f t="array" ref="N1459">_xlfn.IFS(I1459="AEX",H1459/400,I1459="RP",H1459/200)</f>
        <v>#N/A</v>
      </c>
      <c r="P1459" s="75" t="e">
        <f t="shared" si="198"/>
        <v>#DIV/0!</v>
      </c>
      <c r="Q1459" s="3" t="e" cm="1">
        <f t="array" ref="Q1459">_xlfn.IFS(P1459&lt;200, "10", P1459&lt;400, "12", P1459&lt;600, "14", P1459&gt;600, "16")</f>
        <v>#DIV/0!</v>
      </c>
      <c r="R1459" s="75">
        <f t="shared" si="199"/>
        <v>0</v>
      </c>
      <c r="S1459" s="75" t="e">
        <f t="shared" si="200"/>
        <v>#DIV/0!</v>
      </c>
      <c r="U1459" s="306" t="e">
        <f t="shared" si="201"/>
        <v>#DIV/0!</v>
      </c>
    </row>
    <row r="1460" spans="4:21" x14ac:dyDescent="0.35">
      <c r="D1460" s="3"/>
      <c r="G1460" s="3" t="s">
        <v>87</v>
      </c>
      <c r="M1460" s="3"/>
      <c r="N1460" s="356" t="e" cm="1">
        <f t="array" ref="N1460">_xlfn.IFS(I1460="AEX",H1460/400,I1460="RP",H1460/200)</f>
        <v>#N/A</v>
      </c>
      <c r="P1460" s="75" t="e">
        <f t="shared" ref="P1460:P1523" si="202">H1460/O1460</f>
        <v>#DIV/0!</v>
      </c>
      <c r="Q1460" s="3" t="e" cm="1">
        <f t="array" ref="Q1460">_xlfn.IFS(P1460&lt;200, "10", P1460&lt;400, "12", P1460&lt;600, "14", P1460&gt;600, "16")</f>
        <v>#DIV/0!</v>
      </c>
      <c r="R1460" s="75">
        <f t="shared" ref="R1460:R1523" si="203">IF(I1460="AEX",H1460*0.3/400,H1460*0.3/200)</f>
        <v>0</v>
      </c>
      <c r="S1460" s="75" t="e">
        <f t="shared" ref="S1460:S1523" si="204">R1460/O1460</f>
        <v>#DIV/0!</v>
      </c>
      <c r="U1460" s="306" t="e">
        <f t="shared" ref="U1460:U1523" si="205">T1460/H1460*100</f>
        <v>#DIV/0!</v>
      </c>
    </row>
    <row r="1461" spans="4:21" x14ac:dyDescent="0.35">
      <c r="D1461" s="3"/>
      <c r="G1461" s="3" t="s">
        <v>87</v>
      </c>
      <c r="M1461" s="3"/>
      <c r="N1461" s="356" t="e" cm="1">
        <f t="array" ref="N1461">_xlfn.IFS(I1461="AEX",H1461/400,I1461="RP",H1461/200)</f>
        <v>#N/A</v>
      </c>
      <c r="P1461" s="75" t="e">
        <f t="shared" si="202"/>
        <v>#DIV/0!</v>
      </c>
      <c r="Q1461" s="3" t="e" cm="1">
        <f t="array" ref="Q1461">_xlfn.IFS(P1461&lt;200, "10", P1461&lt;400, "12", P1461&lt;600, "14", P1461&gt;600, "16")</f>
        <v>#DIV/0!</v>
      </c>
      <c r="R1461" s="75">
        <f t="shared" si="203"/>
        <v>0</v>
      </c>
      <c r="S1461" s="75" t="e">
        <f t="shared" si="204"/>
        <v>#DIV/0!</v>
      </c>
      <c r="U1461" s="306" t="e">
        <f t="shared" si="205"/>
        <v>#DIV/0!</v>
      </c>
    </row>
    <row r="1462" spans="4:21" x14ac:dyDescent="0.35">
      <c r="D1462" s="3"/>
      <c r="G1462" s="3" t="s">
        <v>87</v>
      </c>
      <c r="M1462" s="3"/>
      <c r="N1462" s="356" t="e" cm="1">
        <f t="array" ref="N1462">_xlfn.IFS(I1462="AEX",H1462/400,I1462="RP",H1462/200)</f>
        <v>#N/A</v>
      </c>
      <c r="P1462" s="75" t="e">
        <f t="shared" si="202"/>
        <v>#DIV/0!</v>
      </c>
      <c r="Q1462" s="3" t="e" cm="1">
        <f t="array" ref="Q1462">_xlfn.IFS(P1462&lt;200, "10", P1462&lt;400, "12", P1462&lt;600, "14", P1462&gt;600, "16")</f>
        <v>#DIV/0!</v>
      </c>
      <c r="R1462" s="75">
        <f t="shared" si="203"/>
        <v>0</v>
      </c>
      <c r="S1462" s="75" t="e">
        <f t="shared" si="204"/>
        <v>#DIV/0!</v>
      </c>
      <c r="U1462" s="306" t="e">
        <f t="shared" si="205"/>
        <v>#DIV/0!</v>
      </c>
    </row>
    <row r="1463" spans="4:21" x14ac:dyDescent="0.35">
      <c r="D1463" s="3"/>
      <c r="G1463" s="3" t="s">
        <v>87</v>
      </c>
      <c r="M1463" s="3"/>
      <c r="N1463" s="356" t="e" cm="1">
        <f t="array" ref="N1463">_xlfn.IFS(I1463="AEX",H1463/400,I1463="RP",H1463/200)</f>
        <v>#N/A</v>
      </c>
      <c r="P1463" s="75" t="e">
        <f t="shared" si="202"/>
        <v>#DIV/0!</v>
      </c>
      <c r="Q1463" s="3" t="e" cm="1">
        <f t="array" ref="Q1463">_xlfn.IFS(P1463&lt;200, "10", P1463&lt;400, "12", P1463&lt;600, "14", P1463&gt;600, "16")</f>
        <v>#DIV/0!</v>
      </c>
      <c r="R1463" s="75">
        <f t="shared" si="203"/>
        <v>0</v>
      </c>
      <c r="S1463" s="75" t="e">
        <f t="shared" si="204"/>
        <v>#DIV/0!</v>
      </c>
      <c r="U1463" s="306" t="e">
        <f t="shared" si="205"/>
        <v>#DIV/0!</v>
      </c>
    </row>
    <row r="1464" spans="4:21" x14ac:dyDescent="0.35">
      <c r="D1464" s="3"/>
      <c r="G1464" s="3" t="s">
        <v>87</v>
      </c>
      <c r="M1464" s="3"/>
      <c r="N1464" s="356" t="e" cm="1">
        <f t="array" ref="N1464">_xlfn.IFS(I1464="AEX",H1464/400,I1464="RP",H1464/200)</f>
        <v>#N/A</v>
      </c>
      <c r="P1464" s="75" t="e">
        <f t="shared" si="202"/>
        <v>#DIV/0!</v>
      </c>
      <c r="Q1464" s="3" t="e" cm="1">
        <f t="array" ref="Q1464">_xlfn.IFS(P1464&lt;200, "10", P1464&lt;400, "12", P1464&lt;600, "14", P1464&gt;600, "16")</f>
        <v>#DIV/0!</v>
      </c>
      <c r="R1464" s="75">
        <f t="shared" si="203"/>
        <v>0</v>
      </c>
      <c r="S1464" s="75" t="e">
        <f t="shared" si="204"/>
        <v>#DIV/0!</v>
      </c>
      <c r="U1464" s="306" t="e">
        <f t="shared" si="205"/>
        <v>#DIV/0!</v>
      </c>
    </row>
    <row r="1465" spans="4:21" x14ac:dyDescent="0.35">
      <c r="D1465" s="3"/>
      <c r="G1465" s="3" t="s">
        <v>87</v>
      </c>
      <c r="M1465" s="3"/>
      <c r="N1465" s="356" t="e" cm="1">
        <f t="array" ref="N1465">_xlfn.IFS(I1465="AEX",H1465/400,I1465="RP",H1465/200)</f>
        <v>#N/A</v>
      </c>
      <c r="P1465" s="75" t="e">
        <f t="shared" si="202"/>
        <v>#DIV/0!</v>
      </c>
      <c r="Q1465" s="3" t="e" cm="1">
        <f t="array" ref="Q1465">_xlfn.IFS(P1465&lt;200, "10", P1465&lt;400, "12", P1465&lt;600, "14", P1465&gt;600, "16")</f>
        <v>#DIV/0!</v>
      </c>
      <c r="R1465" s="75">
        <f t="shared" si="203"/>
        <v>0</v>
      </c>
      <c r="S1465" s="75" t="e">
        <f t="shared" si="204"/>
        <v>#DIV/0!</v>
      </c>
      <c r="U1465" s="306" t="e">
        <f t="shared" si="205"/>
        <v>#DIV/0!</v>
      </c>
    </row>
    <row r="1466" spans="4:21" x14ac:dyDescent="0.35">
      <c r="D1466" s="3"/>
      <c r="G1466" s="3" t="s">
        <v>87</v>
      </c>
      <c r="M1466" s="3"/>
      <c r="N1466" s="356" t="e" cm="1">
        <f t="array" ref="N1466">_xlfn.IFS(I1466="AEX",H1466/400,I1466="RP",H1466/200)</f>
        <v>#N/A</v>
      </c>
      <c r="P1466" s="75" t="e">
        <f t="shared" si="202"/>
        <v>#DIV/0!</v>
      </c>
      <c r="Q1466" s="3" t="e" cm="1">
        <f t="array" ref="Q1466">_xlfn.IFS(P1466&lt;200, "10", P1466&lt;400, "12", P1466&lt;600, "14", P1466&gt;600, "16")</f>
        <v>#DIV/0!</v>
      </c>
      <c r="R1466" s="75">
        <f t="shared" si="203"/>
        <v>0</v>
      </c>
      <c r="S1466" s="75" t="e">
        <f t="shared" si="204"/>
        <v>#DIV/0!</v>
      </c>
      <c r="U1466" s="306" t="e">
        <f t="shared" si="205"/>
        <v>#DIV/0!</v>
      </c>
    </row>
    <row r="1467" spans="4:21" x14ac:dyDescent="0.35">
      <c r="D1467" s="3"/>
      <c r="G1467" s="3" t="s">
        <v>87</v>
      </c>
      <c r="M1467" s="3"/>
      <c r="N1467" s="356" t="e" cm="1">
        <f t="array" ref="N1467">_xlfn.IFS(I1467="AEX",H1467/400,I1467="RP",H1467/200)</f>
        <v>#N/A</v>
      </c>
      <c r="P1467" s="75" t="e">
        <f t="shared" si="202"/>
        <v>#DIV/0!</v>
      </c>
      <c r="Q1467" s="3" t="e" cm="1">
        <f t="array" ref="Q1467">_xlfn.IFS(P1467&lt;200, "10", P1467&lt;400, "12", P1467&lt;600, "14", P1467&gt;600, "16")</f>
        <v>#DIV/0!</v>
      </c>
      <c r="R1467" s="75">
        <f t="shared" si="203"/>
        <v>0</v>
      </c>
      <c r="S1467" s="75" t="e">
        <f t="shared" si="204"/>
        <v>#DIV/0!</v>
      </c>
      <c r="U1467" s="306" t="e">
        <f t="shared" si="205"/>
        <v>#DIV/0!</v>
      </c>
    </row>
    <row r="1468" spans="4:21" x14ac:dyDescent="0.35">
      <c r="D1468" s="3"/>
      <c r="G1468" s="3" t="s">
        <v>87</v>
      </c>
      <c r="M1468" s="3"/>
      <c r="N1468" s="356" t="e" cm="1">
        <f t="array" ref="N1468">_xlfn.IFS(I1468="AEX",H1468/400,I1468="RP",H1468/200)</f>
        <v>#N/A</v>
      </c>
      <c r="P1468" s="75" t="e">
        <f t="shared" si="202"/>
        <v>#DIV/0!</v>
      </c>
      <c r="Q1468" s="3" t="e" cm="1">
        <f t="array" ref="Q1468">_xlfn.IFS(P1468&lt;200, "10", P1468&lt;400, "12", P1468&lt;600, "14", P1468&gt;600, "16")</f>
        <v>#DIV/0!</v>
      </c>
      <c r="R1468" s="75">
        <f t="shared" si="203"/>
        <v>0</v>
      </c>
      <c r="S1468" s="75" t="e">
        <f t="shared" si="204"/>
        <v>#DIV/0!</v>
      </c>
      <c r="U1468" s="306" t="e">
        <f t="shared" si="205"/>
        <v>#DIV/0!</v>
      </c>
    </row>
    <row r="1469" spans="4:21" x14ac:dyDescent="0.35">
      <c r="D1469" s="3"/>
      <c r="G1469" s="3" t="s">
        <v>87</v>
      </c>
      <c r="M1469" s="3"/>
      <c r="N1469" s="356" t="e" cm="1">
        <f t="array" ref="N1469">_xlfn.IFS(I1469="AEX",H1469/400,I1469="RP",H1469/200)</f>
        <v>#N/A</v>
      </c>
      <c r="P1469" s="75" t="e">
        <f t="shared" si="202"/>
        <v>#DIV/0!</v>
      </c>
      <c r="Q1469" s="3" t="e" cm="1">
        <f t="array" ref="Q1469">_xlfn.IFS(P1469&lt;200, "10", P1469&lt;400, "12", P1469&lt;600, "14", P1469&gt;600, "16")</f>
        <v>#DIV/0!</v>
      </c>
      <c r="R1469" s="75">
        <f t="shared" si="203"/>
        <v>0</v>
      </c>
      <c r="S1469" s="75" t="e">
        <f t="shared" si="204"/>
        <v>#DIV/0!</v>
      </c>
      <c r="U1469" s="306" t="e">
        <f t="shared" si="205"/>
        <v>#DIV/0!</v>
      </c>
    </row>
    <row r="1470" spans="4:21" x14ac:dyDescent="0.35">
      <c r="D1470" s="3"/>
      <c r="G1470" s="3" t="s">
        <v>87</v>
      </c>
      <c r="M1470" s="3"/>
      <c r="N1470" s="356" t="e" cm="1">
        <f t="array" ref="N1470">_xlfn.IFS(I1470="AEX",H1470/400,I1470="RP",H1470/200)</f>
        <v>#N/A</v>
      </c>
      <c r="P1470" s="75" t="e">
        <f t="shared" si="202"/>
        <v>#DIV/0!</v>
      </c>
      <c r="Q1470" s="3" t="e" cm="1">
        <f t="array" ref="Q1470">_xlfn.IFS(P1470&lt;200, "10", P1470&lt;400, "12", P1470&lt;600, "14", P1470&gt;600, "16")</f>
        <v>#DIV/0!</v>
      </c>
      <c r="R1470" s="75">
        <f t="shared" si="203"/>
        <v>0</v>
      </c>
      <c r="S1470" s="75" t="e">
        <f t="shared" si="204"/>
        <v>#DIV/0!</v>
      </c>
      <c r="U1470" s="306" t="e">
        <f t="shared" si="205"/>
        <v>#DIV/0!</v>
      </c>
    </row>
    <row r="1471" spans="4:21" x14ac:dyDescent="0.35">
      <c r="D1471" s="3"/>
      <c r="G1471" s="3" t="s">
        <v>87</v>
      </c>
      <c r="M1471" s="3"/>
      <c r="N1471" s="356" t="e" cm="1">
        <f t="array" ref="N1471">_xlfn.IFS(I1471="AEX",H1471/400,I1471="RP",H1471/200)</f>
        <v>#N/A</v>
      </c>
      <c r="P1471" s="75" t="e">
        <f t="shared" si="202"/>
        <v>#DIV/0!</v>
      </c>
      <c r="Q1471" s="3" t="e" cm="1">
        <f t="array" ref="Q1471">_xlfn.IFS(P1471&lt;200, "10", P1471&lt;400, "12", P1471&lt;600, "14", P1471&gt;600, "16")</f>
        <v>#DIV/0!</v>
      </c>
      <c r="R1471" s="75">
        <f t="shared" si="203"/>
        <v>0</v>
      </c>
      <c r="S1471" s="75" t="e">
        <f t="shared" si="204"/>
        <v>#DIV/0!</v>
      </c>
      <c r="U1471" s="306" t="e">
        <f t="shared" si="205"/>
        <v>#DIV/0!</v>
      </c>
    </row>
    <row r="1472" spans="4:21" x14ac:dyDescent="0.35">
      <c r="D1472" s="3"/>
      <c r="G1472" s="3" t="s">
        <v>87</v>
      </c>
      <c r="M1472" s="3"/>
      <c r="N1472" s="356" t="e" cm="1">
        <f t="array" ref="N1472">_xlfn.IFS(I1472="AEX",H1472/400,I1472="RP",H1472/200)</f>
        <v>#N/A</v>
      </c>
      <c r="P1472" s="75" t="e">
        <f t="shared" si="202"/>
        <v>#DIV/0!</v>
      </c>
      <c r="Q1472" s="3" t="e" cm="1">
        <f t="array" ref="Q1472">_xlfn.IFS(P1472&lt;200, "10", P1472&lt;400, "12", P1472&lt;600, "14", P1472&gt;600, "16")</f>
        <v>#DIV/0!</v>
      </c>
      <c r="R1472" s="75">
        <f t="shared" si="203"/>
        <v>0</v>
      </c>
      <c r="S1472" s="75" t="e">
        <f t="shared" si="204"/>
        <v>#DIV/0!</v>
      </c>
      <c r="U1472" s="306" t="e">
        <f t="shared" si="205"/>
        <v>#DIV/0!</v>
      </c>
    </row>
    <row r="1473" spans="4:21" x14ac:dyDescent="0.35">
      <c r="D1473" s="3"/>
      <c r="G1473" s="3" t="s">
        <v>87</v>
      </c>
      <c r="M1473" s="3"/>
      <c r="N1473" s="356" t="e" cm="1">
        <f t="array" ref="N1473">_xlfn.IFS(I1473="AEX",H1473/400,I1473="RP",H1473/200)</f>
        <v>#N/A</v>
      </c>
      <c r="P1473" s="75" t="e">
        <f t="shared" si="202"/>
        <v>#DIV/0!</v>
      </c>
      <c r="Q1473" s="3" t="e" cm="1">
        <f t="array" ref="Q1473">_xlfn.IFS(P1473&lt;200, "10", P1473&lt;400, "12", P1473&lt;600, "14", P1473&gt;600, "16")</f>
        <v>#DIV/0!</v>
      </c>
      <c r="R1473" s="75">
        <f t="shared" si="203"/>
        <v>0</v>
      </c>
      <c r="S1473" s="75" t="e">
        <f t="shared" si="204"/>
        <v>#DIV/0!</v>
      </c>
      <c r="U1473" s="306" t="e">
        <f t="shared" si="205"/>
        <v>#DIV/0!</v>
      </c>
    </row>
    <row r="1474" spans="4:21" x14ac:dyDescent="0.35">
      <c r="D1474" s="3"/>
      <c r="G1474" s="3" t="s">
        <v>87</v>
      </c>
      <c r="M1474" s="3"/>
      <c r="N1474" s="356" t="e" cm="1">
        <f t="array" ref="N1474">_xlfn.IFS(I1474="AEX",H1474/400,I1474="RP",H1474/200)</f>
        <v>#N/A</v>
      </c>
      <c r="P1474" s="75" t="e">
        <f t="shared" si="202"/>
        <v>#DIV/0!</v>
      </c>
      <c r="Q1474" s="3" t="e" cm="1">
        <f t="array" ref="Q1474">_xlfn.IFS(P1474&lt;200, "10", P1474&lt;400, "12", P1474&lt;600, "14", P1474&gt;600, "16")</f>
        <v>#DIV/0!</v>
      </c>
      <c r="R1474" s="75">
        <f t="shared" si="203"/>
        <v>0</v>
      </c>
      <c r="S1474" s="75" t="e">
        <f t="shared" si="204"/>
        <v>#DIV/0!</v>
      </c>
      <c r="U1474" s="306" t="e">
        <f t="shared" si="205"/>
        <v>#DIV/0!</v>
      </c>
    </row>
    <row r="1475" spans="4:21" x14ac:dyDescent="0.35">
      <c r="D1475" s="3"/>
      <c r="G1475" s="3" t="s">
        <v>87</v>
      </c>
      <c r="M1475" s="3"/>
      <c r="N1475" s="356" t="e" cm="1">
        <f t="array" ref="N1475">_xlfn.IFS(I1475="AEX",H1475/400,I1475="RP",H1475/200)</f>
        <v>#N/A</v>
      </c>
      <c r="P1475" s="75" t="e">
        <f t="shared" si="202"/>
        <v>#DIV/0!</v>
      </c>
      <c r="Q1475" s="3" t="e" cm="1">
        <f t="array" ref="Q1475">_xlfn.IFS(P1475&lt;200, "10", P1475&lt;400, "12", P1475&lt;600, "14", P1475&gt;600, "16")</f>
        <v>#DIV/0!</v>
      </c>
      <c r="R1475" s="75">
        <f t="shared" si="203"/>
        <v>0</v>
      </c>
      <c r="S1475" s="75" t="e">
        <f t="shared" si="204"/>
        <v>#DIV/0!</v>
      </c>
      <c r="U1475" s="306" t="e">
        <f t="shared" si="205"/>
        <v>#DIV/0!</v>
      </c>
    </row>
    <row r="1476" spans="4:21" x14ac:dyDescent="0.35">
      <c r="D1476" s="3"/>
      <c r="G1476" s="3" t="s">
        <v>87</v>
      </c>
      <c r="M1476" s="3"/>
      <c r="N1476" s="356" t="e" cm="1">
        <f t="array" ref="N1476">_xlfn.IFS(I1476="AEX",H1476/400,I1476="RP",H1476/200)</f>
        <v>#N/A</v>
      </c>
      <c r="P1476" s="75" t="e">
        <f t="shared" si="202"/>
        <v>#DIV/0!</v>
      </c>
      <c r="Q1476" s="3" t="e" cm="1">
        <f t="array" ref="Q1476">_xlfn.IFS(P1476&lt;200, "10", P1476&lt;400, "12", P1476&lt;600, "14", P1476&gt;600, "16")</f>
        <v>#DIV/0!</v>
      </c>
      <c r="R1476" s="75">
        <f t="shared" si="203"/>
        <v>0</v>
      </c>
      <c r="S1476" s="75" t="e">
        <f t="shared" si="204"/>
        <v>#DIV/0!</v>
      </c>
      <c r="U1476" s="306" t="e">
        <f t="shared" si="205"/>
        <v>#DIV/0!</v>
      </c>
    </row>
    <row r="1477" spans="4:21" x14ac:dyDescent="0.35">
      <c r="D1477" s="3"/>
      <c r="G1477" s="3" t="s">
        <v>87</v>
      </c>
      <c r="M1477" s="3"/>
      <c r="N1477" s="356" t="e" cm="1">
        <f t="array" ref="N1477">_xlfn.IFS(I1477="AEX",H1477/400,I1477="RP",H1477/200)</f>
        <v>#N/A</v>
      </c>
      <c r="P1477" s="75" t="e">
        <f t="shared" si="202"/>
        <v>#DIV/0!</v>
      </c>
      <c r="Q1477" s="3" t="e" cm="1">
        <f t="array" ref="Q1477">_xlfn.IFS(P1477&lt;200, "10", P1477&lt;400, "12", P1477&lt;600, "14", P1477&gt;600, "16")</f>
        <v>#DIV/0!</v>
      </c>
      <c r="R1477" s="75">
        <f t="shared" si="203"/>
        <v>0</v>
      </c>
      <c r="S1477" s="75" t="e">
        <f t="shared" si="204"/>
        <v>#DIV/0!</v>
      </c>
      <c r="U1477" s="306" t="e">
        <f t="shared" si="205"/>
        <v>#DIV/0!</v>
      </c>
    </row>
    <row r="1478" spans="4:21" x14ac:dyDescent="0.35">
      <c r="D1478" s="3"/>
      <c r="G1478" s="3" t="s">
        <v>87</v>
      </c>
      <c r="M1478" s="3"/>
      <c r="N1478" s="356" t="e" cm="1">
        <f t="array" ref="N1478">_xlfn.IFS(I1478="AEX",H1478/400,I1478="RP",H1478/200)</f>
        <v>#N/A</v>
      </c>
      <c r="P1478" s="75" t="e">
        <f t="shared" si="202"/>
        <v>#DIV/0!</v>
      </c>
      <c r="Q1478" s="3" t="e" cm="1">
        <f t="array" ref="Q1478">_xlfn.IFS(P1478&lt;200, "10", P1478&lt;400, "12", P1478&lt;600, "14", P1478&gt;600, "16")</f>
        <v>#DIV/0!</v>
      </c>
      <c r="R1478" s="75">
        <f t="shared" si="203"/>
        <v>0</v>
      </c>
      <c r="S1478" s="75" t="e">
        <f t="shared" si="204"/>
        <v>#DIV/0!</v>
      </c>
      <c r="U1478" s="306" t="e">
        <f t="shared" si="205"/>
        <v>#DIV/0!</v>
      </c>
    </row>
    <row r="1479" spans="4:21" x14ac:dyDescent="0.35">
      <c r="D1479" s="3"/>
      <c r="G1479" s="3" t="s">
        <v>87</v>
      </c>
      <c r="M1479" s="3"/>
      <c r="N1479" s="356" t="e" cm="1">
        <f t="array" ref="N1479">_xlfn.IFS(I1479="AEX",H1479/400,I1479="RP",H1479/200)</f>
        <v>#N/A</v>
      </c>
      <c r="P1479" s="75" t="e">
        <f t="shared" si="202"/>
        <v>#DIV/0!</v>
      </c>
      <c r="Q1479" s="3" t="e" cm="1">
        <f t="array" ref="Q1479">_xlfn.IFS(P1479&lt;200, "10", P1479&lt;400, "12", P1479&lt;600, "14", P1479&gt;600, "16")</f>
        <v>#DIV/0!</v>
      </c>
      <c r="R1479" s="75">
        <f t="shared" si="203"/>
        <v>0</v>
      </c>
      <c r="S1479" s="75" t="e">
        <f t="shared" si="204"/>
        <v>#DIV/0!</v>
      </c>
      <c r="U1479" s="306" t="e">
        <f t="shared" si="205"/>
        <v>#DIV/0!</v>
      </c>
    </row>
    <row r="1480" spans="4:21" x14ac:dyDescent="0.35">
      <c r="D1480" s="3"/>
      <c r="G1480" s="3" t="s">
        <v>87</v>
      </c>
      <c r="M1480" s="3"/>
      <c r="N1480" s="356" t="e" cm="1">
        <f t="array" ref="N1480">_xlfn.IFS(I1480="AEX",H1480/400,I1480="RP",H1480/200)</f>
        <v>#N/A</v>
      </c>
      <c r="P1480" s="75" t="e">
        <f t="shared" si="202"/>
        <v>#DIV/0!</v>
      </c>
      <c r="Q1480" s="3" t="e" cm="1">
        <f t="array" ref="Q1480">_xlfn.IFS(P1480&lt;200, "10", P1480&lt;400, "12", P1480&lt;600, "14", P1480&gt;600, "16")</f>
        <v>#DIV/0!</v>
      </c>
      <c r="R1480" s="75">
        <f t="shared" si="203"/>
        <v>0</v>
      </c>
      <c r="S1480" s="75" t="e">
        <f t="shared" si="204"/>
        <v>#DIV/0!</v>
      </c>
      <c r="U1480" s="306" t="e">
        <f t="shared" si="205"/>
        <v>#DIV/0!</v>
      </c>
    </row>
    <row r="1481" spans="4:21" x14ac:dyDescent="0.35">
      <c r="D1481" s="3"/>
      <c r="G1481" s="3" t="s">
        <v>87</v>
      </c>
      <c r="M1481" s="3"/>
      <c r="N1481" s="356" t="e" cm="1">
        <f t="array" ref="N1481">_xlfn.IFS(I1481="AEX",H1481/400,I1481="RP",H1481/200)</f>
        <v>#N/A</v>
      </c>
      <c r="P1481" s="75" t="e">
        <f t="shared" si="202"/>
        <v>#DIV/0!</v>
      </c>
      <c r="Q1481" s="3" t="e" cm="1">
        <f t="array" ref="Q1481">_xlfn.IFS(P1481&lt;200, "10", P1481&lt;400, "12", P1481&lt;600, "14", P1481&gt;600, "16")</f>
        <v>#DIV/0!</v>
      </c>
      <c r="R1481" s="75">
        <f t="shared" si="203"/>
        <v>0</v>
      </c>
      <c r="S1481" s="75" t="e">
        <f t="shared" si="204"/>
        <v>#DIV/0!</v>
      </c>
      <c r="U1481" s="306" t="e">
        <f t="shared" si="205"/>
        <v>#DIV/0!</v>
      </c>
    </row>
    <row r="1482" spans="4:21" x14ac:dyDescent="0.35">
      <c r="D1482" s="3"/>
      <c r="G1482" s="3" t="s">
        <v>87</v>
      </c>
      <c r="M1482" s="3"/>
      <c r="N1482" s="356" t="e" cm="1">
        <f t="array" ref="N1482">_xlfn.IFS(I1482="AEX",H1482/400,I1482="RP",H1482/200)</f>
        <v>#N/A</v>
      </c>
      <c r="P1482" s="75" t="e">
        <f t="shared" si="202"/>
        <v>#DIV/0!</v>
      </c>
      <c r="Q1482" s="3" t="e" cm="1">
        <f t="array" ref="Q1482">_xlfn.IFS(P1482&lt;200, "10", P1482&lt;400, "12", P1482&lt;600, "14", P1482&gt;600, "16")</f>
        <v>#DIV/0!</v>
      </c>
      <c r="R1482" s="75">
        <f t="shared" si="203"/>
        <v>0</v>
      </c>
      <c r="S1482" s="75" t="e">
        <f t="shared" si="204"/>
        <v>#DIV/0!</v>
      </c>
      <c r="U1482" s="306" t="e">
        <f t="shared" si="205"/>
        <v>#DIV/0!</v>
      </c>
    </row>
    <row r="1483" spans="4:21" x14ac:dyDescent="0.35">
      <c r="D1483" s="3"/>
      <c r="G1483" s="3" t="s">
        <v>87</v>
      </c>
      <c r="M1483" s="3"/>
      <c r="N1483" s="356" t="e" cm="1">
        <f t="array" ref="N1483">_xlfn.IFS(I1483="AEX",H1483/400,I1483="RP",H1483/200)</f>
        <v>#N/A</v>
      </c>
      <c r="P1483" s="75" t="e">
        <f t="shared" si="202"/>
        <v>#DIV/0!</v>
      </c>
      <c r="Q1483" s="3" t="e" cm="1">
        <f t="array" ref="Q1483">_xlfn.IFS(P1483&lt;200, "10", P1483&lt;400, "12", P1483&lt;600, "14", P1483&gt;600, "16")</f>
        <v>#DIV/0!</v>
      </c>
      <c r="R1483" s="75">
        <f t="shared" si="203"/>
        <v>0</v>
      </c>
      <c r="S1483" s="75" t="e">
        <f t="shared" si="204"/>
        <v>#DIV/0!</v>
      </c>
      <c r="U1483" s="306" t="e">
        <f t="shared" si="205"/>
        <v>#DIV/0!</v>
      </c>
    </row>
    <row r="1484" spans="4:21" x14ac:dyDescent="0.35">
      <c r="D1484" s="3"/>
      <c r="G1484" s="3" t="s">
        <v>87</v>
      </c>
      <c r="M1484" s="3"/>
      <c r="N1484" s="356" t="e" cm="1">
        <f t="array" ref="N1484">_xlfn.IFS(I1484="AEX",H1484/400,I1484="RP",H1484/200)</f>
        <v>#N/A</v>
      </c>
      <c r="P1484" s="75" t="e">
        <f t="shared" si="202"/>
        <v>#DIV/0!</v>
      </c>
      <c r="Q1484" s="3" t="e" cm="1">
        <f t="array" ref="Q1484">_xlfn.IFS(P1484&lt;200, "10", P1484&lt;400, "12", P1484&lt;600, "14", P1484&gt;600, "16")</f>
        <v>#DIV/0!</v>
      </c>
      <c r="R1484" s="75">
        <f t="shared" si="203"/>
        <v>0</v>
      </c>
      <c r="S1484" s="75" t="e">
        <f t="shared" si="204"/>
        <v>#DIV/0!</v>
      </c>
      <c r="U1484" s="306" t="e">
        <f t="shared" si="205"/>
        <v>#DIV/0!</v>
      </c>
    </row>
    <row r="1485" spans="4:21" x14ac:dyDescent="0.35">
      <c r="D1485" s="3"/>
      <c r="G1485" s="3" t="s">
        <v>87</v>
      </c>
      <c r="M1485" s="3"/>
      <c r="N1485" s="356" t="e" cm="1">
        <f t="array" ref="N1485">_xlfn.IFS(I1485="AEX",H1485/400,I1485="RP",H1485/200)</f>
        <v>#N/A</v>
      </c>
      <c r="P1485" s="75" t="e">
        <f t="shared" si="202"/>
        <v>#DIV/0!</v>
      </c>
      <c r="Q1485" s="3" t="e" cm="1">
        <f t="array" ref="Q1485">_xlfn.IFS(P1485&lt;200, "10", P1485&lt;400, "12", P1485&lt;600, "14", P1485&gt;600, "16")</f>
        <v>#DIV/0!</v>
      </c>
      <c r="R1485" s="75">
        <f t="shared" si="203"/>
        <v>0</v>
      </c>
      <c r="S1485" s="75" t="e">
        <f t="shared" si="204"/>
        <v>#DIV/0!</v>
      </c>
      <c r="U1485" s="306" t="e">
        <f t="shared" si="205"/>
        <v>#DIV/0!</v>
      </c>
    </row>
    <row r="1486" spans="4:21" x14ac:dyDescent="0.35">
      <c r="D1486" s="3"/>
      <c r="G1486" s="3" t="s">
        <v>87</v>
      </c>
      <c r="M1486" s="3"/>
      <c r="N1486" s="356" t="e" cm="1">
        <f t="array" ref="N1486">_xlfn.IFS(I1486="AEX",H1486/400,I1486="RP",H1486/200)</f>
        <v>#N/A</v>
      </c>
      <c r="P1486" s="75" t="e">
        <f t="shared" si="202"/>
        <v>#DIV/0!</v>
      </c>
      <c r="Q1486" s="3" t="e" cm="1">
        <f t="array" ref="Q1486">_xlfn.IFS(P1486&lt;200, "10", P1486&lt;400, "12", P1486&lt;600, "14", P1486&gt;600, "16")</f>
        <v>#DIV/0!</v>
      </c>
      <c r="R1486" s="75">
        <f t="shared" si="203"/>
        <v>0</v>
      </c>
      <c r="S1486" s="75" t="e">
        <f t="shared" si="204"/>
        <v>#DIV/0!</v>
      </c>
      <c r="U1486" s="306" t="e">
        <f t="shared" si="205"/>
        <v>#DIV/0!</v>
      </c>
    </row>
    <row r="1487" spans="4:21" x14ac:dyDescent="0.35">
      <c r="D1487" s="3"/>
      <c r="G1487" s="3" t="s">
        <v>87</v>
      </c>
      <c r="M1487" s="3"/>
      <c r="N1487" s="356" t="e" cm="1">
        <f t="array" ref="N1487">_xlfn.IFS(I1487="AEX",H1487/400,I1487="RP",H1487/200)</f>
        <v>#N/A</v>
      </c>
      <c r="P1487" s="75" t="e">
        <f t="shared" si="202"/>
        <v>#DIV/0!</v>
      </c>
      <c r="Q1487" s="3" t="e" cm="1">
        <f t="array" ref="Q1487">_xlfn.IFS(P1487&lt;200, "10", P1487&lt;400, "12", P1487&lt;600, "14", P1487&gt;600, "16")</f>
        <v>#DIV/0!</v>
      </c>
      <c r="R1487" s="75">
        <f t="shared" si="203"/>
        <v>0</v>
      </c>
      <c r="S1487" s="75" t="e">
        <f t="shared" si="204"/>
        <v>#DIV/0!</v>
      </c>
      <c r="U1487" s="306" t="e">
        <f t="shared" si="205"/>
        <v>#DIV/0!</v>
      </c>
    </row>
    <row r="1488" spans="4:21" x14ac:dyDescent="0.35">
      <c r="D1488" s="3"/>
      <c r="G1488" s="3" t="s">
        <v>87</v>
      </c>
      <c r="M1488" s="3"/>
      <c r="N1488" s="356" t="e" cm="1">
        <f t="array" ref="N1488">_xlfn.IFS(I1488="AEX",H1488/400,I1488="RP",H1488/200)</f>
        <v>#N/A</v>
      </c>
      <c r="P1488" s="75" t="e">
        <f t="shared" si="202"/>
        <v>#DIV/0!</v>
      </c>
      <c r="Q1488" s="3" t="e" cm="1">
        <f t="array" ref="Q1488">_xlfn.IFS(P1488&lt;200, "10", P1488&lt;400, "12", P1488&lt;600, "14", P1488&gt;600, "16")</f>
        <v>#DIV/0!</v>
      </c>
      <c r="R1488" s="75">
        <f t="shared" si="203"/>
        <v>0</v>
      </c>
      <c r="S1488" s="75" t="e">
        <f t="shared" si="204"/>
        <v>#DIV/0!</v>
      </c>
      <c r="U1488" s="306" t="e">
        <f t="shared" si="205"/>
        <v>#DIV/0!</v>
      </c>
    </row>
    <row r="1489" spans="4:21" x14ac:dyDescent="0.35">
      <c r="D1489" s="3"/>
      <c r="G1489" s="3" t="s">
        <v>87</v>
      </c>
      <c r="M1489" s="3"/>
      <c r="N1489" s="356" t="e" cm="1">
        <f t="array" ref="N1489">_xlfn.IFS(I1489="AEX",H1489/400,I1489="RP",H1489/200)</f>
        <v>#N/A</v>
      </c>
      <c r="P1489" s="75" t="e">
        <f t="shared" si="202"/>
        <v>#DIV/0!</v>
      </c>
      <c r="Q1489" s="3" t="e" cm="1">
        <f t="array" ref="Q1489">_xlfn.IFS(P1489&lt;200, "10", P1489&lt;400, "12", P1489&lt;600, "14", P1489&gt;600, "16")</f>
        <v>#DIV/0!</v>
      </c>
      <c r="R1489" s="75">
        <f t="shared" si="203"/>
        <v>0</v>
      </c>
      <c r="S1489" s="75" t="e">
        <f t="shared" si="204"/>
        <v>#DIV/0!</v>
      </c>
      <c r="U1489" s="306" t="e">
        <f t="shared" si="205"/>
        <v>#DIV/0!</v>
      </c>
    </row>
    <row r="1490" spans="4:21" x14ac:dyDescent="0.35">
      <c r="D1490" s="3"/>
      <c r="G1490" s="3" t="s">
        <v>87</v>
      </c>
      <c r="M1490" s="3"/>
      <c r="N1490" s="356" t="e" cm="1">
        <f t="array" ref="N1490">_xlfn.IFS(I1490="AEX",H1490/400,I1490="RP",H1490/200)</f>
        <v>#N/A</v>
      </c>
      <c r="P1490" s="75" t="e">
        <f t="shared" si="202"/>
        <v>#DIV/0!</v>
      </c>
      <c r="Q1490" s="3" t="e" cm="1">
        <f t="array" ref="Q1490">_xlfn.IFS(P1490&lt;200, "10", P1490&lt;400, "12", P1490&lt;600, "14", P1490&gt;600, "16")</f>
        <v>#DIV/0!</v>
      </c>
      <c r="R1490" s="75">
        <f t="shared" si="203"/>
        <v>0</v>
      </c>
      <c r="S1490" s="75" t="e">
        <f t="shared" si="204"/>
        <v>#DIV/0!</v>
      </c>
      <c r="U1490" s="306" t="e">
        <f t="shared" si="205"/>
        <v>#DIV/0!</v>
      </c>
    </row>
    <row r="1491" spans="4:21" x14ac:dyDescent="0.35">
      <c r="D1491" s="3"/>
      <c r="G1491" s="3" t="s">
        <v>87</v>
      </c>
      <c r="M1491" s="3"/>
      <c r="N1491" s="356" t="e" cm="1">
        <f t="array" ref="N1491">_xlfn.IFS(I1491="AEX",H1491/400,I1491="RP",H1491/200)</f>
        <v>#N/A</v>
      </c>
      <c r="P1491" s="75" t="e">
        <f t="shared" si="202"/>
        <v>#DIV/0!</v>
      </c>
      <c r="Q1491" s="3" t="e" cm="1">
        <f t="array" ref="Q1491">_xlfn.IFS(P1491&lt;200, "10", P1491&lt;400, "12", P1491&lt;600, "14", P1491&gt;600, "16")</f>
        <v>#DIV/0!</v>
      </c>
      <c r="R1491" s="75">
        <f t="shared" si="203"/>
        <v>0</v>
      </c>
      <c r="S1491" s="75" t="e">
        <f t="shared" si="204"/>
        <v>#DIV/0!</v>
      </c>
      <c r="U1491" s="306" t="e">
        <f t="shared" si="205"/>
        <v>#DIV/0!</v>
      </c>
    </row>
    <row r="1492" spans="4:21" x14ac:dyDescent="0.35">
      <c r="D1492" s="3"/>
      <c r="G1492" s="3" t="s">
        <v>87</v>
      </c>
      <c r="M1492" s="3"/>
      <c r="N1492" s="356" t="e" cm="1">
        <f t="array" ref="N1492">_xlfn.IFS(I1492="AEX",H1492/400,I1492="RP",H1492/200)</f>
        <v>#N/A</v>
      </c>
      <c r="P1492" s="75" t="e">
        <f t="shared" si="202"/>
        <v>#DIV/0!</v>
      </c>
      <c r="Q1492" s="3" t="e" cm="1">
        <f t="array" ref="Q1492">_xlfn.IFS(P1492&lt;200, "10", P1492&lt;400, "12", P1492&lt;600, "14", P1492&gt;600, "16")</f>
        <v>#DIV/0!</v>
      </c>
      <c r="R1492" s="75">
        <f t="shared" si="203"/>
        <v>0</v>
      </c>
      <c r="S1492" s="75" t="e">
        <f t="shared" si="204"/>
        <v>#DIV/0!</v>
      </c>
      <c r="U1492" s="306" t="e">
        <f t="shared" si="205"/>
        <v>#DIV/0!</v>
      </c>
    </row>
    <row r="1493" spans="4:21" x14ac:dyDescent="0.35">
      <c r="D1493" s="3"/>
      <c r="G1493" s="3" t="s">
        <v>87</v>
      </c>
      <c r="M1493" s="3"/>
      <c r="N1493" s="356" t="e" cm="1">
        <f t="array" ref="N1493">_xlfn.IFS(I1493="AEX",H1493/400,I1493="RP",H1493/200)</f>
        <v>#N/A</v>
      </c>
      <c r="P1493" s="75" t="e">
        <f t="shared" si="202"/>
        <v>#DIV/0!</v>
      </c>
      <c r="Q1493" s="3" t="e" cm="1">
        <f t="array" ref="Q1493">_xlfn.IFS(P1493&lt;200, "10", P1493&lt;400, "12", P1493&lt;600, "14", P1493&gt;600, "16")</f>
        <v>#DIV/0!</v>
      </c>
      <c r="R1493" s="75">
        <f t="shared" si="203"/>
        <v>0</v>
      </c>
      <c r="S1493" s="75" t="e">
        <f t="shared" si="204"/>
        <v>#DIV/0!</v>
      </c>
      <c r="U1493" s="306" t="e">
        <f t="shared" si="205"/>
        <v>#DIV/0!</v>
      </c>
    </row>
    <row r="1494" spans="4:21" x14ac:dyDescent="0.35">
      <c r="D1494" s="3"/>
      <c r="G1494" s="3" t="s">
        <v>87</v>
      </c>
      <c r="M1494" s="3"/>
      <c r="N1494" s="356" t="e" cm="1">
        <f t="array" ref="N1494">_xlfn.IFS(I1494="AEX",H1494/400,I1494="RP",H1494/200)</f>
        <v>#N/A</v>
      </c>
      <c r="P1494" s="75" t="e">
        <f t="shared" si="202"/>
        <v>#DIV/0!</v>
      </c>
      <c r="Q1494" s="3" t="e" cm="1">
        <f t="array" ref="Q1494">_xlfn.IFS(P1494&lt;200, "10", P1494&lt;400, "12", P1494&lt;600, "14", P1494&gt;600, "16")</f>
        <v>#DIV/0!</v>
      </c>
      <c r="R1494" s="75">
        <f t="shared" si="203"/>
        <v>0</v>
      </c>
      <c r="S1494" s="75" t="e">
        <f t="shared" si="204"/>
        <v>#DIV/0!</v>
      </c>
      <c r="U1494" s="306" t="e">
        <f t="shared" si="205"/>
        <v>#DIV/0!</v>
      </c>
    </row>
    <row r="1495" spans="4:21" x14ac:dyDescent="0.35">
      <c r="D1495" s="3"/>
      <c r="G1495" s="3" t="s">
        <v>87</v>
      </c>
      <c r="M1495" s="3"/>
      <c r="N1495" s="356" t="e" cm="1">
        <f t="array" ref="N1495">_xlfn.IFS(I1495="AEX",H1495/400,I1495="RP",H1495/200)</f>
        <v>#N/A</v>
      </c>
      <c r="P1495" s="75" t="e">
        <f t="shared" si="202"/>
        <v>#DIV/0!</v>
      </c>
      <c r="Q1495" s="3" t="e" cm="1">
        <f t="array" ref="Q1495">_xlfn.IFS(P1495&lt;200, "10", P1495&lt;400, "12", P1495&lt;600, "14", P1495&gt;600, "16")</f>
        <v>#DIV/0!</v>
      </c>
      <c r="R1495" s="75">
        <f t="shared" si="203"/>
        <v>0</v>
      </c>
      <c r="S1495" s="75" t="e">
        <f t="shared" si="204"/>
        <v>#DIV/0!</v>
      </c>
      <c r="U1495" s="306" t="e">
        <f t="shared" si="205"/>
        <v>#DIV/0!</v>
      </c>
    </row>
    <row r="1496" spans="4:21" x14ac:dyDescent="0.35">
      <c r="D1496" s="3"/>
      <c r="G1496" s="3" t="s">
        <v>87</v>
      </c>
      <c r="M1496" s="3"/>
      <c r="N1496" s="356" t="e" cm="1">
        <f t="array" ref="N1496">_xlfn.IFS(I1496="AEX",H1496/400,I1496="RP",H1496/200)</f>
        <v>#N/A</v>
      </c>
      <c r="P1496" s="75" t="e">
        <f t="shared" si="202"/>
        <v>#DIV/0!</v>
      </c>
      <c r="Q1496" s="3" t="e" cm="1">
        <f t="array" ref="Q1496">_xlfn.IFS(P1496&lt;200, "10", P1496&lt;400, "12", P1496&lt;600, "14", P1496&gt;600, "16")</f>
        <v>#DIV/0!</v>
      </c>
      <c r="R1496" s="75">
        <f t="shared" si="203"/>
        <v>0</v>
      </c>
      <c r="S1496" s="75" t="e">
        <f t="shared" si="204"/>
        <v>#DIV/0!</v>
      </c>
      <c r="U1496" s="306" t="e">
        <f t="shared" si="205"/>
        <v>#DIV/0!</v>
      </c>
    </row>
    <row r="1497" spans="4:21" x14ac:dyDescent="0.35">
      <c r="D1497" s="3"/>
      <c r="G1497" s="3" t="s">
        <v>87</v>
      </c>
      <c r="M1497" s="3"/>
      <c r="N1497" s="356" t="e" cm="1">
        <f t="array" ref="N1497">_xlfn.IFS(I1497="AEX",H1497/400,I1497="RP",H1497/200)</f>
        <v>#N/A</v>
      </c>
      <c r="P1497" s="75" t="e">
        <f t="shared" si="202"/>
        <v>#DIV/0!</v>
      </c>
      <c r="Q1497" s="3" t="e" cm="1">
        <f t="array" ref="Q1497">_xlfn.IFS(P1497&lt;200, "10", P1497&lt;400, "12", P1497&lt;600, "14", P1497&gt;600, "16")</f>
        <v>#DIV/0!</v>
      </c>
      <c r="R1497" s="75">
        <f t="shared" si="203"/>
        <v>0</v>
      </c>
      <c r="S1497" s="75" t="e">
        <f t="shared" si="204"/>
        <v>#DIV/0!</v>
      </c>
      <c r="U1497" s="306" t="e">
        <f t="shared" si="205"/>
        <v>#DIV/0!</v>
      </c>
    </row>
    <row r="1498" spans="4:21" x14ac:dyDescent="0.35">
      <c r="D1498" s="3"/>
      <c r="G1498" s="3" t="s">
        <v>87</v>
      </c>
      <c r="M1498" s="3"/>
      <c r="N1498" s="356" t="e" cm="1">
        <f t="array" ref="N1498">_xlfn.IFS(I1498="AEX",H1498/400,I1498="RP",H1498/200)</f>
        <v>#N/A</v>
      </c>
      <c r="P1498" s="75" t="e">
        <f t="shared" si="202"/>
        <v>#DIV/0!</v>
      </c>
      <c r="Q1498" s="3" t="e" cm="1">
        <f t="array" ref="Q1498">_xlfn.IFS(P1498&lt;200, "10", P1498&lt;400, "12", P1498&lt;600, "14", P1498&gt;600, "16")</f>
        <v>#DIV/0!</v>
      </c>
      <c r="R1498" s="75">
        <f t="shared" si="203"/>
        <v>0</v>
      </c>
      <c r="S1498" s="75" t="e">
        <f t="shared" si="204"/>
        <v>#DIV/0!</v>
      </c>
      <c r="U1498" s="306" t="e">
        <f t="shared" si="205"/>
        <v>#DIV/0!</v>
      </c>
    </row>
    <row r="1499" spans="4:21" x14ac:dyDescent="0.35">
      <c r="D1499" s="3"/>
      <c r="G1499" s="3" t="s">
        <v>87</v>
      </c>
      <c r="M1499" s="3"/>
      <c r="N1499" s="356" t="e" cm="1">
        <f t="array" ref="N1499">_xlfn.IFS(I1499="AEX",H1499/400,I1499="RP",H1499/200)</f>
        <v>#N/A</v>
      </c>
      <c r="P1499" s="75" t="e">
        <f t="shared" si="202"/>
        <v>#DIV/0!</v>
      </c>
      <c r="Q1499" s="3" t="e" cm="1">
        <f t="array" ref="Q1499">_xlfn.IFS(P1499&lt;200, "10", P1499&lt;400, "12", P1499&lt;600, "14", P1499&gt;600, "16")</f>
        <v>#DIV/0!</v>
      </c>
      <c r="R1499" s="75">
        <f t="shared" si="203"/>
        <v>0</v>
      </c>
      <c r="S1499" s="75" t="e">
        <f t="shared" si="204"/>
        <v>#DIV/0!</v>
      </c>
      <c r="U1499" s="306" t="e">
        <f t="shared" si="205"/>
        <v>#DIV/0!</v>
      </c>
    </row>
    <row r="1500" spans="4:21" x14ac:dyDescent="0.35">
      <c r="D1500" s="3"/>
      <c r="G1500" s="3" t="s">
        <v>87</v>
      </c>
      <c r="M1500" s="3"/>
      <c r="N1500" s="356" t="e" cm="1">
        <f t="array" ref="N1500">_xlfn.IFS(I1500="AEX",H1500/400,I1500="RP",H1500/200)</f>
        <v>#N/A</v>
      </c>
      <c r="P1500" s="75" t="e">
        <f t="shared" si="202"/>
        <v>#DIV/0!</v>
      </c>
      <c r="Q1500" s="3" t="e" cm="1">
        <f t="array" ref="Q1500">_xlfn.IFS(P1500&lt;200, "10", P1500&lt;400, "12", P1500&lt;600, "14", P1500&gt;600, "16")</f>
        <v>#DIV/0!</v>
      </c>
      <c r="R1500" s="75">
        <f t="shared" si="203"/>
        <v>0</v>
      </c>
      <c r="S1500" s="75" t="e">
        <f t="shared" si="204"/>
        <v>#DIV/0!</v>
      </c>
      <c r="U1500" s="306" t="e">
        <f t="shared" si="205"/>
        <v>#DIV/0!</v>
      </c>
    </row>
    <row r="1501" spans="4:21" x14ac:dyDescent="0.35">
      <c r="D1501" s="3"/>
      <c r="G1501" s="3" t="s">
        <v>87</v>
      </c>
      <c r="M1501" s="3"/>
      <c r="N1501" s="356" t="e" cm="1">
        <f t="array" ref="N1501">_xlfn.IFS(I1501="AEX",H1501/400,I1501="RP",H1501/200)</f>
        <v>#N/A</v>
      </c>
      <c r="P1501" s="75" t="e">
        <f t="shared" si="202"/>
        <v>#DIV/0!</v>
      </c>
      <c r="Q1501" s="3" t="e" cm="1">
        <f t="array" ref="Q1501">_xlfn.IFS(P1501&lt;200, "10", P1501&lt;400, "12", P1501&lt;600, "14", P1501&gt;600, "16")</f>
        <v>#DIV/0!</v>
      </c>
      <c r="R1501" s="75">
        <f t="shared" si="203"/>
        <v>0</v>
      </c>
      <c r="S1501" s="75" t="e">
        <f t="shared" si="204"/>
        <v>#DIV/0!</v>
      </c>
      <c r="U1501" s="306" t="e">
        <f t="shared" si="205"/>
        <v>#DIV/0!</v>
      </c>
    </row>
    <row r="1502" spans="4:21" x14ac:dyDescent="0.35">
      <c r="D1502" s="3"/>
      <c r="G1502" s="3" t="s">
        <v>87</v>
      </c>
      <c r="M1502" s="3"/>
      <c r="N1502" s="356" t="e" cm="1">
        <f t="array" ref="N1502">_xlfn.IFS(I1502="AEX",H1502/400,I1502="RP",H1502/200)</f>
        <v>#N/A</v>
      </c>
      <c r="P1502" s="75" t="e">
        <f t="shared" si="202"/>
        <v>#DIV/0!</v>
      </c>
      <c r="Q1502" s="3" t="e" cm="1">
        <f t="array" ref="Q1502">_xlfn.IFS(P1502&lt;200, "10", P1502&lt;400, "12", P1502&lt;600, "14", P1502&gt;600, "16")</f>
        <v>#DIV/0!</v>
      </c>
      <c r="R1502" s="75">
        <f t="shared" si="203"/>
        <v>0</v>
      </c>
      <c r="S1502" s="75" t="e">
        <f t="shared" si="204"/>
        <v>#DIV/0!</v>
      </c>
      <c r="U1502" s="306" t="e">
        <f t="shared" si="205"/>
        <v>#DIV/0!</v>
      </c>
    </row>
    <row r="1503" spans="4:21" x14ac:dyDescent="0.35">
      <c r="D1503" s="3"/>
      <c r="G1503" s="3" t="s">
        <v>87</v>
      </c>
      <c r="M1503" s="3"/>
      <c r="N1503" s="356" t="e" cm="1">
        <f t="array" ref="N1503">_xlfn.IFS(I1503="AEX",H1503/400,I1503="RP",H1503/200)</f>
        <v>#N/A</v>
      </c>
      <c r="P1503" s="75" t="e">
        <f t="shared" si="202"/>
        <v>#DIV/0!</v>
      </c>
      <c r="Q1503" s="3" t="e" cm="1">
        <f t="array" ref="Q1503">_xlfn.IFS(P1503&lt;200, "10", P1503&lt;400, "12", P1503&lt;600, "14", P1503&gt;600, "16")</f>
        <v>#DIV/0!</v>
      </c>
      <c r="R1503" s="75">
        <f t="shared" si="203"/>
        <v>0</v>
      </c>
      <c r="S1503" s="75" t="e">
        <f t="shared" si="204"/>
        <v>#DIV/0!</v>
      </c>
      <c r="U1503" s="306" t="e">
        <f t="shared" si="205"/>
        <v>#DIV/0!</v>
      </c>
    </row>
    <row r="1504" spans="4:21" x14ac:dyDescent="0.35">
      <c r="D1504" s="3"/>
      <c r="G1504" s="3" t="s">
        <v>87</v>
      </c>
      <c r="M1504" s="3"/>
      <c r="N1504" s="356" t="e" cm="1">
        <f t="array" ref="N1504">_xlfn.IFS(I1504="AEX",H1504/400,I1504="RP",H1504/200)</f>
        <v>#N/A</v>
      </c>
      <c r="P1504" s="75" t="e">
        <f t="shared" si="202"/>
        <v>#DIV/0!</v>
      </c>
      <c r="Q1504" s="3" t="e" cm="1">
        <f t="array" ref="Q1504">_xlfn.IFS(P1504&lt;200, "10", P1504&lt;400, "12", P1504&lt;600, "14", P1504&gt;600, "16")</f>
        <v>#DIV/0!</v>
      </c>
      <c r="R1504" s="75">
        <f t="shared" si="203"/>
        <v>0</v>
      </c>
      <c r="S1504" s="75" t="e">
        <f t="shared" si="204"/>
        <v>#DIV/0!</v>
      </c>
      <c r="U1504" s="306" t="e">
        <f t="shared" si="205"/>
        <v>#DIV/0!</v>
      </c>
    </row>
    <row r="1505" spans="4:21" x14ac:dyDescent="0.35">
      <c r="D1505" s="3"/>
      <c r="G1505" s="3" t="s">
        <v>87</v>
      </c>
      <c r="M1505" s="3"/>
      <c r="N1505" s="356" t="e" cm="1">
        <f t="array" ref="N1505">_xlfn.IFS(I1505="AEX",H1505/400,I1505="RP",H1505/200)</f>
        <v>#N/A</v>
      </c>
      <c r="P1505" s="75" t="e">
        <f t="shared" si="202"/>
        <v>#DIV/0!</v>
      </c>
      <c r="Q1505" s="3" t="e" cm="1">
        <f t="array" ref="Q1505">_xlfn.IFS(P1505&lt;200, "10", P1505&lt;400, "12", P1505&lt;600, "14", P1505&gt;600, "16")</f>
        <v>#DIV/0!</v>
      </c>
      <c r="R1505" s="75">
        <f t="shared" si="203"/>
        <v>0</v>
      </c>
      <c r="S1505" s="75" t="e">
        <f t="shared" si="204"/>
        <v>#DIV/0!</v>
      </c>
      <c r="U1505" s="306" t="e">
        <f t="shared" si="205"/>
        <v>#DIV/0!</v>
      </c>
    </row>
    <row r="1506" spans="4:21" x14ac:dyDescent="0.35">
      <c r="D1506" s="3"/>
      <c r="G1506" s="3" t="s">
        <v>87</v>
      </c>
      <c r="M1506" s="3"/>
      <c r="N1506" s="356" t="e" cm="1">
        <f t="array" ref="N1506">_xlfn.IFS(I1506="AEX",H1506/400,I1506="RP",H1506/200)</f>
        <v>#N/A</v>
      </c>
      <c r="P1506" s="75" t="e">
        <f t="shared" si="202"/>
        <v>#DIV/0!</v>
      </c>
      <c r="Q1506" s="3" t="e" cm="1">
        <f t="array" ref="Q1506">_xlfn.IFS(P1506&lt;200, "10", P1506&lt;400, "12", P1506&lt;600, "14", P1506&gt;600, "16")</f>
        <v>#DIV/0!</v>
      </c>
      <c r="R1506" s="75">
        <f t="shared" si="203"/>
        <v>0</v>
      </c>
      <c r="S1506" s="75" t="e">
        <f t="shared" si="204"/>
        <v>#DIV/0!</v>
      </c>
      <c r="U1506" s="306" t="e">
        <f t="shared" si="205"/>
        <v>#DIV/0!</v>
      </c>
    </row>
    <row r="1507" spans="4:21" x14ac:dyDescent="0.35">
      <c r="D1507" s="3"/>
      <c r="G1507" s="3" t="s">
        <v>87</v>
      </c>
      <c r="M1507" s="3"/>
      <c r="N1507" s="356" t="e" cm="1">
        <f t="array" ref="N1507">_xlfn.IFS(I1507="AEX",H1507/400,I1507="RP",H1507/200)</f>
        <v>#N/A</v>
      </c>
      <c r="P1507" s="75" t="e">
        <f t="shared" si="202"/>
        <v>#DIV/0!</v>
      </c>
      <c r="Q1507" s="3" t="e" cm="1">
        <f t="array" ref="Q1507">_xlfn.IFS(P1507&lt;200, "10", P1507&lt;400, "12", P1507&lt;600, "14", P1507&gt;600, "16")</f>
        <v>#DIV/0!</v>
      </c>
      <c r="R1507" s="75">
        <f t="shared" si="203"/>
        <v>0</v>
      </c>
      <c r="S1507" s="75" t="e">
        <f t="shared" si="204"/>
        <v>#DIV/0!</v>
      </c>
      <c r="U1507" s="306" t="e">
        <f t="shared" si="205"/>
        <v>#DIV/0!</v>
      </c>
    </row>
    <row r="1508" spans="4:21" x14ac:dyDescent="0.35">
      <c r="D1508" s="3"/>
      <c r="G1508" s="3" t="s">
        <v>87</v>
      </c>
      <c r="M1508" s="3"/>
      <c r="N1508" s="356" t="e" cm="1">
        <f t="array" ref="N1508">_xlfn.IFS(I1508="AEX",H1508/400,I1508="RP",H1508/200)</f>
        <v>#N/A</v>
      </c>
      <c r="P1508" s="75" t="e">
        <f t="shared" si="202"/>
        <v>#DIV/0!</v>
      </c>
      <c r="Q1508" s="3" t="e" cm="1">
        <f t="array" ref="Q1508">_xlfn.IFS(P1508&lt;200, "10", P1508&lt;400, "12", P1508&lt;600, "14", P1508&gt;600, "16")</f>
        <v>#DIV/0!</v>
      </c>
      <c r="R1508" s="75">
        <f t="shared" si="203"/>
        <v>0</v>
      </c>
      <c r="S1508" s="75" t="e">
        <f t="shared" si="204"/>
        <v>#DIV/0!</v>
      </c>
      <c r="U1508" s="306" t="e">
        <f t="shared" si="205"/>
        <v>#DIV/0!</v>
      </c>
    </row>
    <row r="1509" spans="4:21" x14ac:dyDescent="0.35">
      <c r="D1509" s="3"/>
      <c r="G1509" s="3" t="s">
        <v>87</v>
      </c>
      <c r="M1509" s="3"/>
      <c r="N1509" s="356" t="e" cm="1">
        <f t="array" ref="N1509">_xlfn.IFS(I1509="AEX",H1509/400,I1509="RP",H1509/200)</f>
        <v>#N/A</v>
      </c>
      <c r="P1509" s="75" t="e">
        <f t="shared" si="202"/>
        <v>#DIV/0!</v>
      </c>
      <c r="Q1509" s="3" t="e" cm="1">
        <f t="array" ref="Q1509">_xlfn.IFS(P1509&lt;200, "10", P1509&lt;400, "12", P1509&lt;600, "14", P1509&gt;600, "16")</f>
        <v>#DIV/0!</v>
      </c>
      <c r="R1509" s="75">
        <f t="shared" si="203"/>
        <v>0</v>
      </c>
      <c r="S1509" s="75" t="e">
        <f t="shared" si="204"/>
        <v>#DIV/0!</v>
      </c>
      <c r="U1509" s="306" t="e">
        <f t="shared" si="205"/>
        <v>#DIV/0!</v>
      </c>
    </row>
    <row r="1510" spans="4:21" x14ac:dyDescent="0.35">
      <c r="D1510" s="3"/>
      <c r="G1510" s="3" t="s">
        <v>87</v>
      </c>
      <c r="M1510" s="3"/>
      <c r="N1510" s="356" t="e" cm="1">
        <f t="array" ref="N1510">_xlfn.IFS(I1510="AEX",H1510/400,I1510="RP",H1510/200)</f>
        <v>#N/A</v>
      </c>
      <c r="P1510" s="75" t="e">
        <f t="shared" si="202"/>
        <v>#DIV/0!</v>
      </c>
      <c r="Q1510" s="3" t="e" cm="1">
        <f t="array" ref="Q1510">_xlfn.IFS(P1510&lt;200, "10", P1510&lt;400, "12", P1510&lt;600, "14", P1510&gt;600, "16")</f>
        <v>#DIV/0!</v>
      </c>
      <c r="R1510" s="75">
        <f t="shared" si="203"/>
        <v>0</v>
      </c>
      <c r="S1510" s="75" t="e">
        <f t="shared" si="204"/>
        <v>#DIV/0!</v>
      </c>
      <c r="U1510" s="306" t="e">
        <f t="shared" si="205"/>
        <v>#DIV/0!</v>
      </c>
    </row>
    <row r="1511" spans="4:21" x14ac:dyDescent="0.35">
      <c r="D1511" s="3"/>
      <c r="G1511" s="3" t="s">
        <v>87</v>
      </c>
      <c r="M1511" s="3"/>
      <c r="N1511" s="356" t="e" cm="1">
        <f t="array" ref="N1511">_xlfn.IFS(I1511="AEX",H1511/400,I1511="RP",H1511/200)</f>
        <v>#N/A</v>
      </c>
      <c r="P1511" s="75" t="e">
        <f t="shared" si="202"/>
        <v>#DIV/0!</v>
      </c>
      <c r="Q1511" s="3" t="e" cm="1">
        <f t="array" ref="Q1511">_xlfn.IFS(P1511&lt;200, "10", P1511&lt;400, "12", P1511&lt;600, "14", P1511&gt;600, "16")</f>
        <v>#DIV/0!</v>
      </c>
      <c r="R1511" s="75">
        <f t="shared" si="203"/>
        <v>0</v>
      </c>
      <c r="S1511" s="75" t="e">
        <f t="shared" si="204"/>
        <v>#DIV/0!</v>
      </c>
      <c r="U1511" s="306" t="e">
        <f t="shared" si="205"/>
        <v>#DIV/0!</v>
      </c>
    </row>
    <row r="1512" spans="4:21" x14ac:dyDescent="0.35">
      <c r="D1512" s="3"/>
      <c r="G1512" s="3" t="s">
        <v>87</v>
      </c>
      <c r="M1512" s="3"/>
      <c r="N1512" s="356" t="e" cm="1">
        <f t="array" ref="N1512">_xlfn.IFS(I1512="AEX",H1512/400,I1512="RP",H1512/200)</f>
        <v>#N/A</v>
      </c>
      <c r="P1512" s="75" t="e">
        <f t="shared" si="202"/>
        <v>#DIV/0!</v>
      </c>
      <c r="Q1512" s="3" t="e" cm="1">
        <f t="array" ref="Q1512">_xlfn.IFS(P1512&lt;200, "10", P1512&lt;400, "12", P1512&lt;600, "14", P1512&gt;600, "16")</f>
        <v>#DIV/0!</v>
      </c>
      <c r="R1512" s="75">
        <f t="shared" si="203"/>
        <v>0</v>
      </c>
      <c r="S1512" s="75" t="e">
        <f t="shared" si="204"/>
        <v>#DIV/0!</v>
      </c>
      <c r="U1512" s="306" t="e">
        <f t="shared" si="205"/>
        <v>#DIV/0!</v>
      </c>
    </row>
    <row r="1513" spans="4:21" x14ac:dyDescent="0.35">
      <c r="D1513" s="3"/>
      <c r="G1513" s="3" t="s">
        <v>87</v>
      </c>
      <c r="M1513" s="3"/>
      <c r="N1513" s="356" t="e" cm="1">
        <f t="array" ref="N1513">_xlfn.IFS(I1513="AEX",H1513/400,I1513="RP",H1513/200)</f>
        <v>#N/A</v>
      </c>
      <c r="P1513" s="75" t="e">
        <f t="shared" si="202"/>
        <v>#DIV/0!</v>
      </c>
      <c r="Q1513" s="3" t="e" cm="1">
        <f t="array" ref="Q1513">_xlfn.IFS(P1513&lt;200, "10", P1513&lt;400, "12", P1513&lt;600, "14", P1513&gt;600, "16")</f>
        <v>#DIV/0!</v>
      </c>
      <c r="R1513" s="75">
        <f t="shared" si="203"/>
        <v>0</v>
      </c>
      <c r="S1513" s="75" t="e">
        <f t="shared" si="204"/>
        <v>#DIV/0!</v>
      </c>
      <c r="U1513" s="306" t="e">
        <f t="shared" si="205"/>
        <v>#DIV/0!</v>
      </c>
    </row>
    <row r="1514" spans="4:21" x14ac:dyDescent="0.35">
      <c r="D1514" s="3"/>
      <c r="G1514" s="3" t="s">
        <v>87</v>
      </c>
      <c r="M1514" s="3"/>
      <c r="N1514" s="356" t="e" cm="1">
        <f t="array" ref="N1514">_xlfn.IFS(I1514="AEX",H1514/400,I1514="RP",H1514/200)</f>
        <v>#N/A</v>
      </c>
      <c r="P1514" s="75" t="e">
        <f t="shared" si="202"/>
        <v>#DIV/0!</v>
      </c>
      <c r="Q1514" s="3" t="e" cm="1">
        <f t="array" ref="Q1514">_xlfn.IFS(P1514&lt;200, "10", P1514&lt;400, "12", P1514&lt;600, "14", P1514&gt;600, "16")</f>
        <v>#DIV/0!</v>
      </c>
      <c r="R1514" s="75">
        <f t="shared" si="203"/>
        <v>0</v>
      </c>
      <c r="S1514" s="75" t="e">
        <f t="shared" si="204"/>
        <v>#DIV/0!</v>
      </c>
      <c r="U1514" s="306" t="e">
        <f t="shared" si="205"/>
        <v>#DIV/0!</v>
      </c>
    </row>
    <row r="1515" spans="4:21" x14ac:dyDescent="0.35">
      <c r="D1515" s="3"/>
      <c r="G1515" s="3" t="s">
        <v>87</v>
      </c>
      <c r="M1515" s="3"/>
      <c r="N1515" s="356" t="e" cm="1">
        <f t="array" ref="N1515">_xlfn.IFS(I1515="AEX",H1515/400,I1515="RP",H1515/200)</f>
        <v>#N/A</v>
      </c>
      <c r="P1515" s="75" t="e">
        <f t="shared" si="202"/>
        <v>#DIV/0!</v>
      </c>
      <c r="Q1515" s="3" t="e" cm="1">
        <f t="array" ref="Q1515">_xlfn.IFS(P1515&lt;200, "10", P1515&lt;400, "12", P1515&lt;600, "14", P1515&gt;600, "16")</f>
        <v>#DIV/0!</v>
      </c>
      <c r="R1515" s="75">
        <f t="shared" si="203"/>
        <v>0</v>
      </c>
      <c r="S1515" s="75" t="e">
        <f t="shared" si="204"/>
        <v>#DIV/0!</v>
      </c>
      <c r="U1515" s="306" t="e">
        <f t="shared" si="205"/>
        <v>#DIV/0!</v>
      </c>
    </row>
    <row r="1516" spans="4:21" x14ac:dyDescent="0.35">
      <c r="D1516" s="3"/>
      <c r="G1516" s="3" t="s">
        <v>87</v>
      </c>
      <c r="M1516" s="3"/>
      <c r="N1516" s="356" t="e" cm="1">
        <f t="array" ref="N1516">_xlfn.IFS(I1516="AEX",H1516/400,I1516="RP",H1516/200)</f>
        <v>#N/A</v>
      </c>
      <c r="P1516" s="75" t="e">
        <f t="shared" si="202"/>
        <v>#DIV/0!</v>
      </c>
      <c r="Q1516" s="3" t="e" cm="1">
        <f t="array" ref="Q1516">_xlfn.IFS(P1516&lt;200, "10", P1516&lt;400, "12", P1516&lt;600, "14", P1516&gt;600, "16")</f>
        <v>#DIV/0!</v>
      </c>
      <c r="R1516" s="75">
        <f t="shared" si="203"/>
        <v>0</v>
      </c>
      <c r="S1516" s="75" t="e">
        <f t="shared" si="204"/>
        <v>#DIV/0!</v>
      </c>
      <c r="U1516" s="306" t="e">
        <f t="shared" si="205"/>
        <v>#DIV/0!</v>
      </c>
    </row>
    <row r="1517" spans="4:21" x14ac:dyDescent="0.35">
      <c r="D1517" s="3"/>
      <c r="G1517" s="3" t="s">
        <v>87</v>
      </c>
      <c r="M1517" s="3"/>
      <c r="N1517" s="356" t="e" cm="1">
        <f t="array" ref="N1517">_xlfn.IFS(I1517="AEX",H1517/400,I1517="RP",H1517/200)</f>
        <v>#N/A</v>
      </c>
      <c r="P1517" s="75" t="e">
        <f t="shared" si="202"/>
        <v>#DIV/0!</v>
      </c>
      <c r="Q1517" s="3" t="e" cm="1">
        <f t="array" ref="Q1517">_xlfn.IFS(P1517&lt;200, "10", P1517&lt;400, "12", P1517&lt;600, "14", P1517&gt;600, "16")</f>
        <v>#DIV/0!</v>
      </c>
      <c r="R1517" s="75">
        <f t="shared" si="203"/>
        <v>0</v>
      </c>
      <c r="S1517" s="75" t="e">
        <f t="shared" si="204"/>
        <v>#DIV/0!</v>
      </c>
      <c r="U1517" s="306" t="e">
        <f t="shared" si="205"/>
        <v>#DIV/0!</v>
      </c>
    </row>
    <row r="1518" spans="4:21" x14ac:dyDescent="0.35">
      <c r="D1518" s="3"/>
      <c r="G1518" s="3" t="s">
        <v>87</v>
      </c>
      <c r="M1518" s="3"/>
      <c r="N1518" s="356" t="e" cm="1">
        <f t="array" ref="N1518">_xlfn.IFS(I1518="AEX",H1518/400,I1518="RP",H1518/200)</f>
        <v>#N/A</v>
      </c>
      <c r="P1518" s="75" t="e">
        <f t="shared" si="202"/>
        <v>#DIV/0!</v>
      </c>
      <c r="Q1518" s="3" t="e" cm="1">
        <f t="array" ref="Q1518">_xlfn.IFS(P1518&lt;200, "10", P1518&lt;400, "12", P1518&lt;600, "14", P1518&gt;600, "16")</f>
        <v>#DIV/0!</v>
      </c>
      <c r="R1518" s="75">
        <f t="shared" si="203"/>
        <v>0</v>
      </c>
      <c r="S1518" s="75" t="e">
        <f t="shared" si="204"/>
        <v>#DIV/0!</v>
      </c>
      <c r="U1518" s="306" t="e">
        <f t="shared" si="205"/>
        <v>#DIV/0!</v>
      </c>
    </row>
    <row r="1519" spans="4:21" x14ac:dyDescent="0.35">
      <c r="D1519" s="3"/>
      <c r="G1519" s="3" t="s">
        <v>87</v>
      </c>
      <c r="M1519" s="3"/>
      <c r="N1519" s="356" t="e" cm="1">
        <f t="array" ref="N1519">_xlfn.IFS(I1519="AEX",H1519/400,I1519="RP",H1519/200)</f>
        <v>#N/A</v>
      </c>
      <c r="P1519" s="75" t="e">
        <f t="shared" si="202"/>
        <v>#DIV/0!</v>
      </c>
      <c r="Q1519" s="3" t="e" cm="1">
        <f t="array" ref="Q1519">_xlfn.IFS(P1519&lt;200, "10", P1519&lt;400, "12", P1519&lt;600, "14", P1519&gt;600, "16")</f>
        <v>#DIV/0!</v>
      </c>
      <c r="R1519" s="75">
        <f t="shared" si="203"/>
        <v>0</v>
      </c>
      <c r="S1519" s="75" t="e">
        <f t="shared" si="204"/>
        <v>#DIV/0!</v>
      </c>
      <c r="U1519" s="306" t="e">
        <f t="shared" si="205"/>
        <v>#DIV/0!</v>
      </c>
    </row>
    <row r="1520" spans="4:21" x14ac:dyDescent="0.35">
      <c r="D1520" s="3"/>
      <c r="G1520" s="3" t="s">
        <v>87</v>
      </c>
      <c r="M1520" s="3"/>
      <c r="N1520" s="356" t="e" cm="1">
        <f t="array" ref="N1520">_xlfn.IFS(I1520="AEX",H1520/400,I1520="RP",H1520/200)</f>
        <v>#N/A</v>
      </c>
      <c r="P1520" s="75" t="e">
        <f t="shared" si="202"/>
        <v>#DIV/0!</v>
      </c>
      <c r="Q1520" s="3" t="e" cm="1">
        <f t="array" ref="Q1520">_xlfn.IFS(P1520&lt;200, "10", P1520&lt;400, "12", P1520&lt;600, "14", P1520&gt;600, "16")</f>
        <v>#DIV/0!</v>
      </c>
      <c r="R1520" s="75">
        <f t="shared" si="203"/>
        <v>0</v>
      </c>
      <c r="S1520" s="75" t="e">
        <f t="shared" si="204"/>
        <v>#DIV/0!</v>
      </c>
      <c r="U1520" s="306" t="e">
        <f t="shared" si="205"/>
        <v>#DIV/0!</v>
      </c>
    </row>
    <row r="1521" spans="4:21" x14ac:dyDescent="0.35">
      <c r="D1521" s="3"/>
      <c r="G1521" s="3" t="s">
        <v>87</v>
      </c>
      <c r="M1521" s="3"/>
      <c r="N1521" s="356" t="e" cm="1">
        <f t="array" ref="N1521">_xlfn.IFS(I1521="AEX",H1521/400,I1521="RP",H1521/200)</f>
        <v>#N/A</v>
      </c>
      <c r="P1521" s="75" t="e">
        <f t="shared" si="202"/>
        <v>#DIV/0!</v>
      </c>
      <c r="Q1521" s="3" t="e" cm="1">
        <f t="array" ref="Q1521">_xlfn.IFS(P1521&lt;200, "10", P1521&lt;400, "12", P1521&lt;600, "14", P1521&gt;600, "16")</f>
        <v>#DIV/0!</v>
      </c>
      <c r="R1521" s="75">
        <f t="shared" si="203"/>
        <v>0</v>
      </c>
      <c r="S1521" s="75" t="e">
        <f t="shared" si="204"/>
        <v>#DIV/0!</v>
      </c>
      <c r="U1521" s="306" t="e">
        <f t="shared" si="205"/>
        <v>#DIV/0!</v>
      </c>
    </row>
    <row r="1522" spans="4:21" x14ac:dyDescent="0.35">
      <c r="D1522" s="3"/>
      <c r="G1522" s="3" t="s">
        <v>87</v>
      </c>
      <c r="M1522" s="3"/>
      <c r="N1522" s="356" t="e" cm="1">
        <f t="array" ref="N1522">_xlfn.IFS(I1522="AEX",H1522/400,I1522="RP",H1522/200)</f>
        <v>#N/A</v>
      </c>
      <c r="P1522" s="75" t="e">
        <f t="shared" si="202"/>
        <v>#DIV/0!</v>
      </c>
      <c r="Q1522" s="3" t="e" cm="1">
        <f t="array" ref="Q1522">_xlfn.IFS(P1522&lt;200, "10", P1522&lt;400, "12", P1522&lt;600, "14", P1522&gt;600, "16")</f>
        <v>#DIV/0!</v>
      </c>
      <c r="R1522" s="75">
        <f t="shared" si="203"/>
        <v>0</v>
      </c>
      <c r="S1522" s="75" t="e">
        <f t="shared" si="204"/>
        <v>#DIV/0!</v>
      </c>
      <c r="U1522" s="306" t="e">
        <f t="shared" si="205"/>
        <v>#DIV/0!</v>
      </c>
    </row>
    <row r="1523" spans="4:21" x14ac:dyDescent="0.35">
      <c r="D1523" s="3"/>
      <c r="G1523" s="3" t="s">
        <v>87</v>
      </c>
      <c r="M1523" s="3"/>
      <c r="N1523" s="356" t="e" cm="1">
        <f t="array" ref="N1523">_xlfn.IFS(I1523="AEX",H1523/400,I1523="RP",H1523/200)</f>
        <v>#N/A</v>
      </c>
      <c r="P1523" s="75" t="e">
        <f t="shared" si="202"/>
        <v>#DIV/0!</v>
      </c>
      <c r="Q1523" s="3" t="e" cm="1">
        <f t="array" ref="Q1523">_xlfn.IFS(P1523&lt;200, "10", P1523&lt;400, "12", P1523&lt;600, "14", P1523&gt;600, "16")</f>
        <v>#DIV/0!</v>
      </c>
      <c r="R1523" s="75">
        <f t="shared" si="203"/>
        <v>0</v>
      </c>
      <c r="S1523" s="75" t="e">
        <f t="shared" si="204"/>
        <v>#DIV/0!</v>
      </c>
      <c r="U1523" s="306" t="e">
        <f t="shared" si="205"/>
        <v>#DIV/0!</v>
      </c>
    </row>
    <row r="1524" spans="4:21" x14ac:dyDescent="0.35">
      <c r="D1524" s="3"/>
      <c r="G1524" s="3" t="s">
        <v>87</v>
      </c>
      <c r="M1524" s="3"/>
      <c r="N1524" s="356" t="e" cm="1">
        <f t="array" ref="N1524">_xlfn.IFS(I1524="AEX",H1524/400,I1524="RP",H1524/200)</f>
        <v>#N/A</v>
      </c>
      <c r="P1524" s="75" t="e">
        <f t="shared" ref="P1524:P1533" si="206">H1524/O1524</f>
        <v>#DIV/0!</v>
      </c>
      <c r="Q1524" s="3" t="e" cm="1">
        <f t="array" ref="Q1524">_xlfn.IFS(P1524&lt;200, "10", P1524&lt;400, "12", P1524&lt;600, "14", P1524&gt;600, "16")</f>
        <v>#DIV/0!</v>
      </c>
      <c r="R1524" s="75">
        <f t="shared" ref="R1524:R1533" si="207">IF(I1524="AEX",H1524*0.3/400,H1524*0.3/200)</f>
        <v>0</v>
      </c>
      <c r="S1524" s="75" t="e">
        <f t="shared" ref="S1524:S1533" si="208">R1524/O1524</f>
        <v>#DIV/0!</v>
      </c>
      <c r="U1524" s="306" t="e">
        <f t="shared" ref="U1524:U1533" si="209">T1524/H1524*100</f>
        <v>#DIV/0!</v>
      </c>
    </row>
    <row r="1525" spans="4:21" x14ac:dyDescent="0.35">
      <c r="D1525" s="3"/>
      <c r="G1525" s="3" t="s">
        <v>87</v>
      </c>
      <c r="M1525" s="3"/>
      <c r="N1525" s="356" t="e" cm="1">
        <f t="array" ref="N1525">_xlfn.IFS(I1525="AEX",H1525/400,I1525="RP",H1525/200)</f>
        <v>#N/A</v>
      </c>
      <c r="P1525" s="75" t="e">
        <f t="shared" si="206"/>
        <v>#DIV/0!</v>
      </c>
      <c r="Q1525" s="3" t="e" cm="1">
        <f t="array" ref="Q1525">_xlfn.IFS(P1525&lt;200, "10", P1525&lt;400, "12", P1525&lt;600, "14", P1525&gt;600, "16")</f>
        <v>#DIV/0!</v>
      </c>
      <c r="R1525" s="75">
        <f t="shared" si="207"/>
        <v>0</v>
      </c>
      <c r="S1525" s="75" t="e">
        <f t="shared" si="208"/>
        <v>#DIV/0!</v>
      </c>
      <c r="U1525" s="306" t="e">
        <f t="shared" si="209"/>
        <v>#DIV/0!</v>
      </c>
    </row>
    <row r="1526" spans="4:21" x14ac:dyDescent="0.35">
      <c r="D1526" s="3"/>
      <c r="G1526" s="3" t="s">
        <v>87</v>
      </c>
      <c r="M1526" s="3"/>
      <c r="N1526" s="356" t="e" cm="1">
        <f t="array" ref="N1526">_xlfn.IFS(I1526="AEX",H1526/400,I1526="RP",H1526/200)</f>
        <v>#N/A</v>
      </c>
      <c r="P1526" s="75" t="e">
        <f t="shared" si="206"/>
        <v>#DIV/0!</v>
      </c>
      <c r="Q1526" s="3" t="e" cm="1">
        <f t="array" ref="Q1526">_xlfn.IFS(P1526&lt;200, "10", P1526&lt;400, "12", P1526&lt;600, "14", P1526&gt;600, "16")</f>
        <v>#DIV/0!</v>
      </c>
      <c r="R1526" s="75">
        <f t="shared" si="207"/>
        <v>0</v>
      </c>
      <c r="S1526" s="75" t="e">
        <f t="shared" si="208"/>
        <v>#DIV/0!</v>
      </c>
      <c r="U1526" s="306" t="e">
        <f t="shared" si="209"/>
        <v>#DIV/0!</v>
      </c>
    </row>
    <row r="1527" spans="4:21" x14ac:dyDescent="0.35">
      <c r="D1527" s="3"/>
      <c r="G1527" s="3" t="s">
        <v>87</v>
      </c>
      <c r="M1527" s="3"/>
      <c r="N1527" s="356" t="e" cm="1">
        <f t="array" ref="N1527">_xlfn.IFS(I1527="AEX",H1527/400,I1527="RP",H1527/200)</f>
        <v>#N/A</v>
      </c>
      <c r="P1527" s="75" t="e">
        <f t="shared" si="206"/>
        <v>#DIV/0!</v>
      </c>
      <c r="Q1527" s="3" t="e" cm="1">
        <f t="array" ref="Q1527">_xlfn.IFS(P1527&lt;200, "10", P1527&lt;400, "12", P1527&lt;600, "14", P1527&gt;600, "16")</f>
        <v>#DIV/0!</v>
      </c>
      <c r="R1527" s="75">
        <f t="shared" si="207"/>
        <v>0</v>
      </c>
      <c r="S1527" s="75" t="e">
        <f t="shared" si="208"/>
        <v>#DIV/0!</v>
      </c>
      <c r="U1527" s="306" t="e">
        <f t="shared" si="209"/>
        <v>#DIV/0!</v>
      </c>
    </row>
    <row r="1528" spans="4:21" x14ac:dyDescent="0.35">
      <c r="D1528" s="3"/>
      <c r="G1528" s="3" t="s">
        <v>87</v>
      </c>
      <c r="M1528" s="3"/>
      <c r="N1528" s="356" t="e" cm="1">
        <f t="array" ref="N1528">_xlfn.IFS(I1528="AEX",H1528/400,I1528="RP",H1528/200)</f>
        <v>#N/A</v>
      </c>
      <c r="P1528" s="75" t="e">
        <f t="shared" si="206"/>
        <v>#DIV/0!</v>
      </c>
      <c r="Q1528" s="3" t="e" cm="1">
        <f t="array" ref="Q1528">_xlfn.IFS(P1528&lt;200, "10", P1528&lt;400, "12", P1528&lt;600, "14", P1528&gt;600, "16")</f>
        <v>#DIV/0!</v>
      </c>
      <c r="R1528" s="75">
        <f t="shared" si="207"/>
        <v>0</v>
      </c>
      <c r="S1528" s="75" t="e">
        <f t="shared" si="208"/>
        <v>#DIV/0!</v>
      </c>
      <c r="U1528" s="306" t="e">
        <f t="shared" si="209"/>
        <v>#DIV/0!</v>
      </c>
    </row>
    <row r="1529" spans="4:21" x14ac:dyDescent="0.35">
      <c r="D1529" s="3"/>
      <c r="G1529" s="3" t="s">
        <v>87</v>
      </c>
      <c r="M1529" s="3"/>
      <c r="N1529" s="356" t="e" cm="1">
        <f t="array" ref="N1529">_xlfn.IFS(I1529="AEX",H1529/400,I1529="RP",H1529/200)</f>
        <v>#N/A</v>
      </c>
      <c r="P1529" s="75" t="e">
        <f t="shared" si="206"/>
        <v>#DIV/0!</v>
      </c>
      <c r="Q1529" s="3" t="e" cm="1">
        <f t="array" ref="Q1529">_xlfn.IFS(P1529&lt;200, "10", P1529&lt;400, "12", P1529&lt;600, "14", P1529&gt;600, "16")</f>
        <v>#DIV/0!</v>
      </c>
      <c r="R1529" s="75">
        <f t="shared" si="207"/>
        <v>0</v>
      </c>
      <c r="S1529" s="75" t="e">
        <f t="shared" si="208"/>
        <v>#DIV/0!</v>
      </c>
      <c r="U1529" s="306" t="e">
        <f t="shared" si="209"/>
        <v>#DIV/0!</v>
      </c>
    </row>
    <row r="1530" spans="4:21" x14ac:dyDescent="0.35">
      <c r="D1530" s="3"/>
      <c r="G1530" s="3" t="s">
        <v>87</v>
      </c>
      <c r="M1530" s="3"/>
      <c r="N1530" s="356" t="e" cm="1">
        <f t="array" ref="N1530">_xlfn.IFS(I1530="AEX",H1530/400,I1530="RP",H1530/200)</f>
        <v>#N/A</v>
      </c>
      <c r="P1530" s="75" t="e">
        <f t="shared" si="206"/>
        <v>#DIV/0!</v>
      </c>
      <c r="Q1530" s="3" t="e" cm="1">
        <f t="array" ref="Q1530">_xlfn.IFS(P1530&lt;200, "10", P1530&lt;400, "12", P1530&lt;600, "14", P1530&gt;600, "16")</f>
        <v>#DIV/0!</v>
      </c>
      <c r="R1530" s="75">
        <f t="shared" si="207"/>
        <v>0</v>
      </c>
      <c r="S1530" s="75" t="e">
        <f t="shared" si="208"/>
        <v>#DIV/0!</v>
      </c>
      <c r="U1530" s="306" t="e">
        <f t="shared" si="209"/>
        <v>#DIV/0!</v>
      </c>
    </row>
    <row r="1531" spans="4:21" x14ac:dyDescent="0.35">
      <c r="D1531" s="3"/>
      <c r="G1531" s="3" t="s">
        <v>87</v>
      </c>
      <c r="M1531" s="3"/>
      <c r="N1531" s="356" t="e" cm="1">
        <f t="array" ref="N1531">_xlfn.IFS(I1531="AEX",H1531/400,I1531="RP",H1531/200)</f>
        <v>#N/A</v>
      </c>
      <c r="P1531" s="75" t="e">
        <f t="shared" si="206"/>
        <v>#DIV/0!</v>
      </c>
      <c r="Q1531" s="3" t="e" cm="1">
        <f t="array" ref="Q1531">_xlfn.IFS(P1531&lt;200, "10", P1531&lt;400, "12", P1531&lt;600, "14", P1531&gt;600, "16")</f>
        <v>#DIV/0!</v>
      </c>
      <c r="R1531" s="75">
        <f t="shared" si="207"/>
        <v>0</v>
      </c>
      <c r="S1531" s="75" t="e">
        <f t="shared" si="208"/>
        <v>#DIV/0!</v>
      </c>
      <c r="U1531" s="306" t="e">
        <f t="shared" si="209"/>
        <v>#DIV/0!</v>
      </c>
    </row>
    <row r="1532" spans="4:21" x14ac:dyDescent="0.35">
      <c r="D1532" s="3"/>
      <c r="G1532" s="3" t="s">
        <v>87</v>
      </c>
      <c r="M1532" s="3"/>
      <c r="N1532" s="356" t="e" cm="1">
        <f t="array" ref="N1532">_xlfn.IFS(I1532="AEX",H1532/400,I1532="RP",H1532/200)</f>
        <v>#N/A</v>
      </c>
      <c r="P1532" s="75" t="e">
        <f t="shared" si="206"/>
        <v>#DIV/0!</v>
      </c>
      <c r="Q1532" s="3" t="e" cm="1">
        <f t="array" ref="Q1532">_xlfn.IFS(P1532&lt;200, "10", P1532&lt;400, "12", P1532&lt;600, "14", P1532&gt;600, "16")</f>
        <v>#DIV/0!</v>
      </c>
      <c r="R1532" s="75">
        <f t="shared" si="207"/>
        <v>0</v>
      </c>
      <c r="S1532" s="75" t="e">
        <f t="shared" si="208"/>
        <v>#DIV/0!</v>
      </c>
      <c r="U1532" s="306" t="e">
        <f t="shared" si="209"/>
        <v>#DIV/0!</v>
      </c>
    </row>
    <row r="1533" spans="4:21" x14ac:dyDescent="0.35">
      <c r="D1533" s="3"/>
      <c r="G1533" s="3" t="s">
        <v>87</v>
      </c>
      <c r="M1533" s="3"/>
      <c r="N1533" s="356" t="e" cm="1">
        <f t="array" ref="N1533">_xlfn.IFS(I1533="AEX",H1533/400,I1533="RP",H1533/200)</f>
        <v>#N/A</v>
      </c>
      <c r="P1533" s="75" t="e">
        <f t="shared" si="206"/>
        <v>#DIV/0!</v>
      </c>
      <c r="Q1533" s="3" t="e" cm="1">
        <f t="array" ref="Q1533">_xlfn.IFS(P1533&lt;200, "10", P1533&lt;400, "12", P1533&lt;600, "14", P1533&gt;600, "16")</f>
        <v>#DIV/0!</v>
      </c>
      <c r="R1533" s="75">
        <f t="shared" si="207"/>
        <v>0</v>
      </c>
      <c r="S1533" s="75" t="e">
        <f t="shared" si="208"/>
        <v>#DIV/0!</v>
      </c>
      <c r="U1533" s="306" t="e">
        <f t="shared" si="209"/>
        <v>#DIV/0!</v>
      </c>
    </row>
    <row r="1534" spans="4:21" x14ac:dyDescent="0.35">
      <c r="D1534" s="3"/>
      <c r="G1534" s="3" t="s">
        <v>87</v>
      </c>
    </row>
    <row r="1535" spans="4:21" x14ac:dyDescent="0.35">
      <c r="D1535" s="3"/>
    </row>
    <row r="1536" spans="4:21" x14ac:dyDescent="0.35">
      <c r="D1536" s="3"/>
    </row>
    <row r="1537" spans="4:4" x14ac:dyDescent="0.35">
      <c r="D1537" s="3"/>
    </row>
    <row r="1538" spans="4:4" x14ac:dyDescent="0.35">
      <c r="D1538" s="3"/>
    </row>
    <row r="1539" spans="4:4" x14ac:dyDescent="0.35">
      <c r="D1539" s="3"/>
    </row>
    <row r="1540" spans="4:4" x14ac:dyDescent="0.35">
      <c r="D1540" s="3"/>
    </row>
    <row r="1541" spans="4:4" x14ac:dyDescent="0.35">
      <c r="D1541" s="3"/>
    </row>
    <row r="1542" spans="4:4" x14ac:dyDescent="0.35">
      <c r="D1542" s="3"/>
    </row>
    <row r="1543" spans="4:4" x14ac:dyDescent="0.35">
      <c r="D1543" s="3"/>
    </row>
    <row r="1544" spans="4:4" x14ac:dyDescent="0.35">
      <c r="D1544" s="3"/>
    </row>
    <row r="1545" spans="4:4" x14ac:dyDescent="0.35">
      <c r="D1545" s="3"/>
    </row>
    <row r="1546" spans="4:4" x14ac:dyDescent="0.35">
      <c r="D1546" s="3"/>
    </row>
    <row r="1547" spans="4:4" x14ac:dyDescent="0.35">
      <c r="D1547" s="3"/>
    </row>
    <row r="1548" spans="4:4" x14ac:dyDescent="0.35">
      <c r="D1548" s="3"/>
    </row>
    <row r="1549" spans="4:4" x14ac:dyDescent="0.35">
      <c r="D1549" s="3"/>
    </row>
    <row r="1550" spans="4:4" x14ac:dyDescent="0.35">
      <c r="D1550" s="3"/>
    </row>
    <row r="1551" spans="4:4" x14ac:dyDescent="0.35">
      <c r="D1551" s="3"/>
    </row>
    <row r="1552" spans="4:4" x14ac:dyDescent="0.35">
      <c r="D1552" s="3"/>
    </row>
    <row r="1553" spans="4:4" x14ac:dyDescent="0.35">
      <c r="D1553" s="3"/>
    </row>
    <row r="1554" spans="4:4" x14ac:dyDescent="0.35">
      <c r="D1554" s="3"/>
    </row>
    <row r="1555" spans="4:4" x14ac:dyDescent="0.35">
      <c r="D1555" s="3"/>
    </row>
    <row r="1556" spans="4:4" x14ac:dyDescent="0.35">
      <c r="D1556" s="3"/>
    </row>
    <row r="1557" spans="4:4" x14ac:dyDescent="0.35">
      <c r="D1557" s="3"/>
    </row>
    <row r="1558" spans="4:4" x14ac:dyDescent="0.35">
      <c r="D1558" s="3"/>
    </row>
  </sheetData>
  <sheetProtection formatCells="0" formatColumns="0" formatRows="0" insertColumns="0" insertRows="0" insertHyperlinks="0" deleteColumns="0" deleteRows="0" sort="0" autoFilter="0" pivotTables="0"/>
  <protectedRanges>
    <protectedRange sqref="Q2:W12 A102:A122 B102:B118 B120:B122 U13:W101 A126:A128 Y2:Y127 Z2:AD129 A135 A141 A146 A142:B145 Q147:W158 E161:E167 Y130:AD164 X162:X164 Q159:T159 X165:AD166 X167 U159:W169 B185:B186 Y167:AD195 F160:F167 A147:C184 C141:C146 A136:C140 A129:C134 C135 C126:C128 A123:C125 C102:C122 A95:C101 B94:C94 F196 B190:B197 W196:FA196 Q13:T93 N160:T169 N147:P159 N102:W146 N94:T101 N170:W195 N196:V197 W197 C185:C198 B199:C199 C200:C201 A185:A201 I196:J201 A202:C203 E204:E206 B205:B206 I204:J206 A204:A206 A207:B208 C1829:W10100 X238 X249:X250 X253:X254 H266:I266 J266:J268 F282:F286 N2:P93 A317 C317 A209:C316 A2:C93 H196 H199:H201 H202:J203 H1534:W1828 H1355:L1533 H207:J265 H268:I268 H267 H2:J195 A348 I347 N347:S347 H269:J346 A318:C346 Y197:AD346 Y348:AD351 B351 N352:S352 I352:J352 A349:C350 C347:C348 N348:T351 H348:J351 N346:T346 V346:W346 V348:W351 C351:C353 B353 A351:A353 N353:T355 V353:W355 U346:U355 W352 Y352:Z352 C1559:F1828 E2:F159 E168:F195 E196:E198 E199:F203 E207:F273 E275:F275 E274 E276:E286 J1065:L1354 L2:L333 Y353:AD364 N356:W364 X368 N365:AD365 X362 Y366:Y409 W366:W409 Z366:AD411 Y411 E287:F437 F438 N198:W345 W411:W471 N366:V473 W473 A354:C481 H353:J481 H483:J483 Y412:AD481 N474:W481 J482 Y482:AC482 O482:W482 C482 L335:L483 L485:L1064 E439:F483 E485:F1558 B488:B10097 A483:C483 N483:W483 N485:W1533 Y483:AD483 Y485:AD10100 A488:A10100 H485:I1354 J485:J1064 A485:C487 C488:C1558" name="Range1"/>
  </protectedRanges>
  <dataConsolidate/>
  <mergeCells count="5">
    <mergeCell ref="AA259:AA260"/>
    <mergeCell ref="AB259:AB260"/>
    <mergeCell ref="AC259:AC260"/>
    <mergeCell ref="T450:T451"/>
    <mergeCell ref="U450:U451"/>
  </mergeCells>
  <phoneticPr fontId="10" type="noConversion"/>
  <conditionalFormatting sqref="C2:C16 C1559:D1048576 C20:C483 C485:C1558">
    <cfRule type="cellIs" dxfId="41" priority="50" operator="equal">
      <formula>"Redoing"</formula>
    </cfRule>
  </conditionalFormatting>
  <conditionalFormatting sqref="C1559:D1048576 C2:C483 C485:C1558">
    <cfRule type="cellIs" dxfId="40" priority="1" operator="equal">
      <formula>"desalt only"</formula>
    </cfRule>
    <cfRule type="cellIs" dxfId="39" priority="34" operator="equal">
      <formula>"Transferred"</formula>
    </cfRule>
    <cfRule type="cellIs" dxfId="38" priority="35" operator="equal">
      <formula>"In Process"</formula>
    </cfRule>
    <cfRule type="cellIs" dxfId="37" priority="36" operator="equal">
      <formula>"Purified"</formula>
    </cfRule>
  </conditionalFormatting>
  <conditionalFormatting sqref="E2:E159 C160:C161 E161:E483 E485:E1411">
    <cfRule type="cellIs" dxfId="36" priority="47" operator="equal">
      <formula>"low"</formula>
    </cfRule>
    <cfRule type="cellIs" dxfId="35" priority="48" operator="equal">
      <formula>"medium"</formula>
    </cfRule>
    <cfRule type="cellIs" dxfId="34" priority="49" operator="equal">
      <formula>"HIGH"</formula>
    </cfRule>
  </conditionalFormatting>
  <conditionalFormatting sqref="F2:F196 N196:S196 W196:Z196 AD196:FA196 F199:F273 F275 F282:F483 F485:F1411">
    <cfRule type="cellIs" dxfId="33" priority="24" operator="equal">
      <formula>0.5</formula>
    </cfRule>
    <cfRule type="cellIs" dxfId="32" priority="30" operator="equal">
      <formula>0.25</formula>
    </cfRule>
    <cfRule type="cellIs" dxfId="31" priority="44" operator="equal">
      <formula>0.1</formula>
    </cfRule>
    <cfRule type="cellIs" dxfId="30" priority="45" operator="equal">
      <formula>0.05</formula>
    </cfRule>
    <cfRule type="cellIs" dxfId="29" priority="46" operator="equal">
      <formula>0.01</formula>
    </cfRule>
  </conditionalFormatting>
  <conditionalFormatting sqref="F32">
    <cfRule type="cellIs" dxfId="28" priority="43" operator="equal">
      <formula>0.2</formula>
    </cfRule>
  </conditionalFormatting>
  <conditionalFormatting sqref="F159 F224:F236 F311:F318 F327:F331 F333:F335 F342 F347:F348 F351:F353 F356:F370 F373:F378 F383:F384">
    <cfRule type="cellIs" dxfId="27" priority="21" operator="equal">
      <formula>0.2</formula>
    </cfRule>
  </conditionalFormatting>
  <conditionalFormatting sqref="F183">
    <cfRule type="cellIs" dxfId="26" priority="19" operator="equal">
      <formula>0.2</formula>
    </cfRule>
  </conditionalFormatting>
  <conditionalFormatting sqref="F211">
    <cfRule type="cellIs" dxfId="25" priority="17" operator="equal">
      <formula>0.2</formula>
    </cfRule>
  </conditionalFormatting>
  <conditionalFormatting sqref="F269:F270">
    <cfRule type="cellIs" dxfId="24" priority="15" operator="equal">
      <formula>0.2</formula>
    </cfRule>
  </conditionalFormatting>
  <conditionalFormatting sqref="F294:F295">
    <cfRule type="cellIs" dxfId="23" priority="13" operator="equal">
      <formula>0.2</formula>
    </cfRule>
  </conditionalFormatting>
  <conditionalFormatting sqref="F418:F419">
    <cfRule type="cellIs" dxfId="22" priority="3" operator="equal">
      <formula>0.2</formula>
    </cfRule>
  </conditionalFormatting>
  <conditionalFormatting sqref="F502:F503">
    <cfRule type="cellIs" dxfId="21" priority="2" operator="equal">
      <formula>0.2</formula>
    </cfRule>
  </conditionalFormatting>
  <conditionalFormatting sqref="G2:G483 G485:G1534">
    <cfRule type="cellIs" dxfId="20" priority="4" operator="equal">
      <formula>"no"</formula>
    </cfRule>
    <cfRule type="cellIs" dxfId="19" priority="5" operator="equal">
      <formula>"yes"</formula>
    </cfRule>
  </conditionalFormatting>
  <conditionalFormatting sqref="S2:S195 S197:S260 S262:S441 S443:S483 S485:S1533">
    <cfRule type="cellIs" dxfId="18" priority="25" operator="notBetween">
      <formula>0.1</formula>
      <formula>0.25</formula>
    </cfRule>
  </conditionalFormatting>
  <conditionalFormatting sqref="W2:W195 Z2:Z195 T4 W197:W409 W411:W471 Z197:Z483 Z485:Z1411 W473:W483 W485:W1411">
    <cfRule type="cellIs" dxfId="17" priority="29" operator="equal">
      <formula>"YES"</formula>
    </cfRule>
  </conditionalFormatting>
  <dataValidations count="11">
    <dataValidation type="list" allowBlank="1" showInputMessage="1" sqref="J1065:K1411 H267:H268 I2:I266 I268:I481 I483 I485:I1411" xr:uid="{4E95B451-CBE4-414E-941F-A818885A43EC}">
      <formula1>"AEX,RP"</formula1>
    </dataValidation>
    <dataValidation type="list" allowBlank="1" showInputMessage="1" showErrorMessage="1" sqref="W4:W7 Z3:Z195 W11:W195 W197:W409 W411:W471 W473:W483 W485:W1411 Z197:Z483 Z485:Z1411" xr:uid="{A70A59BF-0A93-4923-B6EB-FEBCA64F77E3}">
      <formula1>"YES,no"</formula1>
    </dataValidation>
    <dataValidation type="list" allowBlank="1" showInputMessage="1" sqref="Y2:Y127 Y129:Y195 Y197:Y409 Y411:Y483 Y485:Y1412" xr:uid="{C1AA631F-25D5-4930-BDAA-AAB99767E7CF}">
      <formula1>"TFF-3,TFF-4,TFF-5,G-16,small column"</formula1>
    </dataValidation>
    <dataValidation type="list" allowBlank="1" showInputMessage="1" sqref="E2:E159 C160:C161 E161:E483 E485:E1411" xr:uid="{2136C8B8-5B88-4DF2-BBD7-06D6C3E8215C}">
      <formula1>"HIGH, medium, low, no"</formula1>
    </dataValidation>
    <dataValidation type="list" allowBlank="1" showInputMessage="1" sqref="W196:Z196 F199:F273 AD196:FA196 N196:S196 F275 F2:F196 F282:F483 F485:F1411" xr:uid="{0602D2B3-A40A-429F-94DA-08D3D7045D77}">
      <formula1>"0.01,0.05,0.1,0.2,0.25,0.5,no"</formula1>
    </dataValidation>
    <dataValidation type="list" allowBlank="1" showInputMessage="1" sqref="O2:O195 O197:O483 O485:O1533" xr:uid="{A1B8E2AC-D34F-475B-A647-B1104F90FBA9}">
      <formula1>"--IE--,16.1,23.5,63.8,64.7,78.5,177,288,298,383,400,760,1823,--RP--,22,24,55,89,178,251,709"</formula1>
    </dataValidation>
    <dataValidation type="list" allowBlank="1" showInputMessage="1" sqref="K1065:K1411 J2:J483 J485:J1411" xr:uid="{943A351D-608A-4CAC-AFB8-CAF0FB52C12F}">
      <formula1>"PUR-2,PUR-3,PUR-4,PUR-6,PUR-7"</formula1>
    </dataValidation>
    <dataValidation type="list" allowBlank="1" showInputMessage="1" sqref="C2:C483 C485:C1411" xr:uid="{E6CF5DCA-0E85-4237-AA8D-2E33D3B3CC68}">
      <formula1>"Transferred, In Process, Purified, Redoing, Desalt Only"</formula1>
    </dataValidation>
    <dataValidation type="list" allowBlank="1" showInputMessage="1" sqref="M2:M483 M485:M1533" xr:uid="{B3B3107C-61B6-4EF9-AF21-6FF7AA74DD51}">
      <formula1>"RT, 40, 60"</formula1>
    </dataValidation>
    <dataValidation type="list" allowBlank="1" showInputMessage="1" sqref="L2:L483 L485:L568" xr:uid="{28F9B288-20E3-48F5-9698-1B5D5C7E5748}">
      <formula1>"10% MeOH, 30% MeOH ,NaP 10% ACN, 50mM TEAA, 50mM NaOAc, 15mM OAA "</formula1>
    </dataValidation>
    <dataValidation type="list" allowBlank="1" showInputMessage="1" sqref="G2:G483 G485:G1677" xr:uid="{A57ED16C-ACBF-4C23-AB85-56B9B0E93978}">
      <formula1>"yes,no,N/A"</formula1>
    </dataValidation>
  </dataValidations>
  <pageMargins left="0.7" right="0.7" top="0.75" bottom="0.75" header="0.3" footer="0.3"/>
  <ignoredErrors>
    <ignoredError sqref="K227 K22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185-FC92-4BF1-AEB4-2737C097B9EA}">
  <dimension ref="A1:AK1685"/>
  <sheetViews>
    <sheetView topLeftCell="B1" zoomScaleNormal="100" workbookViewId="0">
      <pane ySplit="3" topLeftCell="A19" activePane="bottomLeft" state="frozen"/>
      <selection pane="bottomLeft" activeCell="I25" sqref="I25"/>
    </sheetView>
  </sheetViews>
  <sheetFormatPr defaultRowHeight="16.5" customHeight="1" x14ac:dyDescent="0.35"/>
  <cols>
    <col min="1" max="1" width="11" hidden="1" customWidth="1"/>
    <col min="2" max="2" width="11" style="256" customWidth="1"/>
    <col min="3" max="3" width="11" style="258" customWidth="1"/>
    <col min="4" max="4" width="8.26953125" style="258" bestFit="1" customWidth="1"/>
    <col min="5" max="5" width="11.453125" style="276" customWidth="1"/>
    <col min="6" max="6" width="11" style="318" customWidth="1"/>
    <col min="7" max="7" width="11" style="299" customWidth="1"/>
    <col min="8" max="8" width="6.1796875" style="299" bestFit="1" customWidth="1"/>
    <col min="9" max="9" width="16.54296875" style="295" customWidth="1"/>
    <col min="10" max="10" width="11" style="256" customWidth="1"/>
    <col min="11" max="11" width="11" style="258" customWidth="1"/>
    <col min="12" max="12" width="8.26953125" style="258" bestFit="1" customWidth="1"/>
    <col min="13" max="13" width="11" style="276" customWidth="1"/>
    <col min="14" max="14" width="11" style="300" customWidth="1"/>
    <col min="15" max="15" width="11" style="299" customWidth="1"/>
    <col min="16" max="16" width="6.1796875" style="299" bestFit="1" customWidth="1"/>
    <col min="17" max="17" width="11" style="295" customWidth="1"/>
    <col min="18" max="20" width="11.1796875" customWidth="1"/>
    <col min="21" max="21" width="11.54296875" customWidth="1"/>
    <col min="22" max="24" width="11.1796875" customWidth="1"/>
    <col min="25" max="25" width="11.54296875" customWidth="1"/>
    <col min="26" max="28" width="11.1796875" customWidth="1"/>
    <col min="29" max="29" width="11.54296875" customWidth="1"/>
    <col min="30" max="34" width="11.1796875" customWidth="1"/>
    <col min="35" max="35" width="11.54296875" customWidth="1"/>
    <col min="36" max="37" width="11.1796875" customWidth="1"/>
    <col min="38" max="38" width="11.54296875" customWidth="1"/>
    <col min="39" max="40" width="11.1796875" customWidth="1"/>
    <col min="41" max="41" width="11.54296875" customWidth="1"/>
    <col min="42" max="43" width="11.1796875" customWidth="1"/>
    <col min="44" max="44" width="11.54296875" customWidth="1"/>
    <col min="45" max="46" width="11.1796875" customWidth="1"/>
    <col min="47" max="47" width="11.54296875" customWidth="1"/>
    <col min="48" max="49" width="11.1796875" customWidth="1"/>
    <col min="50" max="50" width="11.54296875" customWidth="1"/>
    <col min="51" max="52" width="11.1796875" customWidth="1"/>
    <col min="53" max="53" width="11.54296875" customWidth="1"/>
    <col min="54" max="55" width="11.1796875" customWidth="1"/>
    <col min="56" max="56" width="11.54296875" customWidth="1"/>
    <col min="57" max="58" width="11.1796875" customWidth="1"/>
    <col min="59" max="59" width="11.54296875" customWidth="1"/>
    <col min="60" max="61" width="11.1796875" customWidth="1"/>
    <col min="62" max="62" width="11.54296875" customWidth="1"/>
    <col min="63" max="64" width="11.1796875" customWidth="1"/>
    <col min="65" max="65" width="11.54296875" customWidth="1"/>
    <col min="66" max="67" width="11.1796875" customWidth="1"/>
    <col min="68" max="68" width="11.54296875" customWidth="1"/>
    <col min="69" max="70" width="11.1796875" customWidth="1"/>
    <col min="71" max="71" width="11.54296875" customWidth="1"/>
    <col min="72" max="73" width="11.1796875" customWidth="1"/>
    <col min="74" max="74" width="11.54296875" customWidth="1"/>
    <col min="75" max="76" width="11.1796875" customWidth="1"/>
    <col min="77" max="77" width="11.54296875" customWidth="1"/>
    <col min="78" max="79" width="11.1796875" customWidth="1"/>
    <col min="80" max="80" width="11.54296875" customWidth="1"/>
    <col min="81" max="82" width="11.1796875" customWidth="1"/>
    <col min="83" max="83" width="11.54296875" customWidth="1"/>
    <col min="84" max="85" width="11.1796875" customWidth="1"/>
    <col min="86" max="86" width="11.54296875" customWidth="1"/>
    <col min="87" max="88" width="11.1796875" customWidth="1"/>
    <col min="89" max="89" width="11.54296875" customWidth="1"/>
    <col min="90" max="91" width="11.1796875" customWidth="1"/>
    <col min="92" max="92" width="11.54296875" customWidth="1"/>
    <col min="93" max="94" width="11.1796875" customWidth="1"/>
  </cols>
  <sheetData>
    <row r="1" spans="1:37" ht="24.65" customHeight="1" x14ac:dyDescent="0.35">
      <c r="A1" s="1"/>
      <c r="B1" s="391" t="s">
        <v>95</v>
      </c>
      <c r="C1" s="391"/>
      <c r="D1" s="391"/>
      <c r="E1" s="391"/>
      <c r="F1" s="395" t="s">
        <v>94</v>
      </c>
      <c r="G1" s="395"/>
      <c r="H1" s="395"/>
      <c r="I1" s="395"/>
      <c r="J1" s="391" t="s">
        <v>320</v>
      </c>
      <c r="K1" s="391"/>
      <c r="L1" s="391"/>
      <c r="M1" s="391"/>
      <c r="N1" s="395" t="s">
        <v>97</v>
      </c>
      <c r="O1" s="395"/>
      <c r="P1" s="395"/>
      <c r="Q1" s="395"/>
    </row>
    <row r="2" spans="1:37" ht="18" customHeight="1" x14ac:dyDescent="0.35">
      <c r="A2" s="1"/>
      <c r="B2" s="393" t="s">
        <v>191</v>
      </c>
      <c r="C2" s="393"/>
      <c r="D2" s="392">
        <v>45789</v>
      </c>
      <c r="E2" s="392"/>
      <c r="F2" s="396" t="s">
        <v>191</v>
      </c>
      <c r="G2" s="396"/>
      <c r="H2" s="397">
        <v>45658</v>
      </c>
      <c r="I2" s="397"/>
      <c r="J2" s="393" t="s">
        <v>191</v>
      </c>
      <c r="K2" s="393"/>
      <c r="L2" s="392">
        <v>45789</v>
      </c>
      <c r="M2" s="392"/>
      <c r="N2" s="396" t="s">
        <v>191</v>
      </c>
      <c r="O2" s="396"/>
      <c r="P2" s="397">
        <v>45880</v>
      </c>
      <c r="Q2" s="397"/>
    </row>
    <row r="3" spans="1:37" ht="16.5" customHeight="1" x14ac:dyDescent="0.35">
      <c r="A3" s="1"/>
      <c r="B3" s="251" t="s">
        <v>71</v>
      </c>
      <c r="C3" s="252" t="s">
        <v>1</v>
      </c>
      <c r="D3" s="252" t="s">
        <v>107</v>
      </c>
      <c r="E3" s="275" t="s">
        <v>114</v>
      </c>
      <c r="F3" s="319" t="s">
        <v>71</v>
      </c>
      <c r="G3" s="291" t="s">
        <v>1</v>
      </c>
      <c r="H3" s="291" t="s">
        <v>107</v>
      </c>
      <c r="I3" s="292" t="s">
        <v>114</v>
      </c>
      <c r="J3" s="251" t="s">
        <v>71</v>
      </c>
      <c r="K3" s="252" t="s">
        <v>1</v>
      </c>
      <c r="L3" s="252" t="s">
        <v>107</v>
      </c>
      <c r="M3" s="275" t="s">
        <v>114</v>
      </c>
      <c r="N3" s="290" t="s">
        <v>71</v>
      </c>
      <c r="O3" s="291" t="s">
        <v>1</v>
      </c>
      <c r="P3" s="291" t="s">
        <v>107</v>
      </c>
      <c r="Q3" s="292" t="s">
        <v>114</v>
      </c>
    </row>
    <row r="4" spans="1:37" ht="16.5" customHeight="1" x14ac:dyDescent="0.35">
      <c r="B4" s="253" t="s">
        <v>108</v>
      </c>
      <c r="C4" s="254">
        <v>45875</v>
      </c>
      <c r="D4" s="255" t="s">
        <v>110</v>
      </c>
      <c r="F4" s="303" t="s">
        <v>108</v>
      </c>
      <c r="G4" s="294">
        <v>45870</v>
      </c>
      <c r="H4" s="41" t="s">
        <v>112</v>
      </c>
      <c r="J4" s="253"/>
      <c r="K4" s="254"/>
      <c r="L4" s="255"/>
      <c r="N4" s="293" t="s">
        <v>108</v>
      </c>
      <c r="O4" s="294">
        <v>45874</v>
      </c>
      <c r="P4" s="41" t="s">
        <v>111</v>
      </c>
    </row>
    <row r="5" spans="1:37" ht="16.5" customHeight="1" x14ac:dyDescent="0.35">
      <c r="B5" s="253" t="s">
        <v>108</v>
      </c>
      <c r="C5" s="254">
        <v>45876</v>
      </c>
      <c r="D5" s="255" t="s">
        <v>112</v>
      </c>
      <c r="E5" s="277"/>
      <c r="F5" s="303" t="s">
        <v>108</v>
      </c>
      <c r="G5" s="294">
        <v>45873</v>
      </c>
      <c r="H5" s="41" t="s">
        <v>109</v>
      </c>
      <c r="I5" s="296"/>
      <c r="J5" s="253"/>
      <c r="K5" s="254"/>
      <c r="L5" s="255"/>
      <c r="M5" s="277"/>
      <c r="N5" s="293" t="s">
        <v>197</v>
      </c>
      <c r="O5" s="294">
        <v>45882</v>
      </c>
      <c r="P5" s="41"/>
      <c r="Q5" s="296">
        <v>0.06</v>
      </c>
    </row>
    <row r="6" spans="1:37" ht="16.5" customHeight="1" x14ac:dyDescent="0.35">
      <c r="B6" s="253"/>
      <c r="C6" s="254"/>
      <c r="D6" s="255"/>
      <c r="E6" s="277"/>
      <c r="F6" s="303" t="s">
        <v>108</v>
      </c>
      <c r="G6" s="294">
        <v>45876</v>
      </c>
      <c r="H6" s="41" t="s">
        <v>112</v>
      </c>
      <c r="I6" s="296"/>
      <c r="J6" s="253"/>
      <c r="K6" s="254"/>
      <c r="L6" s="255"/>
      <c r="M6" s="277"/>
      <c r="N6" s="293" t="s">
        <v>108</v>
      </c>
      <c r="O6" s="294">
        <v>45884</v>
      </c>
      <c r="P6" s="41" t="s">
        <v>112</v>
      </c>
      <c r="Q6" s="296"/>
    </row>
    <row r="7" spans="1:37" ht="16.5" customHeight="1" x14ac:dyDescent="0.35">
      <c r="A7" s="1"/>
      <c r="B7" s="253"/>
      <c r="C7" s="255"/>
      <c r="D7" s="255"/>
      <c r="E7" s="278"/>
      <c r="F7" s="303" t="s">
        <v>108</v>
      </c>
      <c r="G7" s="294">
        <v>45881</v>
      </c>
      <c r="H7" s="41" t="s">
        <v>109</v>
      </c>
      <c r="I7" s="297"/>
      <c r="J7" s="253"/>
      <c r="K7" s="255"/>
      <c r="L7" s="255"/>
      <c r="M7" s="278"/>
      <c r="N7" s="293"/>
      <c r="O7" s="41"/>
      <c r="P7" s="41"/>
      <c r="Q7" s="297"/>
    </row>
    <row r="8" spans="1:37" ht="16.5" customHeight="1" x14ac:dyDescent="0.35">
      <c r="A8" s="1"/>
      <c r="B8" s="253"/>
      <c r="C8" s="255"/>
      <c r="D8" s="255"/>
      <c r="E8" s="278"/>
      <c r="F8" s="303" t="s">
        <v>108</v>
      </c>
      <c r="G8" s="294">
        <v>45887</v>
      </c>
      <c r="H8" s="41" t="s">
        <v>109</v>
      </c>
      <c r="I8" s="297">
        <v>0.35399999999999998</v>
      </c>
      <c r="J8" s="253"/>
      <c r="K8" s="255"/>
      <c r="L8" s="255"/>
      <c r="M8" s="278"/>
      <c r="N8" s="293"/>
      <c r="O8" s="41"/>
      <c r="P8" s="41"/>
      <c r="Q8" s="297"/>
    </row>
    <row r="9" spans="1:37" ht="16.5" customHeight="1" x14ac:dyDescent="0.35">
      <c r="A9" s="1"/>
      <c r="B9" s="253"/>
      <c r="C9" s="257"/>
      <c r="D9" s="255"/>
      <c r="E9" s="277"/>
      <c r="F9" s="303" t="s">
        <v>108</v>
      </c>
      <c r="G9" s="294">
        <v>45888</v>
      </c>
      <c r="H9" s="41" t="s">
        <v>109</v>
      </c>
      <c r="I9" s="296">
        <v>6.0000000000000001E-3</v>
      </c>
      <c r="J9" s="253"/>
      <c r="K9" s="257"/>
      <c r="L9" s="255"/>
      <c r="M9" s="277"/>
      <c r="N9" s="293"/>
      <c r="O9" s="298"/>
      <c r="P9" s="41"/>
      <c r="Q9" s="296"/>
      <c r="S9" s="1"/>
    </row>
    <row r="10" spans="1:37" ht="16.5" customHeight="1" x14ac:dyDescent="0.35">
      <c r="A10" s="1"/>
      <c r="B10" s="253" t="s">
        <v>108</v>
      </c>
      <c r="C10" s="254">
        <v>45889</v>
      </c>
      <c r="D10" s="255" t="s">
        <v>109</v>
      </c>
      <c r="E10" s="277">
        <v>7.3999999999999996E-2</v>
      </c>
      <c r="F10" s="303" t="s">
        <v>108</v>
      </c>
      <c r="G10" s="294">
        <v>45889</v>
      </c>
      <c r="H10" s="41" t="s">
        <v>109</v>
      </c>
      <c r="I10" s="296">
        <v>1.9E-2</v>
      </c>
      <c r="J10" s="253"/>
      <c r="K10" s="254"/>
      <c r="L10" s="255"/>
      <c r="M10" s="277"/>
      <c r="N10" s="293" t="s">
        <v>108</v>
      </c>
      <c r="O10" s="294">
        <v>45889</v>
      </c>
      <c r="P10" s="41" t="s">
        <v>112</v>
      </c>
      <c r="Q10" s="296">
        <v>1.6E-2</v>
      </c>
    </row>
    <row r="11" spans="1:37" ht="16.5" customHeight="1" x14ac:dyDescent="0.35">
      <c r="A11" s="1"/>
      <c r="B11" s="253" t="s">
        <v>224</v>
      </c>
      <c r="C11" s="254">
        <v>45890</v>
      </c>
      <c r="D11" s="255" t="s">
        <v>110</v>
      </c>
      <c r="E11" s="278"/>
      <c r="F11" s="318" t="s">
        <v>224</v>
      </c>
      <c r="G11" s="294">
        <v>45890</v>
      </c>
      <c r="H11" s="299" t="s">
        <v>110</v>
      </c>
      <c r="I11" s="297"/>
      <c r="J11" s="253"/>
      <c r="K11" s="254"/>
      <c r="L11" s="255"/>
      <c r="M11" s="278"/>
      <c r="Q11" s="297"/>
    </row>
    <row r="12" spans="1:37" ht="16.5" customHeight="1" x14ac:dyDescent="0.35">
      <c r="A12" s="1"/>
      <c r="B12" s="253" t="s">
        <v>108</v>
      </c>
      <c r="C12" s="254">
        <v>45894</v>
      </c>
      <c r="D12" s="255" t="s">
        <v>235</v>
      </c>
      <c r="E12" s="278"/>
      <c r="F12" s="318" t="s">
        <v>108</v>
      </c>
      <c r="G12" s="294">
        <v>45891</v>
      </c>
      <c r="H12" s="299" t="s">
        <v>109</v>
      </c>
      <c r="I12" s="297" t="s">
        <v>230</v>
      </c>
      <c r="J12" s="253"/>
      <c r="K12" s="254"/>
      <c r="L12" s="255"/>
      <c r="M12" s="278"/>
      <c r="Q12" s="297"/>
    </row>
    <row r="13" spans="1:37" ht="16.5" customHeight="1" x14ac:dyDescent="0.35">
      <c r="A13" s="1"/>
      <c r="B13" s="253" t="s">
        <v>108</v>
      </c>
      <c r="C13" s="254">
        <v>45895</v>
      </c>
      <c r="D13" s="255" t="s">
        <v>109</v>
      </c>
      <c r="E13" s="277" t="s">
        <v>234</v>
      </c>
      <c r="F13" s="303" t="s">
        <v>108</v>
      </c>
      <c r="G13" s="294">
        <v>45895</v>
      </c>
      <c r="H13" s="41" t="s">
        <v>109</v>
      </c>
      <c r="I13" s="296"/>
      <c r="N13" s="303"/>
      <c r="O13" s="294"/>
      <c r="P13" s="41"/>
      <c r="Q13" s="296"/>
    </row>
    <row r="14" spans="1:37" ht="16.5" customHeight="1" x14ac:dyDescent="0.35">
      <c r="A14" s="1"/>
      <c r="B14" s="253" t="s">
        <v>108</v>
      </c>
      <c r="C14" s="254">
        <v>45903</v>
      </c>
      <c r="D14" s="255" t="s">
        <v>112</v>
      </c>
      <c r="E14" s="277"/>
      <c r="F14" s="303" t="s">
        <v>224</v>
      </c>
      <c r="G14" s="294">
        <v>45895</v>
      </c>
      <c r="H14" s="41" t="s">
        <v>110</v>
      </c>
      <c r="I14" s="296" t="s">
        <v>234</v>
      </c>
      <c r="J14" s="253"/>
      <c r="K14" s="254"/>
      <c r="L14" s="255"/>
      <c r="M14" s="277"/>
      <c r="N14" s="303"/>
      <c r="O14" s="294"/>
      <c r="P14" s="41"/>
      <c r="Q14" s="296"/>
    </row>
    <row r="15" spans="1:37" ht="16.5" customHeight="1" x14ac:dyDescent="0.35">
      <c r="A15" s="1"/>
      <c r="B15" s="253" t="s">
        <v>224</v>
      </c>
      <c r="C15" s="254">
        <v>45903</v>
      </c>
      <c r="D15" s="255" t="s">
        <v>110</v>
      </c>
      <c r="E15" s="278"/>
      <c r="F15" s="303" t="s">
        <v>108</v>
      </c>
      <c r="G15" s="294">
        <v>45903</v>
      </c>
      <c r="H15" s="41" t="s">
        <v>112</v>
      </c>
      <c r="I15" s="297"/>
      <c r="J15" s="253"/>
      <c r="K15" s="254"/>
      <c r="L15" s="254"/>
      <c r="M15" s="278"/>
      <c r="N15" s="303"/>
      <c r="O15" s="294"/>
      <c r="P15" s="41"/>
      <c r="Q15" s="297"/>
    </row>
    <row r="16" spans="1:37" ht="16.5" customHeight="1" x14ac:dyDescent="0.35">
      <c r="A16" s="1"/>
      <c r="B16" s="253" t="s">
        <v>108</v>
      </c>
      <c r="C16" s="254">
        <v>45904</v>
      </c>
      <c r="D16" s="255" t="s">
        <v>112</v>
      </c>
      <c r="E16" s="278" t="s">
        <v>234</v>
      </c>
      <c r="F16" s="303" t="s">
        <v>224</v>
      </c>
      <c r="G16" s="2">
        <v>45903</v>
      </c>
      <c r="H16" s="41" t="s">
        <v>110</v>
      </c>
      <c r="I16" s="297"/>
      <c r="J16" s="253"/>
      <c r="K16" s="254"/>
      <c r="L16" s="255"/>
      <c r="M16" s="278"/>
      <c r="N16" s="293" t="s">
        <v>108</v>
      </c>
      <c r="O16" s="2">
        <v>45904</v>
      </c>
      <c r="P16" s="41" t="s">
        <v>112</v>
      </c>
      <c r="Q16" s="297"/>
      <c r="U16" s="394" t="s">
        <v>106</v>
      </c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4"/>
      <c r="AK16" s="394"/>
    </row>
    <row r="17" spans="1:17" ht="16.5" customHeight="1" x14ac:dyDescent="0.35">
      <c r="A17" s="1"/>
      <c r="B17" s="288" t="s">
        <v>108</v>
      </c>
      <c r="C17" s="254">
        <v>45909</v>
      </c>
      <c r="D17" s="255" t="s">
        <v>112</v>
      </c>
      <c r="E17" s="277"/>
      <c r="F17" s="318" t="s">
        <v>108</v>
      </c>
      <c r="G17" s="2">
        <v>45904</v>
      </c>
      <c r="H17" s="299" t="s">
        <v>109</v>
      </c>
      <c r="I17" s="296"/>
      <c r="J17" s="253" t="s">
        <v>108</v>
      </c>
      <c r="K17" s="254">
        <v>45909</v>
      </c>
      <c r="L17" s="255" t="s">
        <v>109</v>
      </c>
      <c r="M17" s="277">
        <v>5.6000000000000001E-2</v>
      </c>
      <c r="Q17" s="296"/>
    </row>
    <row r="18" spans="1:17" ht="16.5" customHeight="1" x14ac:dyDescent="0.35">
      <c r="A18" s="1"/>
      <c r="B18" s="253" t="s">
        <v>108</v>
      </c>
      <c r="C18" s="254">
        <v>45910</v>
      </c>
      <c r="D18" s="255" t="s">
        <v>112</v>
      </c>
      <c r="E18" s="277" t="s">
        <v>234</v>
      </c>
      <c r="F18" s="303"/>
      <c r="G18" s="294">
        <v>45905</v>
      </c>
      <c r="H18" s="41"/>
      <c r="J18" s="253" t="s">
        <v>108</v>
      </c>
      <c r="K18" s="254">
        <v>45939</v>
      </c>
      <c r="L18" s="255" t="s">
        <v>112</v>
      </c>
      <c r="M18" s="277"/>
      <c r="N18" s="293"/>
      <c r="O18" s="294"/>
      <c r="P18" s="41"/>
      <c r="Q18" s="296"/>
    </row>
    <row r="19" spans="1:17" ht="16.5" customHeight="1" x14ac:dyDescent="0.35">
      <c r="A19" s="1"/>
      <c r="B19" s="253" t="s">
        <v>108</v>
      </c>
      <c r="C19" s="254">
        <v>45911</v>
      </c>
      <c r="D19" s="255" t="s">
        <v>109</v>
      </c>
      <c r="E19" s="277" t="s">
        <v>234</v>
      </c>
      <c r="F19" s="303" t="s">
        <v>108</v>
      </c>
      <c r="G19" s="294">
        <v>45908</v>
      </c>
      <c r="H19" s="41" t="s">
        <v>112</v>
      </c>
      <c r="I19" s="296" t="s">
        <v>234</v>
      </c>
      <c r="J19" s="253" t="s">
        <v>108</v>
      </c>
      <c r="K19" s="254">
        <v>45940</v>
      </c>
      <c r="L19" s="255" t="s">
        <v>112</v>
      </c>
      <c r="M19" s="278"/>
      <c r="N19" s="303" t="s">
        <v>108</v>
      </c>
      <c r="O19" s="294">
        <v>45912</v>
      </c>
      <c r="P19" s="41" t="s">
        <v>112</v>
      </c>
      <c r="Q19" s="297"/>
    </row>
    <row r="20" spans="1:17" ht="17.5" customHeight="1" x14ac:dyDescent="0.35">
      <c r="A20" s="1"/>
      <c r="B20" s="253" t="s">
        <v>108</v>
      </c>
      <c r="C20" s="254">
        <v>45913</v>
      </c>
      <c r="D20" s="255" t="s">
        <v>112</v>
      </c>
      <c r="E20" s="278"/>
      <c r="F20" s="303"/>
      <c r="G20" s="294">
        <v>45909</v>
      </c>
      <c r="H20" s="41"/>
      <c r="I20" s="297" t="s">
        <v>234</v>
      </c>
      <c r="J20" s="253"/>
      <c r="K20" s="255"/>
      <c r="L20" s="255"/>
      <c r="M20" s="278"/>
      <c r="N20" s="347"/>
      <c r="O20" s="41"/>
      <c r="P20" s="41"/>
      <c r="Q20" s="297"/>
    </row>
    <row r="21" spans="1:17" ht="16.5" customHeight="1" x14ac:dyDescent="0.35">
      <c r="B21" s="253" t="s">
        <v>108</v>
      </c>
      <c r="C21" s="254">
        <v>45914</v>
      </c>
      <c r="D21" s="255" t="s">
        <v>112</v>
      </c>
      <c r="F21" s="303"/>
      <c r="G21" s="294">
        <v>45909</v>
      </c>
      <c r="H21" s="41"/>
      <c r="I21" s="295" t="s">
        <v>434</v>
      </c>
      <c r="J21" s="253"/>
      <c r="L21" s="255"/>
      <c r="N21" s="293"/>
      <c r="P21" s="41"/>
    </row>
    <row r="22" spans="1:17" ht="16.5" customHeight="1" x14ac:dyDescent="0.35">
      <c r="B22" s="253" t="s">
        <v>108</v>
      </c>
      <c r="C22" s="254">
        <v>45915</v>
      </c>
      <c r="D22" s="255" t="s">
        <v>111</v>
      </c>
      <c r="F22" s="303"/>
      <c r="H22" s="41"/>
      <c r="J22" s="253"/>
      <c r="L22" s="255"/>
      <c r="N22" s="293"/>
      <c r="P22" s="41"/>
    </row>
    <row r="23" spans="1:17" ht="16.5" customHeight="1" x14ac:dyDescent="0.35">
      <c r="B23" s="253" t="s">
        <v>108</v>
      </c>
      <c r="C23" s="254">
        <v>45916</v>
      </c>
      <c r="D23" s="255" t="s">
        <v>109</v>
      </c>
      <c r="E23" s="276" t="s">
        <v>234</v>
      </c>
      <c r="F23" s="303"/>
      <c r="H23" s="41"/>
      <c r="J23" s="253"/>
      <c r="L23" s="255"/>
      <c r="N23" s="293"/>
      <c r="P23" s="41"/>
    </row>
    <row r="24" spans="1:17" ht="16.5" customHeight="1" x14ac:dyDescent="0.35">
      <c r="B24" s="253" t="s">
        <v>108</v>
      </c>
      <c r="C24" s="254">
        <v>45929</v>
      </c>
      <c r="D24" s="255" t="s">
        <v>109</v>
      </c>
      <c r="F24" s="303"/>
      <c r="H24" s="41"/>
      <c r="J24" s="253"/>
      <c r="L24" s="255"/>
      <c r="N24" s="293"/>
      <c r="P24" s="41"/>
    </row>
    <row r="25" spans="1:17" ht="16.5" customHeight="1" x14ac:dyDescent="0.35">
      <c r="B25" s="253" t="s">
        <v>108</v>
      </c>
      <c r="C25" s="254">
        <v>45932</v>
      </c>
      <c r="D25" s="255" t="s">
        <v>389</v>
      </c>
      <c r="F25" s="303"/>
      <c r="H25" s="41"/>
      <c r="J25" s="253"/>
      <c r="L25" s="255"/>
      <c r="N25" s="293"/>
      <c r="P25" s="41"/>
    </row>
    <row r="26" spans="1:17" ht="16.5" customHeight="1" x14ac:dyDescent="0.35">
      <c r="B26" s="253" t="s">
        <v>108</v>
      </c>
      <c r="C26" s="254">
        <v>45933</v>
      </c>
      <c r="D26" s="255" t="s">
        <v>390</v>
      </c>
      <c r="F26" s="303"/>
      <c r="H26" s="41"/>
      <c r="J26" s="253"/>
      <c r="L26" s="255"/>
      <c r="N26" s="293"/>
      <c r="P26" s="41"/>
    </row>
    <row r="27" spans="1:17" ht="16.5" customHeight="1" x14ac:dyDescent="0.35">
      <c r="B27" s="253" t="s">
        <v>108</v>
      </c>
      <c r="C27" s="254">
        <v>45937</v>
      </c>
      <c r="D27" s="255" t="s">
        <v>109</v>
      </c>
      <c r="F27" s="303"/>
      <c r="H27" s="41"/>
      <c r="J27" s="253"/>
      <c r="L27" s="255"/>
      <c r="N27" s="303" t="s">
        <v>108</v>
      </c>
      <c r="O27" s="294">
        <v>45939</v>
      </c>
      <c r="P27" s="41" t="s">
        <v>112</v>
      </c>
    </row>
    <row r="28" spans="1:17" ht="16.5" customHeight="1" x14ac:dyDescent="0.35">
      <c r="B28" s="253" t="s">
        <v>108</v>
      </c>
      <c r="C28" s="254">
        <v>45943</v>
      </c>
      <c r="D28" s="255" t="s">
        <v>389</v>
      </c>
      <c r="F28" s="303"/>
      <c r="H28" s="41"/>
      <c r="J28" s="253"/>
      <c r="L28" s="255"/>
      <c r="N28" s="293"/>
      <c r="P28" s="41"/>
    </row>
    <row r="29" spans="1:17" ht="16.5" customHeight="1" x14ac:dyDescent="0.35">
      <c r="B29" s="253" t="s">
        <v>108</v>
      </c>
      <c r="C29" s="254">
        <v>45944</v>
      </c>
      <c r="D29" s="255" t="s">
        <v>390</v>
      </c>
      <c r="F29" s="303"/>
      <c r="H29" s="41"/>
      <c r="J29" s="253"/>
      <c r="L29" s="255"/>
      <c r="N29" s="293"/>
      <c r="P29" s="41"/>
    </row>
    <row r="30" spans="1:17" ht="16.5" customHeight="1" x14ac:dyDescent="0.35">
      <c r="B30" s="253" t="s">
        <v>108</v>
      </c>
      <c r="C30" s="254">
        <v>45945</v>
      </c>
      <c r="D30" s="255" t="s">
        <v>109</v>
      </c>
      <c r="E30" s="323">
        <v>8.0000000000000002E-3</v>
      </c>
      <c r="F30" s="303"/>
      <c r="H30" s="41"/>
      <c r="J30" s="253"/>
      <c r="L30" s="255"/>
      <c r="N30" s="293"/>
      <c r="P30" s="41"/>
    </row>
    <row r="31" spans="1:17" ht="16.5" customHeight="1" x14ac:dyDescent="0.35">
      <c r="B31" s="253" t="s">
        <v>108</v>
      </c>
      <c r="C31" s="254">
        <v>45946</v>
      </c>
      <c r="D31" s="255" t="s">
        <v>109</v>
      </c>
      <c r="E31" s="323" t="s">
        <v>234</v>
      </c>
      <c r="F31" s="303"/>
      <c r="H31" s="41"/>
      <c r="J31" s="253"/>
      <c r="L31" s="255"/>
      <c r="N31" s="293"/>
      <c r="P31" s="41"/>
    </row>
    <row r="32" spans="1:17" ht="16.5" customHeight="1" x14ac:dyDescent="0.35">
      <c r="B32" s="253" t="s">
        <v>108</v>
      </c>
      <c r="C32" s="254">
        <v>45946</v>
      </c>
      <c r="D32" s="255"/>
      <c r="E32" s="276" t="s">
        <v>434</v>
      </c>
      <c r="F32" s="303"/>
      <c r="H32" s="41"/>
      <c r="J32" s="253" t="s">
        <v>108</v>
      </c>
      <c r="K32" s="254">
        <v>45958</v>
      </c>
      <c r="L32" s="255" t="s">
        <v>109</v>
      </c>
      <c r="N32" s="303" t="s">
        <v>108</v>
      </c>
      <c r="O32" s="294">
        <v>45960</v>
      </c>
      <c r="P32" s="41" t="s">
        <v>112</v>
      </c>
    </row>
    <row r="33" spans="2:16" ht="16.5" customHeight="1" x14ac:dyDescent="0.35">
      <c r="B33" s="253" t="s">
        <v>108</v>
      </c>
      <c r="D33" s="255"/>
      <c r="F33" s="303"/>
      <c r="H33" s="41"/>
      <c r="J33" s="253" t="s">
        <v>108</v>
      </c>
      <c r="K33" s="254">
        <v>45966</v>
      </c>
      <c r="L33" s="255" t="s">
        <v>112</v>
      </c>
      <c r="N33" s="293"/>
      <c r="P33" s="41"/>
    </row>
    <row r="34" spans="2:16" ht="16.5" customHeight="1" x14ac:dyDescent="0.35">
      <c r="B34" s="253"/>
      <c r="D34" s="255"/>
      <c r="F34" s="303" t="s">
        <v>517</v>
      </c>
      <c r="G34" s="294">
        <v>45974</v>
      </c>
      <c r="H34" s="41" t="s">
        <v>112</v>
      </c>
      <c r="I34" s="329" t="s">
        <v>534</v>
      </c>
      <c r="J34" s="253" t="s">
        <v>108</v>
      </c>
      <c r="K34" s="254">
        <v>45972</v>
      </c>
      <c r="L34" s="255" t="s">
        <v>109</v>
      </c>
      <c r="N34" s="293"/>
      <c r="P34" s="41"/>
    </row>
    <row r="35" spans="2:16" ht="16.5" customHeight="1" x14ac:dyDescent="0.35">
      <c r="B35" s="253"/>
      <c r="D35" s="255"/>
      <c r="F35" s="318" t="s">
        <v>535</v>
      </c>
      <c r="G35" s="332">
        <v>45979</v>
      </c>
      <c r="J35" s="253"/>
      <c r="K35" s="254"/>
      <c r="L35" s="255"/>
      <c r="N35" s="293"/>
      <c r="P35" s="41"/>
    </row>
    <row r="36" spans="2:16" ht="16.5" customHeight="1" x14ac:dyDescent="0.35">
      <c r="B36" s="253"/>
      <c r="D36" s="255"/>
      <c r="F36" s="303" t="s">
        <v>108</v>
      </c>
      <c r="G36" s="332">
        <v>45980</v>
      </c>
      <c r="H36" s="41" t="s">
        <v>109</v>
      </c>
      <c r="I36" s="295" t="s">
        <v>234</v>
      </c>
      <c r="J36" s="288" t="s">
        <v>108</v>
      </c>
      <c r="K36" s="254">
        <v>45980</v>
      </c>
      <c r="L36" s="255" t="s">
        <v>109</v>
      </c>
      <c r="N36" s="293"/>
      <c r="P36" s="41"/>
    </row>
    <row r="37" spans="2:16" ht="16.5" customHeight="1" x14ac:dyDescent="0.35">
      <c r="B37" s="253"/>
      <c r="D37" s="255"/>
      <c r="F37" s="303" t="s">
        <v>108</v>
      </c>
      <c r="G37" s="332">
        <v>45985</v>
      </c>
      <c r="H37" s="41" t="s">
        <v>109</v>
      </c>
      <c r="I37" s="295" t="s">
        <v>234</v>
      </c>
      <c r="J37" s="344" t="s">
        <v>108</v>
      </c>
      <c r="K37" s="254">
        <v>45993</v>
      </c>
      <c r="L37" s="255" t="s">
        <v>109</v>
      </c>
      <c r="N37" s="293"/>
      <c r="P37" s="41"/>
    </row>
    <row r="38" spans="2:16" ht="16.5" customHeight="1" x14ac:dyDescent="0.35">
      <c r="B38" s="344" t="s">
        <v>108</v>
      </c>
      <c r="C38" s="254">
        <v>45999</v>
      </c>
      <c r="D38" s="255" t="s">
        <v>109</v>
      </c>
      <c r="F38" s="303"/>
      <c r="H38" s="41"/>
      <c r="J38" s="344" t="s">
        <v>108</v>
      </c>
      <c r="K38" s="254">
        <v>45999</v>
      </c>
      <c r="L38" s="255" t="s">
        <v>109</v>
      </c>
      <c r="M38" s="276" t="s">
        <v>620</v>
      </c>
      <c r="N38" s="347" t="s">
        <v>108</v>
      </c>
      <c r="O38" s="254">
        <v>45999</v>
      </c>
      <c r="P38" s="41" t="s">
        <v>112</v>
      </c>
    </row>
    <row r="39" spans="2:16" ht="16.5" customHeight="1" x14ac:dyDescent="0.35">
      <c r="B39" s="344" t="s">
        <v>108</v>
      </c>
      <c r="C39" s="254">
        <v>46002</v>
      </c>
      <c r="D39" s="255" t="s">
        <v>109</v>
      </c>
      <c r="F39" s="303"/>
      <c r="H39" s="41"/>
      <c r="J39" s="253" t="s">
        <v>108</v>
      </c>
      <c r="K39" s="254">
        <v>46000</v>
      </c>
      <c r="L39" s="255" t="s">
        <v>109</v>
      </c>
      <c r="N39" s="293"/>
      <c r="P39" s="41"/>
    </row>
    <row r="40" spans="2:16" ht="16.5" customHeight="1" x14ac:dyDescent="0.35">
      <c r="B40" s="344" t="s">
        <v>108</v>
      </c>
      <c r="C40" s="254">
        <v>46006</v>
      </c>
      <c r="D40" s="255" t="s">
        <v>109</v>
      </c>
      <c r="F40" s="303"/>
      <c r="H40" s="41"/>
      <c r="J40" s="253" t="s">
        <v>108</v>
      </c>
      <c r="K40" s="254">
        <v>46002</v>
      </c>
      <c r="L40" s="255" t="s">
        <v>109</v>
      </c>
      <c r="N40" s="293"/>
      <c r="P40" s="41"/>
    </row>
    <row r="41" spans="2:16" ht="16.5" customHeight="1" x14ac:dyDescent="0.35">
      <c r="B41" s="344" t="s">
        <v>108</v>
      </c>
      <c r="C41" s="254">
        <v>46007</v>
      </c>
      <c r="D41" s="255" t="s">
        <v>112</v>
      </c>
      <c r="F41" s="303"/>
      <c r="H41" s="41"/>
      <c r="J41" s="253" t="s">
        <v>108</v>
      </c>
      <c r="K41" s="254">
        <v>46006</v>
      </c>
      <c r="L41" s="255" t="s">
        <v>109</v>
      </c>
      <c r="N41" s="293"/>
      <c r="P41" s="41"/>
    </row>
    <row r="42" spans="2:16" ht="16.5" customHeight="1" x14ac:dyDescent="0.35">
      <c r="B42" s="344" t="s">
        <v>108</v>
      </c>
      <c r="C42" s="254">
        <v>46008</v>
      </c>
      <c r="D42" s="255" t="s">
        <v>109</v>
      </c>
      <c r="F42" s="303"/>
      <c r="H42" s="41"/>
      <c r="J42" s="253" t="s">
        <v>108</v>
      </c>
      <c r="K42" s="254">
        <v>46008</v>
      </c>
      <c r="L42" s="255" t="s">
        <v>109</v>
      </c>
      <c r="N42" s="293"/>
      <c r="P42" s="41"/>
    </row>
    <row r="43" spans="2:16" ht="16.5" customHeight="1" x14ac:dyDescent="0.35">
      <c r="B43" s="344" t="s">
        <v>108</v>
      </c>
      <c r="C43" s="254">
        <v>46009</v>
      </c>
      <c r="D43" s="255" t="s">
        <v>109</v>
      </c>
      <c r="F43" s="303"/>
      <c r="H43" s="41"/>
      <c r="J43" s="253" t="s">
        <v>108</v>
      </c>
      <c r="K43" s="254">
        <v>46010</v>
      </c>
      <c r="L43" s="255" t="s">
        <v>109</v>
      </c>
      <c r="N43" s="293"/>
      <c r="P43" s="41"/>
    </row>
    <row r="44" spans="2:16" ht="16.5" customHeight="1" x14ac:dyDescent="0.35">
      <c r="B44" s="344" t="s">
        <v>108</v>
      </c>
      <c r="C44" s="254">
        <v>46010</v>
      </c>
      <c r="D44" s="255" t="s">
        <v>109</v>
      </c>
      <c r="F44" s="303"/>
      <c r="H44" s="41"/>
      <c r="J44" s="253" t="s">
        <v>108</v>
      </c>
      <c r="K44" s="254">
        <v>46013</v>
      </c>
      <c r="L44" s="255" t="s">
        <v>109</v>
      </c>
      <c r="N44" s="293"/>
      <c r="P44" s="41"/>
    </row>
    <row r="45" spans="2:16" ht="16.5" customHeight="1" x14ac:dyDescent="0.35">
      <c r="B45" s="344" t="s">
        <v>108</v>
      </c>
      <c r="C45" s="254">
        <v>46013</v>
      </c>
      <c r="D45" s="255" t="s">
        <v>109</v>
      </c>
      <c r="F45" s="303"/>
      <c r="H45" s="41"/>
      <c r="J45" s="253" t="s">
        <v>108</v>
      </c>
      <c r="K45" s="254">
        <v>46014</v>
      </c>
      <c r="L45" s="255" t="s">
        <v>109</v>
      </c>
      <c r="N45" s="293"/>
      <c r="P45" s="41"/>
    </row>
    <row r="46" spans="2:16" ht="16.5" customHeight="1" x14ac:dyDescent="0.35">
      <c r="B46" s="344" t="s">
        <v>108</v>
      </c>
      <c r="C46" s="254">
        <v>46014</v>
      </c>
      <c r="D46" s="255" t="s">
        <v>109</v>
      </c>
      <c r="F46" s="303"/>
      <c r="H46" s="41"/>
      <c r="J46" s="253" t="s">
        <v>108</v>
      </c>
      <c r="K46" s="254">
        <v>46015</v>
      </c>
      <c r="L46" s="255" t="s">
        <v>109</v>
      </c>
      <c r="N46" s="293"/>
      <c r="P46" s="41"/>
    </row>
    <row r="47" spans="2:16" ht="16.5" customHeight="1" x14ac:dyDescent="0.35">
      <c r="B47" s="253" t="s">
        <v>108</v>
      </c>
      <c r="C47" s="254">
        <v>46015</v>
      </c>
      <c r="D47" s="255" t="s">
        <v>109</v>
      </c>
      <c r="F47" s="303"/>
      <c r="H47" s="41"/>
      <c r="J47" s="253" t="s">
        <v>108</v>
      </c>
      <c r="K47" s="254">
        <v>46017</v>
      </c>
      <c r="L47" s="255" t="s">
        <v>109</v>
      </c>
      <c r="N47" s="293"/>
      <c r="P47" s="41"/>
    </row>
    <row r="48" spans="2:16" ht="16.5" customHeight="1" x14ac:dyDescent="0.35">
      <c r="B48" s="253" t="s">
        <v>108</v>
      </c>
      <c r="C48" s="254">
        <v>46017</v>
      </c>
      <c r="D48" s="255" t="s">
        <v>109</v>
      </c>
      <c r="F48" s="303"/>
      <c r="H48" s="41"/>
      <c r="J48" s="253" t="s">
        <v>108</v>
      </c>
      <c r="K48" s="254">
        <v>46020</v>
      </c>
      <c r="L48" s="255" t="s">
        <v>109</v>
      </c>
      <c r="N48" s="293"/>
      <c r="P48" s="41"/>
    </row>
    <row r="49" spans="2:16" ht="16.5" customHeight="1" x14ac:dyDescent="0.35">
      <c r="B49" s="253" t="s">
        <v>108</v>
      </c>
      <c r="C49" s="254">
        <v>46020</v>
      </c>
      <c r="D49" s="255" t="s">
        <v>109</v>
      </c>
      <c r="F49" s="303"/>
      <c r="H49" s="41"/>
      <c r="J49" s="253" t="s">
        <v>108</v>
      </c>
      <c r="K49" s="254">
        <v>46021</v>
      </c>
      <c r="L49" s="255" t="s">
        <v>109</v>
      </c>
      <c r="N49" s="293"/>
      <c r="P49" s="41"/>
    </row>
    <row r="50" spans="2:16" ht="16.5" customHeight="1" x14ac:dyDescent="0.35">
      <c r="B50" s="253" t="s">
        <v>108</v>
      </c>
      <c r="C50" s="254">
        <v>46021</v>
      </c>
      <c r="D50" s="255" t="s">
        <v>109</v>
      </c>
      <c r="F50" s="303"/>
      <c r="H50" s="41"/>
      <c r="J50" s="253" t="s">
        <v>108</v>
      </c>
      <c r="K50" s="254">
        <v>46022</v>
      </c>
      <c r="L50" s="255" t="s">
        <v>109</v>
      </c>
      <c r="N50" s="293"/>
      <c r="P50" s="41"/>
    </row>
    <row r="51" spans="2:16" ht="16.5" customHeight="1" x14ac:dyDescent="0.35">
      <c r="B51" s="253" t="s">
        <v>108</v>
      </c>
      <c r="C51" s="254">
        <v>46022</v>
      </c>
      <c r="D51" s="255" t="s">
        <v>109</v>
      </c>
      <c r="F51" s="303"/>
      <c r="H51" s="41"/>
      <c r="J51" s="253" t="s">
        <v>108</v>
      </c>
      <c r="K51" s="254">
        <v>46024</v>
      </c>
      <c r="L51" s="255" t="s">
        <v>109</v>
      </c>
      <c r="N51" s="293"/>
      <c r="P51" s="41"/>
    </row>
    <row r="52" spans="2:16" ht="16.5" customHeight="1" x14ac:dyDescent="0.35">
      <c r="B52" s="253" t="s">
        <v>108</v>
      </c>
      <c r="C52" s="254">
        <v>46024</v>
      </c>
      <c r="D52" s="255" t="s">
        <v>109</v>
      </c>
      <c r="F52" s="303"/>
      <c r="H52" s="41"/>
      <c r="J52" s="253" t="s">
        <v>108</v>
      </c>
      <c r="K52" s="254">
        <v>46027</v>
      </c>
      <c r="L52" s="255" t="s">
        <v>109</v>
      </c>
      <c r="N52" s="293"/>
      <c r="P52" s="41"/>
    </row>
    <row r="53" spans="2:16" ht="16.5" customHeight="1" x14ac:dyDescent="0.35">
      <c r="B53" s="253" t="s">
        <v>108</v>
      </c>
      <c r="C53" s="254">
        <v>46027</v>
      </c>
      <c r="D53" s="255" t="s">
        <v>109</v>
      </c>
      <c r="F53" s="347"/>
      <c r="G53" s="332"/>
      <c r="H53" s="41"/>
      <c r="J53" s="253" t="s">
        <v>108</v>
      </c>
      <c r="K53" s="254">
        <v>46028</v>
      </c>
      <c r="L53" s="255" t="s">
        <v>111</v>
      </c>
      <c r="N53" s="293" t="s">
        <v>108</v>
      </c>
      <c r="O53" s="332">
        <v>46028</v>
      </c>
      <c r="P53" s="41" t="s">
        <v>112</v>
      </c>
    </row>
    <row r="54" spans="2:16" ht="16.5" customHeight="1" x14ac:dyDescent="0.35">
      <c r="B54" s="253" t="s">
        <v>108</v>
      </c>
      <c r="C54" s="254">
        <v>46028</v>
      </c>
      <c r="D54" s="255" t="s">
        <v>112</v>
      </c>
      <c r="F54" s="303"/>
      <c r="H54" s="41"/>
      <c r="J54" s="253" t="s">
        <v>108</v>
      </c>
      <c r="K54" s="254"/>
      <c r="L54" s="255"/>
      <c r="N54" s="293"/>
      <c r="P54" s="41"/>
    </row>
    <row r="55" spans="2:16" ht="16.5" customHeight="1" x14ac:dyDescent="0.35">
      <c r="B55" s="253" t="s">
        <v>108</v>
      </c>
      <c r="C55" s="254">
        <v>46029</v>
      </c>
      <c r="D55" s="255" t="s">
        <v>109</v>
      </c>
      <c r="F55" s="303"/>
      <c r="G55" s="332"/>
      <c r="H55" s="41"/>
      <c r="J55" s="253"/>
      <c r="L55" s="255"/>
      <c r="N55" s="293"/>
      <c r="P55" s="41"/>
    </row>
    <row r="56" spans="2:16" ht="16.5" customHeight="1" x14ac:dyDescent="0.35">
      <c r="B56" s="253" t="s">
        <v>108</v>
      </c>
      <c r="C56" s="254">
        <v>46030</v>
      </c>
      <c r="D56" s="255" t="s">
        <v>109</v>
      </c>
      <c r="F56" s="303" t="s">
        <v>108</v>
      </c>
      <c r="G56" s="332">
        <v>46030</v>
      </c>
      <c r="H56" s="41" t="s">
        <v>109</v>
      </c>
      <c r="J56" s="253" t="s">
        <v>108</v>
      </c>
      <c r="K56" s="254">
        <v>46030</v>
      </c>
      <c r="L56" s="255" t="s">
        <v>109</v>
      </c>
      <c r="N56" s="293"/>
      <c r="P56" s="41"/>
    </row>
    <row r="57" spans="2:16" ht="16.5" customHeight="1" x14ac:dyDescent="0.35">
      <c r="B57" s="253" t="s">
        <v>108</v>
      </c>
      <c r="C57" s="254">
        <v>46044</v>
      </c>
      <c r="D57" s="255" t="s">
        <v>109</v>
      </c>
      <c r="E57" s="276" t="s">
        <v>234</v>
      </c>
      <c r="F57" s="303"/>
      <c r="H57" s="41"/>
      <c r="J57" s="253"/>
      <c r="L57" s="255"/>
      <c r="N57" s="293"/>
      <c r="P57" s="41"/>
    </row>
    <row r="58" spans="2:16" ht="16.5" customHeight="1" x14ac:dyDescent="0.35">
      <c r="B58" s="253"/>
      <c r="D58" s="255"/>
      <c r="F58" s="303"/>
      <c r="H58" s="41"/>
      <c r="J58" s="253"/>
      <c r="L58" s="255"/>
      <c r="N58" s="293"/>
      <c r="P58" s="41"/>
    </row>
    <row r="59" spans="2:16" ht="16.5" customHeight="1" x14ac:dyDescent="0.35">
      <c r="B59" s="253"/>
      <c r="D59" s="255"/>
      <c r="F59" s="303"/>
      <c r="H59" s="41"/>
      <c r="J59" s="253"/>
      <c r="L59" s="255"/>
      <c r="N59" s="293"/>
      <c r="P59" s="41"/>
    </row>
    <row r="60" spans="2:16" ht="16.5" customHeight="1" x14ac:dyDescent="0.35">
      <c r="B60" s="253"/>
      <c r="D60" s="255"/>
      <c r="F60" s="303"/>
      <c r="H60" s="41"/>
      <c r="J60" s="253"/>
      <c r="L60" s="255"/>
      <c r="N60" s="293"/>
      <c r="P60" s="41"/>
    </row>
    <row r="61" spans="2:16" ht="16.5" customHeight="1" x14ac:dyDescent="0.35">
      <c r="B61" s="253"/>
      <c r="D61" s="255"/>
      <c r="F61" s="303"/>
      <c r="H61" s="41"/>
      <c r="J61" s="253"/>
      <c r="L61" s="255"/>
      <c r="N61" s="293"/>
      <c r="P61" s="41"/>
    </row>
    <row r="62" spans="2:16" ht="16.5" customHeight="1" x14ac:dyDescent="0.35">
      <c r="B62" s="253"/>
      <c r="D62" s="255"/>
      <c r="F62" s="303"/>
      <c r="H62" s="41"/>
      <c r="J62" s="253"/>
      <c r="L62" s="255"/>
      <c r="N62" s="293"/>
      <c r="P62" s="41"/>
    </row>
    <row r="63" spans="2:16" ht="16.5" customHeight="1" x14ac:dyDescent="0.35">
      <c r="B63" s="253"/>
      <c r="D63" s="255"/>
      <c r="F63" s="303"/>
      <c r="H63" s="41"/>
      <c r="J63" s="253"/>
      <c r="L63" s="255"/>
      <c r="N63" s="293"/>
      <c r="P63" s="41"/>
    </row>
    <row r="64" spans="2:16" ht="16.5" customHeight="1" x14ac:dyDescent="0.35">
      <c r="B64" s="253"/>
      <c r="D64" s="255"/>
      <c r="F64" s="303"/>
      <c r="H64" s="41"/>
      <c r="J64" s="253"/>
      <c r="L64" s="255"/>
      <c r="N64" s="293"/>
      <c r="P64" s="41"/>
    </row>
    <row r="65" spans="2:16" ht="16.5" customHeight="1" x14ac:dyDescent="0.35">
      <c r="B65" s="253"/>
      <c r="D65" s="255"/>
      <c r="F65" s="303"/>
      <c r="H65" s="41"/>
      <c r="J65" s="253"/>
      <c r="L65" s="255"/>
      <c r="N65" s="293"/>
      <c r="P65" s="41"/>
    </row>
    <row r="66" spans="2:16" ht="16.5" customHeight="1" x14ac:dyDescent="0.35">
      <c r="B66" s="253"/>
      <c r="D66" s="255"/>
      <c r="F66" s="303"/>
      <c r="H66" s="41"/>
      <c r="J66" s="253"/>
      <c r="L66" s="255"/>
      <c r="N66" s="293"/>
      <c r="P66" s="41"/>
    </row>
    <row r="67" spans="2:16" ht="16.5" customHeight="1" x14ac:dyDescent="0.35">
      <c r="B67" s="253"/>
      <c r="D67" s="255"/>
      <c r="F67" s="303"/>
      <c r="H67" s="41"/>
      <c r="J67" s="253"/>
      <c r="L67" s="255"/>
      <c r="N67" s="293"/>
      <c r="P67" s="41"/>
    </row>
    <row r="68" spans="2:16" ht="16.5" customHeight="1" x14ac:dyDescent="0.35">
      <c r="B68" s="253"/>
      <c r="D68" s="255"/>
      <c r="F68" s="303"/>
      <c r="H68" s="41"/>
      <c r="J68" s="253"/>
      <c r="L68" s="255"/>
      <c r="N68" s="293"/>
      <c r="P68" s="41"/>
    </row>
    <row r="69" spans="2:16" ht="16.5" customHeight="1" x14ac:dyDescent="0.35">
      <c r="B69" s="253"/>
      <c r="D69" s="255"/>
      <c r="F69" s="303"/>
      <c r="H69" s="41"/>
      <c r="J69" s="253"/>
      <c r="L69" s="255"/>
      <c r="N69" s="293"/>
      <c r="P69" s="41"/>
    </row>
    <row r="70" spans="2:16" ht="16.5" customHeight="1" x14ac:dyDescent="0.35">
      <c r="B70" s="253"/>
      <c r="D70" s="255"/>
      <c r="F70" s="303"/>
      <c r="H70" s="41"/>
      <c r="J70" s="253"/>
      <c r="L70" s="255"/>
      <c r="N70" s="293"/>
      <c r="P70" s="41"/>
    </row>
    <row r="71" spans="2:16" ht="16.5" customHeight="1" x14ac:dyDescent="0.35">
      <c r="B71" s="253"/>
      <c r="D71" s="255"/>
      <c r="F71" s="303"/>
      <c r="H71" s="41"/>
      <c r="J71" s="253"/>
      <c r="L71" s="255"/>
      <c r="N71" s="293"/>
      <c r="P71" s="41"/>
    </row>
    <row r="72" spans="2:16" ht="16.5" customHeight="1" x14ac:dyDescent="0.35">
      <c r="B72" s="253"/>
      <c r="D72" s="255"/>
      <c r="F72" s="303"/>
      <c r="H72" s="41"/>
      <c r="J72" s="253"/>
      <c r="L72" s="255"/>
      <c r="N72" s="293"/>
      <c r="P72" s="41"/>
    </row>
    <row r="73" spans="2:16" ht="16.5" customHeight="1" x14ac:dyDescent="0.35">
      <c r="B73" s="253"/>
      <c r="D73" s="255"/>
      <c r="F73" s="303"/>
      <c r="H73" s="41"/>
      <c r="J73" s="253"/>
      <c r="L73" s="255"/>
      <c r="N73" s="293"/>
      <c r="P73" s="41"/>
    </row>
    <row r="74" spans="2:16" ht="16.5" customHeight="1" x14ac:dyDescent="0.35">
      <c r="B74" s="253"/>
      <c r="D74" s="255"/>
      <c r="F74" s="303"/>
      <c r="H74" s="41"/>
      <c r="J74" s="253"/>
      <c r="L74" s="255"/>
      <c r="N74" s="293"/>
      <c r="P74" s="41"/>
    </row>
    <row r="75" spans="2:16" ht="16.5" customHeight="1" x14ac:dyDescent="0.35">
      <c r="B75" s="253"/>
      <c r="D75" s="255"/>
      <c r="F75" s="303"/>
      <c r="H75" s="41"/>
      <c r="J75" s="253"/>
      <c r="L75" s="255"/>
      <c r="N75" s="293"/>
      <c r="P75" s="41"/>
    </row>
    <row r="76" spans="2:16" ht="16.5" customHeight="1" x14ac:dyDescent="0.35">
      <c r="B76" s="253"/>
      <c r="D76" s="255"/>
      <c r="F76" s="303"/>
      <c r="H76" s="41"/>
      <c r="J76" s="253"/>
      <c r="L76" s="255"/>
      <c r="N76" s="293"/>
      <c r="P76" s="41"/>
    </row>
    <row r="77" spans="2:16" ht="16.5" customHeight="1" x14ac:dyDescent="0.35">
      <c r="B77" s="253"/>
      <c r="D77" s="255"/>
      <c r="F77" s="303"/>
      <c r="H77" s="41"/>
      <c r="J77" s="253"/>
      <c r="L77" s="255"/>
      <c r="N77" s="293"/>
      <c r="P77" s="41"/>
    </row>
    <row r="78" spans="2:16" ht="16.5" customHeight="1" x14ac:dyDescent="0.35">
      <c r="B78" s="253"/>
      <c r="D78" s="255"/>
      <c r="F78" s="303"/>
      <c r="H78" s="41"/>
      <c r="J78" s="253"/>
      <c r="L78" s="255"/>
      <c r="N78" s="293"/>
      <c r="P78" s="41"/>
    </row>
    <row r="79" spans="2:16" ht="16.5" customHeight="1" x14ac:dyDescent="0.35">
      <c r="B79" s="253"/>
      <c r="D79" s="255"/>
      <c r="F79" s="303"/>
      <c r="H79" s="41"/>
      <c r="J79" s="253"/>
      <c r="L79" s="255"/>
      <c r="N79" s="293"/>
      <c r="P79" s="41"/>
    </row>
    <row r="80" spans="2:16" ht="16.5" customHeight="1" x14ac:dyDescent="0.35">
      <c r="B80" s="253"/>
      <c r="D80" s="255"/>
      <c r="F80" s="303"/>
      <c r="H80" s="41"/>
      <c r="J80" s="253"/>
      <c r="L80" s="255"/>
      <c r="N80" s="293"/>
      <c r="P80" s="41"/>
    </row>
    <row r="81" spans="2:16" ht="16.5" customHeight="1" x14ac:dyDescent="0.35">
      <c r="B81" s="253"/>
      <c r="D81" s="255"/>
      <c r="F81" s="303"/>
      <c r="H81" s="41"/>
      <c r="J81" s="253"/>
      <c r="L81" s="255"/>
      <c r="N81" s="293"/>
      <c r="P81" s="41"/>
    </row>
    <row r="82" spans="2:16" ht="16.5" customHeight="1" x14ac:dyDescent="0.35">
      <c r="B82" s="253"/>
      <c r="D82" s="255"/>
      <c r="F82" s="303"/>
      <c r="H82" s="41"/>
      <c r="J82" s="253"/>
      <c r="L82" s="255"/>
      <c r="N82" s="293"/>
      <c r="P82" s="41"/>
    </row>
    <row r="83" spans="2:16" ht="16.5" customHeight="1" x14ac:dyDescent="0.35">
      <c r="B83" s="253"/>
      <c r="D83" s="255"/>
      <c r="F83" s="303"/>
      <c r="H83" s="41"/>
      <c r="J83" s="253"/>
      <c r="L83" s="255"/>
      <c r="N83" s="293"/>
      <c r="P83" s="41"/>
    </row>
    <row r="84" spans="2:16" ht="16.5" customHeight="1" x14ac:dyDescent="0.35">
      <c r="B84" s="253"/>
      <c r="D84" s="255"/>
      <c r="F84" s="303"/>
      <c r="H84" s="41"/>
      <c r="J84" s="253"/>
      <c r="L84" s="255"/>
      <c r="N84" s="293"/>
      <c r="P84" s="41"/>
    </row>
    <row r="85" spans="2:16" ht="16.5" customHeight="1" x14ac:dyDescent="0.35">
      <c r="B85" s="253"/>
      <c r="D85" s="255"/>
      <c r="F85" s="303"/>
      <c r="H85" s="41"/>
      <c r="J85" s="253"/>
      <c r="L85" s="255"/>
      <c r="N85" s="293"/>
      <c r="P85" s="41"/>
    </row>
    <row r="86" spans="2:16" ht="16.5" customHeight="1" x14ac:dyDescent="0.35">
      <c r="B86" s="253"/>
      <c r="D86" s="255"/>
      <c r="F86" s="303"/>
      <c r="H86" s="41"/>
      <c r="J86" s="253"/>
      <c r="L86" s="255"/>
      <c r="N86" s="293"/>
      <c r="P86" s="41"/>
    </row>
    <row r="87" spans="2:16" ht="16.5" customHeight="1" x14ac:dyDescent="0.35">
      <c r="B87" s="253"/>
      <c r="D87" s="255"/>
      <c r="F87" s="303"/>
      <c r="H87" s="41"/>
      <c r="J87" s="253"/>
      <c r="L87" s="255"/>
      <c r="N87" s="293"/>
      <c r="P87" s="41"/>
    </row>
    <row r="88" spans="2:16" ht="16.5" customHeight="1" x14ac:dyDescent="0.35">
      <c r="B88" s="253"/>
      <c r="D88" s="255"/>
      <c r="F88" s="303"/>
      <c r="H88" s="41"/>
      <c r="J88" s="253"/>
      <c r="L88" s="255"/>
      <c r="N88" s="293"/>
      <c r="P88" s="41"/>
    </row>
    <row r="89" spans="2:16" ht="16.5" customHeight="1" x14ac:dyDescent="0.35">
      <c r="B89" s="253"/>
      <c r="D89" s="255"/>
      <c r="F89" s="303"/>
      <c r="H89" s="41"/>
      <c r="J89" s="253"/>
      <c r="L89" s="255"/>
      <c r="N89" s="293"/>
      <c r="P89" s="41"/>
    </row>
    <row r="90" spans="2:16" ht="16.5" customHeight="1" x14ac:dyDescent="0.35">
      <c r="B90" s="253"/>
      <c r="D90" s="255"/>
      <c r="F90" s="303"/>
      <c r="H90" s="41"/>
      <c r="J90" s="253"/>
      <c r="L90" s="255"/>
      <c r="N90" s="293"/>
      <c r="P90" s="41"/>
    </row>
    <row r="91" spans="2:16" ht="16.5" customHeight="1" x14ac:dyDescent="0.35">
      <c r="B91" s="253"/>
      <c r="D91" s="255"/>
      <c r="F91" s="303"/>
      <c r="H91" s="41"/>
      <c r="J91" s="253"/>
      <c r="L91" s="255"/>
      <c r="N91" s="293"/>
      <c r="P91" s="41"/>
    </row>
    <row r="92" spans="2:16" ht="16.5" customHeight="1" x14ac:dyDescent="0.35">
      <c r="B92" s="253"/>
      <c r="D92" s="255"/>
      <c r="F92" s="303"/>
      <c r="H92" s="41"/>
      <c r="J92" s="253"/>
      <c r="L92" s="255"/>
      <c r="N92" s="293"/>
      <c r="P92" s="41"/>
    </row>
    <row r="93" spans="2:16" ht="16.5" customHeight="1" x14ac:dyDescent="0.35">
      <c r="B93" s="253"/>
      <c r="D93" s="255"/>
      <c r="F93" s="303"/>
      <c r="H93" s="41"/>
      <c r="J93" s="253"/>
      <c r="L93" s="255"/>
      <c r="N93" s="293"/>
      <c r="P93" s="41"/>
    </row>
    <row r="94" spans="2:16" ht="16.5" customHeight="1" x14ac:dyDescent="0.35">
      <c r="B94" s="253"/>
      <c r="D94" s="255"/>
      <c r="F94" s="303"/>
      <c r="H94" s="41"/>
      <c r="J94" s="253"/>
      <c r="L94" s="255"/>
      <c r="N94" s="293"/>
      <c r="P94" s="41"/>
    </row>
    <row r="95" spans="2:16" ht="16.5" customHeight="1" x14ac:dyDescent="0.35">
      <c r="B95" s="253"/>
      <c r="D95" s="255"/>
      <c r="F95" s="303"/>
      <c r="H95" s="41"/>
      <c r="J95" s="253"/>
      <c r="L95" s="255"/>
      <c r="N95" s="293"/>
      <c r="P95" s="41"/>
    </row>
    <row r="96" spans="2:16" ht="16.5" customHeight="1" x14ac:dyDescent="0.35">
      <c r="B96" s="253"/>
      <c r="D96" s="255"/>
      <c r="F96" s="303"/>
      <c r="H96" s="41"/>
      <c r="J96" s="253"/>
      <c r="L96" s="255"/>
      <c r="N96" s="293"/>
      <c r="P96" s="41"/>
    </row>
    <row r="97" spans="2:16" ht="16.5" customHeight="1" x14ac:dyDescent="0.35">
      <c r="B97" s="253"/>
      <c r="D97" s="255"/>
      <c r="F97" s="303"/>
      <c r="H97" s="41"/>
      <c r="J97" s="253"/>
      <c r="L97" s="255"/>
      <c r="N97" s="293"/>
      <c r="P97" s="41"/>
    </row>
    <row r="98" spans="2:16" ht="16.5" customHeight="1" x14ac:dyDescent="0.35">
      <c r="B98" s="253"/>
      <c r="D98" s="255"/>
      <c r="F98" s="303"/>
      <c r="H98" s="41"/>
      <c r="J98" s="253"/>
      <c r="L98" s="255"/>
      <c r="N98" s="293"/>
      <c r="P98" s="41"/>
    </row>
    <row r="99" spans="2:16" ht="16.5" customHeight="1" x14ac:dyDescent="0.35">
      <c r="B99" s="253"/>
      <c r="D99" s="255"/>
      <c r="F99" s="303"/>
      <c r="H99" s="41"/>
      <c r="J99" s="253"/>
      <c r="L99" s="255"/>
      <c r="N99" s="293"/>
      <c r="P99" s="41"/>
    </row>
    <row r="100" spans="2:16" ht="16.5" customHeight="1" x14ac:dyDescent="0.35">
      <c r="B100" s="253"/>
      <c r="D100" s="255"/>
      <c r="F100" s="303"/>
      <c r="H100" s="41"/>
      <c r="J100" s="253"/>
      <c r="L100" s="255"/>
      <c r="N100" s="293"/>
      <c r="P100" s="41"/>
    </row>
    <row r="101" spans="2:16" ht="16.5" customHeight="1" x14ac:dyDescent="0.35">
      <c r="B101" s="253"/>
      <c r="D101" s="255"/>
      <c r="F101" s="303"/>
      <c r="H101" s="41"/>
      <c r="J101" s="253"/>
      <c r="L101" s="255"/>
      <c r="N101" s="293"/>
      <c r="P101" s="41"/>
    </row>
    <row r="102" spans="2:16" ht="16.5" customHeight="1" x14ac:dyDescent="0.35">
      <c r="B102" s="253"/>
      <c r="D102" s="255"/>
      <c r="F102" s="303"/>
      <c r="H102" s="41"/>
      <c r="J102" s="253"/>
      <c r="L102" s="255"/>
      <c r="N102" s="293"/>
      <c r="P102" s="41"/>
    </row>
    <row r="103" spans="2:16" ht="16.5" customHeight="1" x14ac:dyDescent="0.35">
      <c r="B103" s="253"/>
      <c r="D103" s="255"/>
      <c r="F103" s="303"/>
      <c r="H103" s="41"/>
      <c r="J103" s="253"/>
      <c r="L103" s="255"/>
      <c r="N103" s="293"/>
      <c r="P103" s="41"/>
    </row>
    <row r="104" spans="2:16" ht="16.5" customHeight="1" x14ac:dyDescent="0.35">
      <c r="B104" s="253"/>
      <c r="D104" s="255"/>
      <c r="F104" s="303"/>
      <c r="H104" s="41"/>
      <c r="J104" s="253"/>
      <c r="L104" s="255"/>
      <c r="N104" s="293"/>
      <c r="P104" s="41"/>
    </row>
    <row r="105" spans="2:16" ht="16.5" customHeight="1" x14ac:dyDescent="0.35">
      <c r="B105" s="253"/>
      <c r="D105" s="255"/>
      <c r="F105" s="303"/>
      <c r="H105" s="41"/>
      <c r="J105" s="253"/>
      <c r="L105" s="255"/>
      <c r="N105" s="293"/>
      <c r="P105" s="41"/>
    </row>
    <row r="106" spans="2:16" ht="16.5" customHeight="1" x14ac:dyDescent="0.35">
      <c r="B106" s="253"/>
      <c r="D106" s="255"/>
      <c r="F106" s="303"/>
      <c r="H106" s="41"/>
      <c r="J106" s="253"/>
      <c r="L106" s="255"/>
      <c r="N106" s="293"/>
      <c r="P106" s="41"/>
    </row>
    <row r="107" spans="2:16" ht="16.5" customHeight="1" x14ac:dyDescent="0.35">
      <c r="B107" s="253"/>
      <c r="D107" s="255"/>
      <c r="F107" s="303"/>
      <c r="H107" s="41"/>
      <c r="J107" s="253"/>
      <c r="L107" s="255"/>
      <c r="N107" s="293"/>
      <c r="P107" s="41"/>
    </row>
    <row r="108" spans="2:16" ht="16.5" customHeight="1" x14ac:dyDescent="0.35">
      <c r="B108" s="253"/>
      <c r="D108" s="255"/>
      <c r="F108" s="303"/>
      <c r="H108" s="41"/>
      <c r="J108" s="253"/>
      <c r="L108" s="255"/>
      <c r="N108" s="293"/>
      <c r="P108" s="41"/>
    </row>
    <row r="109" spans="2:16" ht="16.5" customHeight="1" x14ac:dyDescent="0.35">
      <c r="B109" s="253"/>
      <c r="D109" s="255"/>
      <c r="F109" s="303"/>
      <c r="H109" s="41"/>
      <c r="J109" s="253"/>
      <c r="L109" s="255"/>
      <c r="N109" s="293"/>
      <c r="P109" s="41"/>
    </row>
    <row r="110" spans="2:16" ht="16.5" customHeight="1" x14ac:dyDescent="0.35">
      <c r="B110" s="253"/>
      <c r="D110" s="255"/>
      <c r="F110" s="303"/>
      <c r="H110" s="41"/>
      <c r="J110" s="253"/>
      <c r="L110" s="255"/>
      <c r="N110" s="293"/>
      <c r="P110" s="41"/>
    </row>
    <row r="111" spans="2:16" ht="16.5" customHeight="1" x14ac:dyDescent="0.35">
      <c r="B111" s="253"/>
      <c r="D111" s="255"/>
      <c r="F111" s="303"/>
      <c r="H111" s="41"/>
      <c r="J111" s="253"/>
      <c r="L111" s="255"/>
      <c r="N111" s="293"/>
      <c r="P111" s="41"/>
    </row>
    <row r="112" spans="2:16" ht="16.5" customHeight="1" x14ac:dyDescent="0.35">
      <c r="B112" s="253"/>
      <c r="D112" s="255"/>
      <c r="F112" s="303"/>
      <c r="H112" s="41"/>
      <c r="J112" s="253"/>
      <c r="L112" s="255"/>
      <c r="N112" s="293"/>
      <c r="P112" s="41"/>
    </row>
    <row r="113" spans="2:16" ht="16.5" customHeight="1" x14ac:dyDescent="0.35">
      <c r="B113" s="253"/>
      <c r="D113" s="255"/>
      <c r="F113" s="303"/>
      <c r="H113" s="41"/>
      <c r="J113" s="253"/>
      <c r="L113" s="255"/>
      <c r="N113" s="293"/>
      <c r="P113" s="41"/>
    </row>
    <row r="114" spans="2:16" ht="16.5" customHeight="1" x14ac:dyDescent="0.35">
      <c r="B114" s="253"/>
      <c r="D114" s="255"/>
      <c r="F114" s="303"/>
      <c r="H114" s="41"/>
      <c r="J114" s="253"/>
      <c r="L114" s="255"/>
      <c r="N114" s="293"/>
      <c r="P114" s="41"/>
    </row>
    <row r="115" spans="2:16" ht="16.5" customHeight="1" x14ac:dyDescent="0.35">
      <c r="B115" s="253"/>
      <c r="D115" s="255"/>
      <c r="F115" s="303"/>
      <c r="H115" s="41"/>
      <c r="J115" s="253"/>
      <c r="L115" s="255"/>
      <c r="N115" s="293"/>
      <c r="P115" s="41"/>
    </row>
    <row r="116" spans="2:16" ht="16.5" customHeight="1" x14ac:dyDescent="0.35">
      <c r="B116" s="253"/>
      <c r="D116" s="255"/>
      <c r="F116" s="303"/>
      <c r="H116" s="41"/>
      <c r="J116" s="253"/>
      <c r="L116" s="255"/>
      <c r="N116" s="293"/>
      <c r="P116" s="41"/>
    </row>
    <row r="117" spans="2:16" ht="16.5" customHeight="1" x14ac:dyDescent="0.35">
      <c r="B117" s="253"/>
      <c r="D117" s="255"/>
      <c r="F117" s="303"/>
      <c r="H117" s="41"/>
      <c r="J117" s="253"/>
      <c r="L117" s="255"/>
      <c r="N117" s="293"/>
      <c r="P117" s="41"/>
    </row>
    <row r="118" spans="2:16" ht="16.5" customHeight="1" x14ac:dyDescent="0.35">
      <c r="B118" s="253"/>
      <c r="D118" s="255"/>
      <c r="F118" s="303"/>
      <c r="H118" s="41"/>
      <c r="J118" s="253"/>
      <c r="L118" s="255"/>
      <c r="N118" s="293"/>
      <c r="P118" s="41"/>
    </row>
    <row r="119" spans="2:16" ht="16.5" customHeight="1" x14ac:dyDescent="0.35">
      <c r="B119" s="253"/>
      <c r="D119" s="255"/>
      <c r="F119" s="303"/>
      <c r="H119" s="41"/>
      <c r="J119" s="253"/>
      <c r="L119" s="255"/>
      <c r="N119" s="293"/>
      <c r="P119" s="41"/>
    </row>
    <row r="120" spans="2:16" ht="16.5" customHeight="1" x14ac:dyDescent="0.35">
      <c r="B120" s="253"/>
      <c r="D120" s="255"/>
      <c r="F120" s="303"/>
      <c r="H120" s="41"/>
      <c r="J120" s="253"/>
      <c r="L120" s="255"/>
      <c r="N120" s="293"/>
      <c r="P120" s="41"/>
    </row>
    <row r="121" spans="2:16" ht="16.5" customHeight="1" x14ac:dyDescent="0.35">
      <c r="B121" s="253"/>
      <c r="D121" s="255"/>
      <c r="F121" s="303"/>
      <c r="H121" s="41"/>
      <c r="J121" s="253"/>
      <c r="L121" s="255"/>
      <c r="N121" s="293"/>
      <c r="P121" s="41"/>
    </row>
    <row r="122" spans="2:16" ht="16.5" customHeight="1" x14ac:dyDescent="0.35">
      <c r="B122" s="253"/>
      <c r="D122" s="255"/>
      <c r="F122" s="303"/>
      <c r="H122" s="41"/>
      <c r="J122" s="253"/>
      <c r="L122" s="255"/>
      <c r="N122" s="293"/>
      <c r="P122" s="41"/>
    </row>
    <row r="123" spans="2:16" ht="16.5" customHeight="1" x14ac:dyDescent="0.35">
      <c r="B123" s="253"/>
      <c r="D123" s="255"/>
      <c r="F123" s="303"/>
      <c r="H123" s="41"/>
      <c r="J123" s="253"/>
      <c r="L123" s="255"/>
      <c r="N123" s="293"/>
      <c r="P123" s="41"/>
    </row>
    <row r="124" spans="2:16" ht="16.5" customHeight="1" x14ac:dyDescent="0.35">
      <c r="B124" s="253"/>
      <c r="D124" s="255"/>
      <c r="F124" s="303"/>
      <c r="H124" s="41"/>
      <c r="J124" s="253"/>
      <c r="L124" s="255"/>
      <c r="N124" s="293"/>
      <c r="P124" s="41"/>
    </row>
    <row r="125" spans="2:16" ht="16.5" customHeight="1" x14ac:dyDescent="0.35">
      <c r="B125" s="253"/>
      <c r="D125" s="255"/>
      <c r="F125" s="303"/>
      <c r="H125" s="41"/>
      <c r="J125" s="253"/>
      <c r="L125" s="255"/>
      <c r="N125" s="293"/>
      <c r="P125" s="41"/>
    </row>
    <row r="126" spans="2:16" ht="16.5" customHeight="1" x14ac:dyDescent="0.35">
      <c r="B126" s="253"/>
      <c r="D126" s="255"/>
      <c r="F126" s="303"/>
      <c r="H126" s="41"/>
      <c r="J126" s="253"/>
      <c r="L126" s="255"/>
      <c r="N126" s="293"/>
      <c r="P126" s="41"/>
    </row>
    <row r="127" spans="2:16" ht="16.5" customHeight="1" x14ac:dyDescent="0.35">
      <c r="B127" s="253"/>
      <c r="D127" s="255"/>
      <c r="F127" s="303"/>
      <c r="H127" s="41"/>
      <c r="J127" s="253"/>
      <c r="L127" s="255"/>
      <c r="N127" s="293"/>
      <c r="P127" s="41"/>
    </row>
    <row r="128" spans="2:16" ht="16.5" customHeight="1" x14ac:dyDescent="0.35">
      <c r="B128" s="253"/>
      <c r="D128" s="255"/>
      <c r="F128" s="303"/>
      <c r="H128" s="41"/>
      <c r="J128" s="253"/>
      <c r="L128" s="255"/>
      <c r="N128" s="293"/>
      <c r="P128" s="41"/>
    </row>
    <row r="129" spans="2:16" ht="16.5" customHeight="1" x14ac:dyDescent="0.35">
      <c r="B129" s="253"/>
      <c r="D129" s="255"/>
      <c r="F129" s="303"/>
      <c r="H129" s="41"/>
      <c r="J129" s="253"/>
      <c r="L129" s="255"/>
      <c r="N129" s="293"/>
      <c r="P129" s="41"/>
    </row>
    <row r="130" spans="2:16" ht="16.5" customHeight="1" x14ac:dyDescent="0.35">
      <c r="B130" s="253"/>
      <c r="D130" s="255"/>
      <c r="F130" s="303"/>
      <c r="H130" s="41"/>
      <c r="J130" s="253"/>
      <c r="L130" s="255"/>
      <c r="N130" s="293"/>
      <c r="P130" s="41"/>
    </row>
    <row r="131" spans="2:16" ht="16.5" customHeight="1" x14ac:dyDescent="0.35">
      <c r="B131" s="253"/>
      <c r="D131" s="255"/>
      <c r="F131" s="303"/>
      <c r="H131" s="41"/>
      <c r="J131" s="253"/>
      <c r="L131" s="255"/>
      <c r="N131" s="293"/>
      <c r="P131" s="41"/>
    </row>
    <row r="132" spans="2:16" ht="16.5" customHeight="1" x14ac:dyDescent="0.35">
      <c r="B132" s="253"/>
      <c r="D132" s="255"/>
      <c r="F132" s="303"/>
      <c r="H132" s="41"/>
      <c r="J132" s="253"/>
      <c r="L132" s="255"/>
      <c r="N132" s="293"/>
      <c r="P132" s="41"/>
    </row>
    <row r="133" spans="2:16" ht="16.5" customHeight="1" x14ac:dyDescent="0.35">
      <c r="B133" s="253"/>
      <c r="D133" s="255"/>
      <c r="F133" s="303"/>
      <c r="H133" s="41"/>
      <c r="J133" s="253"/>
      <c r="L133" s="255"/>
      <c r="N133" s="293"/>
      <c r="P133" s="41"/>
    </row>
    <row r="134" spans="2:16" ht="16.5" customHeight="1" x14ac:dyDescent="0.35">
      <c r="B134" s="253"/>
      <c r="D134" s="255"/>
      <c r="F134" s="303"/>
      <c r="H134" s="41"/>
      <c r="J134" s="253"/>
      <c r="L134" s="255"/>
      <c r="N134" s="293"/>
      <c r="P134" s="41"/>
    </row>
    <row r="135" spans="2:16" ht="16.5" customHeight="1" x14ac:dyDescent="0.35">
      <c r="B135" s="253"/>
      <c r="D135" s="255"/>
      <c r="F135" s="303"/>
      <c r="H135" s="41"/>
      <c r="J135" s="253"/>
      <c r="L135" s="255"/>
      <c r="N135" s="293"/>
      <c r="P135" s="41"/>
    </row>
    <row r="136" spans="2:16" ht="16.5" customHeight="1" x14ac:dyDescent="0.35">
      <c r="B136" s="253"/>
      <c r="D136" s="255"/>
      <c r="F136" s="303"/>
      <c r="H136" s="41"/>
      <c r="J136" s="253"/>
      <c r="L136" s="255"/>
      <c r="N136" s="293"/>
      <c r="P136" s="41"/>
    </row>
    <row r="137" spans="2:16" ht="16.5" customHeight="1" x14ac:dyDescent="0.35">
      <c r="B137" s="253"/>
      <c r="D137" s="255"/>
      <c r="F137" s="303"/>
      <c r="H137" s="41"/>
      <c r="J137" s="253"/>
      <c r="L137" s="255"/>
      <c r="N137" s="293"/>
      <c r="P137" s="41"/>
    </row>
    <row r="138" spans="2:16" ht="16.5" customHeight="1" x14ac:dyDescent="0.35">
      <c r="B138" s="253"/>
      <c r="D138" s="255"/>
      <c r="F138" s="303"/>
      <c r="H138" s="41"/>
      <c r="J138" s="253"/>
      <c r="L138" s="255"/>
      <c r="N138" s="293"/>
      <c r="P138" s="41"/>
    </row>
    <row r="139" spans="2:16" ht="16.5" customHeight="1" x14ac:dyDescent="0.35">
      <c r="B139" s="253"/>
      <c r="D139" s="255"/>
      <c r="F139" s="303"/>
      <c r="H139" s="41"/>
      <c r="J139" s="253"/>
      <c r="L139" s="255"/>
      <c r="N139" s="293"/>
      <c r="P139" s="41"/>
    </row>
    <row r="140" spans="2:16" ht="16.5" customHeight="1" x14ac:dyDescent="0.35">
      <c r="B140" s="253"/>
      <c r="D140" s="255"/>
      <c r="F140" s="303"/>
      <c r="H140" s="41"/>
      <c r="J140" s="253"/>
      <c r="L140" s="255"/>
      <c r="N140" s="293"/>
      <c r="P140" s="41"/>
    </row>
    <row r="141" spans="2:16" ht="16.5" customHeight="1" x14ac:dyDescent="0.35">
      <c r="B141" s="253"/>
      <c r="D141" s="255"/>
      <c r="F141" s="303"/>
      <c r="H141" s="41"/>
      <c r="J141" s="253"/>
      <c r="L141" s="255"/>
      <c r="N141" s="293"/>
      <c r="P141" s="41"/>
    </row>
    <row r="142" spans="2:16" ht="16.5" customHeight="1" x14ac:dyDescent="0.35">
      <c r="B142" s="253"/>
      <c r="D142" s="255"/>
      <c r="F142" s="303"/>
      <c r="H142" s="41"/>
      <c r="J142" s="253"/>
      <c r="L142" s="255"/>
      <c r="N142" s="293"/>
      <c r="P142" s="41"/>
    </row>
    <row r="143" spans="2:16" ht="16.5" customHeight="1" x14ac:dyDescent="0.35">
      <c r="B143" s="253"/>
      <c r="D143" s="255"/>
      <c r="F143" s="303"/>
      <c r="H143" s="41"/>
      <c r="J143" s="253"/>
      <c r="L143" s="255"/>
      <c r="N143" s="293"/>
      <c r="P143" s="41"/>
    </row>
    <row r="144" spans="2:16" ht="16.5" customHeight="1" x14ac:dyDescent="0.35">
      <c r="B144" s="253"/>
      <c r="D144" s="255"/>
      <c r="F144" s="303"/>
      <c r="H144" s="41"/>
      <c r="J144" s="253"/>
      <c r="L144" s="255"/>
      <c r="N144" s="293"/>
      <c r="P144" s="41"/>
    </row>
    <row r="145" spans="2:16" ht="16.5" customHeight="1" x14ac:dyDescent="0.35">
      <c r="B145" s="253"/>
      <c r="D145" s="255"/>
      <c r="F145" s="303"/>
      <c r="H145" s="41"/>
      <c r="J145" s="253"/>
      <c r="L145" s="255"/>
      <c r="N145" s="293"/>
      <c r="P145" s="41"/>
    </row>
    <row r="146" spans="2:16" ht="16.5" customHeight="1" x14ac:dyDescent="0.35">
      <c r="B146" s="253"/>
      <c r="D146" s="255"/>
      <c r="F146" s="303"/>
      <c r="H146" s="41"/>
      <c r="J146" s="253"/>
      <c r="L146" s="255"/>
      <c r="N146" s="293"/>
      <c r="P146" s="41"/>
    </row>
    <row r="147" spans="2:16" ht="16.5" customHeight="1" x14ac:dyDescent="0.35">
      <c r="B147" s="253"/>
      <c r="D147" s="255"/>
      <c r="F147" s="303"/>
      <c r="H147" s="41"/>
      <c r="J147" s="253"/>
      <c r="L147" s="255"/>
      <c r="N147" s="293"/>
      <c r="P147" s="41"/>
    </row>
    <row r="148" spans="2:16" ht="16.5" customHeight="1" x14ac:dyDescent="0.35">
      <c r="B148" s="253"/>
      <c r="D148" s="255"/>
      <c r="F148" s="303"/>
      <c r="H148" s="41"/>
      <c r="J148" s="253"/>
      <c r="L148" s="255"/>
      <c r="N148" s="293"/>
      <c r="P148" s="41"/>
    </row>
    <row r="149" spans="2:16" ht="16.5" customHeight="1" x14ac:dyDescent="0.35">
      <c r="B149" s="253"/>
      <c r="D149" s="255"/>
      <c r="F149" s="303"/>
      <c r="H149" s="41"/>
      <c r="J149" s="253"/>
      <c r="L149" s="255"/>
      <c r="N149" s="293"/>
      <c r="P149" s="41"/>
    </row>
    <row r="150" spans="2:16" ht="16.5" customHeight="1" x14ac:dyDescent="0.35">
      <c r="B150" s="253"/>
      <c r="D150" s="255"/>
      <c r="F150" s="303"/>
      <c r="H150" s="41"/>
      <c r="J150" s="253"/>
      <c r="L150" s="255"/>
      <c r="N150" s="293"/>
      <c r="P150" s="41"/>
    </row>
    <row r="151" spans="2:16" ht="16.5" customHeight="1" x14ac:dyDescent="0.35">
      <c r="B151" s="253"/>
      <c r="D151" s="255"/>
      <c r="F151" s="303"/>
      <c r="H151" s="41"/>
      <c r="J151" s="253"/>
      <c r="L151" s="255"/>
      <c r="N151" s="293"/>
      <c r="P151" s="41"/>
    </row>
    <row r="152" spans="2:16" ht="16.5" customHeight="1" x14ac:dyDescent="0.35">
      <c r="B152" s="253"/>
      <c r="D152" s="255"/>
      <c r="F152" s="303"/>
      <c r="H152" s="41"/>
      <c r="J152" s="253"/>
      <c r="L152" s="255"/>
      <c r="N152" s="293"/>
      <c r="P152" s="41"/>
    </row>
    <row r="153" spans="2:16" ht="16.5" customHeight="1" x14ac:dyDescent="0.35">
      <c r="B153" s="253"/>
      <c r="D153" s="255"/>
      <c r="F153" s="303"/>
      <c r="H153" s="41"/>
      <c r="J153" s="253"/>
      <c r="L153" s="255"/>
      <c r="N153" s="293"/>
      <c r="P153" s="41"/>
    </row>
    <row r="154" spans="2:16" ht="16.5" customHeight="1" x14ac:dyDescent="0.35">
      <c r="B154" s="253"/>
      <c r="D154" s="255"/>
      <c r="F154" s="303"/>
      <c r="H154" s="41"/>
      <c r="J154" s="253"/>
      <c r="L154" s="255"/>
      <c r="N154" s="293"/>
      <c r="P154" s="41"/>
    </row>
    <row r="155" spans="2:16" ht="16.5" customHeight="1" x14ac:dyDescent="0.35">
      <c r="B155" s="253"/>
      <c r="D155" s="255"/>
      <c r="F155" s="303"/>
      <c r="H155" s="41"/>
      <c r="J155" s="253"/>
      <c r="L155" s="255"/>
      <c r="N155" s="293"/>
      <c r="P155" s="41"/>
    </row>
    <row r="156" spans="2:16" ht="16.5" customHeight="1" x14ac:dyDescent="0.35">
      <c r="B156" s="253"/>
      <c r="D156" s="255"/>
      <c r="F156" s="303"/>
      <c r="H156" s="41"/>
      <c r="J156" s="253"/>
      <c r="L156" s="255"/>
      <c r="N156" s="293"/>
      <c r="P156" s="41"/>
    </row>
    <row r="157" spans="2:16" ht="16.5" customHeight="1" x14ac:dyDescent="0.35">
      <c r="B157" s="253"/>
      <c r="D157" s="255"/>
      <c r="F157" s="303"/>
      <c r="H157" s="41"/>
      <c r="J157" s="253"/>
      <c r="L157" s="255"/>
      <c r="N157" s="293"/>
      <c r="P157" s="41"/>
    </row>
    <row r="158" spans="2:16" ht="16.5" customHeight="1" x14ac:dyDescent="0.35">
      <c r="B158" s="253"/>
      <c r="D158" s="255"/>
      <c r="F158" s="303"/>
      <c r="H158" s="41"/>
      <c r="J158" s="253"/>
      <c r="L158" s="255"/>
      <c r="N158" s="293"/>
      <c r="P158" s="41"/>
    </row>
    <row r="159" spans="2:16" ht="16.5" customHeight="1" x14ac:dyDescent="0.35">
      <c r="B159" s="253"/>
      <c r="D159" s="255"/>
      <c r="F159" s="303"/>
      <c r="H159" s="41"/>
      <c r="J159" s="253"/>
      <c r="L159" s="255"/>
      <c r="N159" s="293"/>
      <c r="P159" s="41"/>
    </row>
    <row r="160" spans="2:16" ht="16.5" customHeight="1" x14ac:dyDescent="0.35">
      <c r="B160" s="253"/>
      <c r="D160" s="255"/>
      <c r="F160" s="303"/>
      <c r="H160" s="41"/>
      <c r="J160" s="253"/>
      <c r="L160" s="255"/>
      <c r="N160" s="293"/>
      <c r="P160" s="41"/>
    </row>
    <row r="161" spans="2:16" ht="16.5" customHeight="1" x14ac:dyDescent="0.35">
      <c r="B161" s="253"/>
      <c r="D161" s="255"/>
      <c r="F161" s="303"/>
      <c r="H161" s="41"/>
      <c r="J161" s="253"/>
      <c r="L161" s="255"/>
      <c r="N161" s="293"/>
      <c r="P161" s="41"/>
    </row>
    <row r="162" spans="2:16" ht="16.5" customHeight="1" x14ac:dyDescent="0.35">
      <c r="B162" s="253"/>
      <c r="D162" s="255"/>
      <c r="F162" s="303"/>
      <c r="H162" s="41"/>
      <c r="J162" s="253"/>
      <c r="L162" s="255"/>
      <c r="N162" s="293"/>
      <c r="P162" s="41"/>
    </row>
    <row r="163" spans="2:16" ht="16.5" customHeight="1" x14ac:dyDescent="0.35">
      <c r="B163" s="253"/>
      <c r="D163" s="255"/>
      <c r="F163" s="303"/>
      <c r="H163" s="41"/>
      <c r="J163" s="253"/>
      <c r="L163" s="255"/>
      <c r="N163" s="293"/>
      <c r="P163" s="41"/>
    </row>
    <row r="164" spans="2:16" ht="16.5" customHeight="1" x14ac:dyDescent="0.35">
      <c r="B164" s="253"/>
      <c r="D164" s="255"/>
      <c r="F164" s="303"/>
      <c r="H164" s="41"/>
      <c r="J164" s="253"/>
      <c r="L164" s="255"/>
      <c r="N164" s="293"/>
      <c r="P164" s="41"/>
    </row>
    <row r="165" spans="2:16" ht="16.5" customHeight="1" x14ac:dyDescent="0.35">
      <c r="B165" s="253"/>
      <c r="D165" s="255"/>
      <c r="F165" s="303"/>
      <c r="H165" s="41"/>
      <c r="J165" s="253"/>
      <c r="L165" s="255"/>
      <c r="N165" s="293"/>
      <c r="P165" s="41"/>
    </row>
    <row r="166" spans="2:16" ht="16.5" customHeight="1" x14ac:dyDescent="0.35">
      <c r="B166" s="253"/>
      <c r="D166" s="255"/>
      <c r="F166" s="303"/>
      <c r="H166" s="41"/>
      <c r="J166" s="253"/>
      <c r="L166" s="255"/>
      <c r="N166" s="293"/>
      <c r="P166" s="41"/>
    </row>
    <row r="167" spans="2:16" ht="16.5" customHeight="1" x14ac:dyDescent="0.35">
      <c r="B167" s="253"/>
      <c r="D167" s="255"/>
      <c r="F167" s="303"/>
      <c r="H167" s="41"/>
      <c r="J167" s="253"/>
      <c r="L167" s="255"/>
      <c r="N167" s="293"/>
      <c r="P167" s="41"/>
    </row>
    <row r="168" spans="2:16" ht="16.5" customHeight="1" x14ac:dyDescent="0.35">
      <c r="B168" s="253"/>
      <c r="D168" s="255"/>
      <c r="F168" s="303"/>
      <c r="H168" s="41"/>
      <c r="J168" s="253"/>
      <c r="L168" s="255"/>
      <c r="N168" s="293"/>
      <c r="P168" s="41"/>
    </row>
    <row r="169" spans="2:16" ht="16.5" customHeight="1" x14ac:dyDescent="0.35">
      <c r="B169" s="253"/>
      <c r="D169" s="255"/>
      <c r="F169" s="303"/>
      <c r="H169" s="41"/>
      <c r="J169" s="253"/>
      <c r="L169" s="255"/>
      <c r="N169" s="293"/>
      <c r="P169" s="41"/>
    </row>
    <row r="170" spans="2:16" ht="16.5" customHeight="1" x14ac:dyDescent="0.35">
      <c r="B170" s="253"/>
      <c r="D170" s="255"/>
      <c r="F170" s="303"/>
      <c r="H170" s="41"/>
      <c r="J170" s="253"/>
      <c r="L170" s="255"/>
      <c r="N170" s="293"/>
      <c r="P170" s="41"/>
    </row>
    <row r="171" spans="2:16" ht="16.5" customHeight="1" x14ac:dyDescent="0.35">
      <c r="B171" s="253"/>
      <c r="D171" s="255"/>
      <c r="F171" s="303"/>
      <c r="H171" s="41"/>
      <c r="J171" s="253"/>
      <c r="L171" s="255"/>
      <c r="N171" s="293"/>
      <c r="P171" s="41"/>
    </row>
    <row r="172" spans="2:16" ht="16.5" customHeight="1" x14ac:dyDescent="0.35">
      <c r="B172" s="253"/>
      <c r="D172" s="255"/>
      <c r="F172" s="303"/>
      <c r="H172" s="41"/>
      <c r="J172" s="253"/>
      <c r="L172" s="255"/>
      <c r="N172" s="293"/>
      <c r="P172" s="41"/>
    </row>
    <row r="173" spans="2:16" ht="16.5" customHeight="1" x14ac:dyDescent="0.35">
      <c r="B173" s="253"/>
      <c r="D173" s="255"/>
      <c r="F173" s="303"/>
      <c r="H173" s="41"/>
      <c r="J173" s="253"/>
      <c r="L173" s="255"/>
      <c r="N173" s="293"/>
      <c r="P173" s="41"/>
    </row>
    <row r="174" spans="2:16" ht="16.5" customHeight="1" x14ac:dyDescent="0.35">
      <c r="B174" s="253"/>
      <c r="D174" s="255"/>
      <c r="F174" s="303"/>
      <c r="H174" s="41"/>
      <c r="J174" s="253"/>
      <c r="L174" s="255"/>
      <c r="N174" s="293"/>
      <c r="P174" s="41"/>
    </row>
    <row r="175" spans="2:16" ht="16.5" customHeight="1" x14ac:dyDescent="0.35">
      <c r="B175" s="253"/>
      <c r="D175" s="255"/>
      <c r="F175" s="303"/>
      <c r="H175" s="41"/>
      <c r="J175" s="253"/>
      <c r="L175" s="255"/>
      <c r="N175" s="293"/>
      <c r="P175" s="41"/>
    </row>
    <row r="176" spans="2:16" ht="16.5" customHeight="1" x14ac:dyDescent="0.35">
      <c r="B176" s="253"/>
      <c r="D176" s="255"/>
      <c r="F176" s="303"/>
      <c r="H176" s="41"/>
      <c r="J176" s="253"/>
      <c r="L176" s="255"/>
      <c r="N176" s="293"/>
      <c r="P176" s="41"/>
    </row>
    <row r="177" spans="2:16" ht="16.5" customHeight="1" x14ac:dyDescent="0.35">
      <c r="B177" s="253"/>
      <c r="D177" s="255"/>
      <c r="F177" s="303"/>
      <c r="H177" s="41"/>
      <c r="J177" s="253"/>
      <c r="L177" s="255"/>
      <c r="N177" s="293"/>
      <c r="P177" s="41"/>
    </row>
    <row r="178" spans="2:16" ht="16.5" customHeight="1" x14ac:dyDescent="0.35">
      <c r="B178" s="253"/>
      <c r="D178" s="255"/>
      <c r="F178" s="303"/>
      <c r="H178" s="41"/>
      <c r="J178" s="253"/>
      <c r="L178" s="255"/>
      <c r="N178" s="293"/>
      <c r="P178" s="41"/>
    </row>
    <row r="179" spans="2:16" ht="16.5" customHeight="1" x14ac:dyDescent="0.35">
      <c r="B179" s="253"/>
      <c r="D179" s="255"/>
      <c r="F179" s="303"/>
      <c r="H179" s="41"/>
      <c r="J179" s="253"/>
      <c r="L179" s="255"/>
      <c r="N179" s="293"/>
      <c r="P179" s="41"/>
    </row>
    <row r="180" spans="2:16" ht="16.5" customHeight="1" x14ac:dyDescent="0.35">
      <c r="B180" s="253"/>
      <c r="D180" s="255"/>
      <c r="F180" s="303"/>
      <c r="H180" s="41"/>
      <c r="J180" s="253"/>
      <c r="L180" s="255"/>
      <c r="N180" s="293"/>
      <c r="P180" s="41"/>
    </row>
    <row r="181" spans="2:16" ht="16.5" customHeight="1" x14ac:dyDescent="0.35">
      <c r="B181" s="253"/>
      <c r="D181" s="255"/>
      <c r="F181" s="303"/>
      <c r="H181" s="41"/>
      <c r="J181" s="253"/>
      <c r="L181" s="255"/>
      <c r="N181" s="293"/>
      <c r="P181" s="41"/>
    </row>
    <row r="182" spans="2:16" ht="16.5" customHeight="1" x14ac:dyDescent="0.35">
      <c r="B182" s="253"/>
      <c r="D182" s="255"/>
      <c r="F182" s="303"/>
      <c r="H182" s="41"/>
      <c r="J182" s="253"/>
      <c r="L182" s="255"/>
      <c r="N182" s="293"/>
      <c r="P182" s="41"/>
    </row>
    <row r="183" spans="2:16" ht="16.5" customHeight="1" x14ac:dyDescent="0.35">
      <c r="B183" s="253"/>
      <c r="D183" s="255"/>
      <c r="F183" s="303"/>
      <c r="H183" s="41"/>
      <c r="J183" s="253"/>
      <c r="L183" s="255"/>
      <c r="N183" s="293"/>
      <c r="P183" s="41"/>
    </row>
    <row r="184" spans="2:16" ht="16.5" customHeight="1" x14ac:dyDescent="0.35">
      <c r="B184" s="253"/>
      <c r="D184" s="255"/>
      <c r="F184" s="303"/>
      <c r="H184" s="41"/>
      <c r="J184" s="253"/>
      <c r="L184" s="255"/>
      <c r="N184" s="293"/>
      <c r="P184" s="41"/>
    </row>
    <row r="185" spans="2:16" ht="16.5" customHeight="1" x14ac:dyDescent="0.35">
      <c r="B185" s="253"/>
      <c r="D185" s="255"/>
      <c r="F185" s="303"/>
      <c r="H185" s="41"/>
      <c r="J185" s="253"/>
      <c r="L185" s="255"/>
      <c r="N185" s="293"/>
      <c r="P185" s="41"/>
    </row>
    <row r="186" spans="2:16" ht="16.5" customHeight="1" x14ac:dyDescent="0.35">
      <c r="B186" s="253"/>
      <c r="D186" s="255"/>
      <c r="F186" s="303"/>
      <c r="H186" s="41"/>
      <c r="J186" s="253"/>
      <c r="L186" s="255"/>
      <c r="N186" s="293"/>
      <c r="P186" s="41"/>
    </row>
    <row r="187" spans="2:16" ht="16.5" customHeight="1" x14ac:dyDescent="0.35">
      <c r="B187" s="253"/>
      <c r="D187" s="255"/>
      <c r="F187" s="303"/>
      <c r="H187" s="41"/>
      <c r="J187" s="253"/>
      <c r="L187" s="255"/>
      <c r="N187" s="293"/>
      <c r="P187" s="41"/>
    </row>
    <row r="188" spans="2:16" ht="16.5" customHeight="1" x14ac:dyDescent="0.35">
      <c r="B188" s="253"/>
      <c r="D188" s="255"/>
      <c r="F188" s="303"/>
      <c r="H188" s="41"/>
      <c r="J188" s="253"/>
      <c r="L188" s="255"/>
      <c r="N188" s="293"/>
      <c r="P188" s="41"/>
    </row>
    <row r="189" spans="2:16" ht="16.5" customHeight="1" x14ac:dyDescent="0.35">
      <c r="B189" s="253"/>
      <c r="D189" s="255"/>
      <c r="F189" s="303"/>
      <c r="H189" s="41"/>
      <c r="J189" s="253"/>
      <c r="L189" s="255"/>
      <c r="N189" s="293"/>
      <c r="P189" s="41"/>
    </row>
    <row r="190" spans="2:16" ht="16.5" customHeight="1" x14ac:dyDescent="0.35">
      <c r="B190" s="253"/>
      <c r="D190" s="255"/>
      <c r="F190" s="303"/>
      <c r="H190" s="41"/>
      <c r="J190" s="253"/>
      <c r="L190" s="255"/>
      <c r="N190" s="293"/>
      <c r="P190" s="41"/>
    </row>
    <row r="191" spans="2:16" ht="16.5" customHeight="1" x14ac:dyDescent="0.35">
      <c r="B191" s="253"/>
      <c r="D191" s="255"/>
      <c r="F191" s="303"/>
      <c r="H191" s="41"/>
      <c r="J191" s="253"/>
      <c r="L191" s="255"/>
      <c r="N191" s="293"/>
      <c r="P191" s="41"/>
    </row>
    <row r="192" spans="2:16" ht="16.5" customHeight="1" x14ac:dyDescent="0.35">
      <c r="B192" s="253"/>
      <c r="D192" s="255"/>
      <c r="F192" s="303"/>
      <c r="H192" s="41"/>
      <c r="J192" s="253"/>
      <c r="L192" s="255"/>
      <c r="N192" s="293"/>
      <c r="P192" s="41"/>
    </row>
    <row r="193" spans="2:16" ht="16.5" customHeight="1" x14ac:dyDescent="0.35">
      <c r="B193" s="253"/>
      <c r="D193" s="255"/>
      <c r="F193" s="303"/>
      <c r="H193" s="41"/>
      <c r="J193" s="253"/>
      <c r="L193" s="255"/>
      <c r="N193" s="293"/>
      <c r="P193" s="41"/>
    </row>
    <row r="194" spans="2:16" ht="16.5" customHeight="1" x14ac:dyDescent="0.35">
      <c r="B194" s="253"/>
      <c r="D194" s="255"/>
      <c r="F194" s="303"/>
      <c r="H194" s="41"/>
      <c r="J194" s="253"/>
      <c r="L194" s="255"/>
      <c r="N194" s="293"/>
      <c r="P194" s="41"/>
    </row>
    <row r="195" spans="2:16" ht="16.5" customHeight="1" x14ac:dyDescent="0.35">
      <c r="B195" s="253"/>
      <c r="D195" s="255"/>
      <c r="F195" s="303"/>
      <c r="H195" s="41"/>
      <c r="J195" s="253"/>
      <c r="L195" s="255"/>
      <c r="N195" s="293"/>
      <c r="P195" s="41"/>
    </row>
    <row r="196" spans="2:16" ht="16.5" customHeight="1" x14ac:dyDescent="0.35">
      <c r="B196" s="253"/>
      <c r="D196" s="255"/>
      <c r="F196" s="303"/>
      <c r="H196" s="41"/>
      <c r="J196" s="253"/>
      <c r="L196" s="255"/>
      <c r="N196" s="293"/>
      <c r="P196" s="41"/>
    </row>
    <row r="197" spans="2:16" ht="16.5" customHeight="1" x14ac:dyDescent="0.35">
      <c r="B197" s="253"/>
      <c r="D197" s="255"/>
      <c r="F197" s="303"/>
      <c r="H197" s="41"/>
      <c r="J197" s="253"/>
      <c r="L197" s="255"/>
      <c r="N197" s="293"/>
      <c r="P197" s="41"/>
    </row>
    <row r="198" spans="2:16" ht="16.5" customHeight="1" x14ac:dyDescent="0.35">
      <c r="B198" s="253"/>
      <c r="D198" s="255"/>
      <c r="F198" s="303"/>
      <c r="H198" s="41"/>
      <c r="J198" s="253"/>
      <c r="L198" s="255"/>
      <c r="N198" s="293"/>
      <c r="P198" s="41"/>
    </row>
    <row r="199" spans="2:16" ht="16.5" customHeight="1" x14ac:dyDescent="0.35">
      <c r="B199" s="253"/>
      <c r="D199" s="255"/>
      <c r="F199" s="303"/>
      <c r="H199" s="41"/>
      <c r="J199" s="253"/>
      <c r="L199" s="255"/>
      <c r="N199" s="293"/>
      <c r="P199" s="41"/>
    </row>
    <row r="200" spans="2:16" ht="16.5" customHeight="1" x14ac:dyDescent="0.35">
      <c r="B200" s="253"/>
      <c r="D200" s="255"/>
      <c r="F200" s="303"/>
      <c r="H200" s="41"/>
      <c r="J200" s="253"/>
      <c r="L200" s="255"/>
      <c r="N200" s="293"/>
      <c r="P200" s="41"/>
    </row>
    <row r="201" spans="2:16" ht="16.5" customHeight="1" x14ac:dyDescent="0.35">
      <c r="B201" s="253"/>
      <c r="D201" s="255"/>
      <c r="F201" s="303"/>
      <c r="H201" s="41"/>
      <c r="J201" s="253"/>
      <c r="L201" s="255"/>
      <c r="N201" s="293"/>
      <c r="P201" s="41"/>
    </row>
    <row r="202" spans="2:16" ht="16.5" customHeight="1" x14ac:dyDescent="0.35">
      <c r="B202" s="253"/>
      <c r="D202" s="255"/>
      <c r="F202" s="303"/>
      <c r="H202" s="41"/>
      <c r="J202" s="253"/>
      <c r="L202" s="255"/>
      <c r="N202" s="293"/>
      <c r="P202" s="41"/>
    </row>
    <row r="203" spans="2:16" ht="16.5" customHeight="1" x14ac:dyDescent="0.35">
      <c r="B203" s="253"/>
      <c r="D203" s="255"/>
      <c r="F203" s="303"/>
      <c r="H203" s="41"/>
      <c r="J203" s="253"/>
      <c r="L203" s="255"/>
      <c r="N203" s="293"/>
      <c r="P203" s="41"/>
    </row>
    <row r="204" spans="2:16" ht="16.5" customHeight="1" x14ac:dyDescent="0.35">
      <c r="B204" s="253"/>
      <c r="D204" s="255"/>
      <c r="F204" s="303"/>
      <c r="H204" s="41"/>
      <c r="J204" s="253"/>
      <c r="L204" s="255"/>
      <c r="N204" s="293"/>
      <c r="P204" s="41"/>
    </row>
    <row r="205" spans="2:16" ht="16.5" customHeight="1" x14ac:dyDescent="0.35">
      <c r="B205" s="253"/>
      <c r="D205" s="255"/>
      <c r="F205" s="303"/>
      <c r="H205" s="41"/>
      <c r="J205" s="253"/>
      <c r="L205" s="255"/>
      <c r="N205" s="293"/>
      <c r="P205" s="41"/>
    </row>
    <row r="206" spans="2:16" ht="16.5" customHeight="1" x14ac:dyDescent="0.35">
      <c r="B206" s="253"/>
      <c r="D206" s="255"/>
      <c r="F206" s="303"/>
      <c r="H206" s="41"/>
      <c r="J206" s="253"/>
      <c r="L206" s="255"/>
      <c r="N206" s="293"/>
      <c r="P206" s="41"/>
    </row>
    <row r="207" spans="2:16" ht="16.5" customHeight="1" x14ac:dyDescent="0.35">
      <c r="B207" s="253"/>
      <c r="D207" s="255"/>
      <c r="F207" s="303"/>
      <c r="H207" s="41"/>
      <c r="J207" s="253"/>
      <c r="L207" s="255"/>
      <c r="N207" s="293"/>
      <c r="P207" s="41"/>
    </row>
    <row r="208" spans="2:16" ht="16.5" customHeight="1" x14ac:dyDescent="0.35">
      <c r="B208" s="253"/>
      <c r="D208" s="255"/>
      <c r="F208" s="303"/>
      <c r="H208" s="41"/>
      <c r="J208" s="253"/>
      <c r="L208" s="255"/>
      <c r="N208" s="293"/>
      <c r="P208" s="41"/>
    </row>
    <row r="209" spans="2:16" ht="16.5" customHeight="1" x14ac:dyDescent="0.35">
      <c r="B209" s="253"/>
      <c r="D209" s="255"/>
      <c r="F209" s="303"/>
      <c r="H209" s="41"/>
      <c r="J209" s="253"/>
      <c r="L209" s="255"/>
      <c r="N209" s="293"/>
      <c r="P209" s="41"/>
    </row>
    <row r="210" spans="2:16" ht="16.5" customHeight="1" x14ac:dyDescent="0.35">
      <c r="B210" s="253"/>
      <c r="D210" s="255"/>
      <c r="F210" s="303"/>
      <c r="H210" s="41"/>
      <c r="J210" s="253"/>
      <c r="L210" s="255"/>
      <c r="N210" s="293"/>
      <c r="P210" s="41"/>
    </row>
    <row r="211" spans="2:16" ht="16.5" customHeight="1" x14ac:dyDescent="0.35">
      <c r="B211" s="253"/>
      <c r="D211" s="255"/>
      <c r="F211" s="303"/>
      <c r="H211" s="41"/>
      <c r="J211" s="253"/>
      <c r="L211" s="255"/>
      <c r="N211" s="293"/>
      <c r="P211" s="41"/>
    </row>
    <row r="212" spans="2:16" ht="16.5" customHeight="1" x14ac:dyDescent="0.35">
      <c r="B212" s="253"/>
      <c r="D212" s="255"/>
      <c r="F212" s="303"/>
      <c r="H212" s="41"/>
      <c r="J212" s="253"/>
      <c r="L212" s="255"/>
      <c r="N212" s="293"/>
      <c r="P212" s="41"/>
    </row>
    <row r="213" spans="2:16" ht="16.5" customHeight="1" x14ac:dyDescent="0.35">
      <c r="B213" s="253"/>
      <c r="D213" s="255"/>
      <c r="F213" s="303"/>
      <c r="H213" s="41"/>
      <c r="J213" s="253"/>
      <c r="L213" s="255"/>
      <c r="N213" s="293"/>
      <c r="P213" s="41"/>
    </row>
    <row r="214" spans="2:16" ht="16.5" customHeight="1" x14ac:dyDescent="0.35">
      <c r="B214" s="253"/>
      <c r="D214" s="255"/>
      <c r="F214" s="303"/>
      <c r="H214" s="41"/>
      <c r="J214" s="253"/>
      <c r="L214" s="255"/>
      <c r="N214" s="293"/>
      <c r="P214" s="41"/>
    </row>
    <row r="215" spans="2:16" ht="16.5" customHeight="1" x14ac:dyDescent="0.35">
      <c r="B215" s="253"/>
      <c r="D215" s="255"/>
      <c r="F215" s="303"/>
      <c r="H215" s="41"/>
      <c r="J215" s="253"/>
      <c r="L215" s="255"/>
      <c r="N215" s="293"/>
      <c r="P215" s="41"/>
    </row>
    <row r="216" spans="2:16" ht="16.5" customHeight="1" x14ac:dyDescent="0.35">
      <c r="B216" s="253"/>
      <c r="D216" s="255"/>
      <c r="F216" s="303"/>
      <c r="H216" s="41"/>
      <c r="J216" s="253"/>
      <c r="L216" s="255"/>
      <c r="N216" s="293"/>
      <c r="P216" s="41"/>
    </row>
    <row r="217" spans="2:16" ht="16.5" customHeight="1" x14ac:dyDescent="0.35">
      <c r="B217" s="253"/>
      <c r="D217" s="255"/>
      <c r="F217" s="303"/>
      <c r="H217" s="41"/>
      <c r="J217" s="253"/>
      <c r="L217" s="255"/>
      <c r="N217" s="293"/>
      <c r="P217" s="41"/>
    </row>
    <row r="218" spans="2:16" ht="16.5" customHeight="1" x14ac:dyDescent="0.35">
      <c r="B218" s="253"/>
      <c r="D218" s="255"/>
      <c r="F218" s="303"/>
      <c r="H218" s="41"/>
      <c r="J218" s="253"/>
      <c r="L218" s="255"/>
      <c r="N218" s="293"/>
      <c r="P218" s="41"/>
    </row>
    <row r="219" spans="2:16" ht="16.5" customHeight="1" x14ac:dyDescent="0.35">
      <c r="B219" s="253"/>
      <c r="D219" s="255"/>
      <c r="F219" s="303"/>
      <c r="H219" s="41"/>
      <c r="J219" s="253"/>
      <c r="L219" s="255"/>
      <c r="N219" s="293"/>
      <c r="P219" s="41"/>
    </row>
    <row r="220" spans="2:16" ht="16.5" customHeight="1" x14ac:dyDescent="0.35">
      <c r="B220" s="253"/>
      <c r="D220" s="255"/>
      <c r="F220" s="303"/>
      <c r="H220" s="41"/>
      <c r="J220" s="253"/>
      <c r="L220" s="255"/>
      <c r="N220" s="293"/>
      <c r="P220" s="41"/>
    </row>
    <row r="221" spans="2:16" ht="16.5" customHeight="1" x14ac:dyDescent="0.35">
      <c r="B221" s="253"/>
      <c r="D221" s="255"/>
      <c r="F221" s="303"/>
      <c r="H221" s="41"/>
      <c r="J221" s="253"/>
      <c r="L221" s="255"/>
      <c r="N221" s="293"/>
      <c r="P221" s="41"/>
    </row>
    <row r="222" spans="2:16" ht="16.5" customHeight="1" x14ac:dyDescent="0.35">
      <c r="B222" s="253"/>
      <c r="D222" s="255"/>
      <c r="F222" s="303"/>
      <c r="H222" s="41"/>
      <c r="J222" s="253"/>
      <c r="L222" s="255"/>
      <c r="N222" s="293"/>
      <c r="P222" s="41"/>
    </row>
    <row r="223" spans="2:16" ht="16.5" customHeight="1" x14ac:dyDescent="0.35">
      <c r="B223" s="253"/>
      <c r="D223" s="255"/>
      <c r="F223" s="303"/>
      <c r="H223" s="41"/>
      <c r="J223" s="253"/>
      <c r="L223" s="255"/>
      <c r="N223" s="293"/>
      <c r="P223" s="41"/>
    </row>
    <row r="224" spans="2:16" ht="16.5" customHeight="1" x14ac:dyDescent="0.35">
      <c r="B224" s="253"/>
      <c r="D224" s="255"/>
      <c r="F224" s="303"/>
      <c r="H224" s="41"/>
      <c r="J224" s="253"/>
      <c r="L224" s="255"/>
      <c r="N224" s="293"/>
      <c r="P224" s="41"/>
    </row>
    <row r="225" spans="2:16" ht="16.5" customHeight="1" x14ac:dyDescent="0.35">
      <c r="B225" s="253"/>
      <c r="D225" s="255"/>
      <c r="F225" s="303"/>
      <c r="H225" s="41"/>
      <c r="J225" s="253"/>
      <c r="L225" s="255"/>
      <c r="N225" s="293"/>
      <c r="P225" s="41"/>
    </row>
    <row r="226" spans="2:16" ht="16.5" customHeight="1" x14ac:dyDescent="0.35">
      <c r="B226" s="253"/>
      <c r="D226" s="255"/>
      <c r="F226" s="303"/>
      <c r="H226" s="41"/>
      <c r="J226" s="253"/>
      <c r="L226" s="255"/>
      <c r="N226" s="293"/>
      <c r="P226" s="41"/>
    </row>
    <row r="227" spans="2:16" ht="16.5" customHeight="1" x14ac:dyDescent="0.35">
      <c r="B227" s="253"/>
      <c r="D227" s="255"/>
      <c r="F227" s="303"/>
      <c r="H227" s="41"/>
      <c r="J227" s="253"/>
      <c r="L227" s="255"/>
      <c r="N227" s="293"/>
      <c r="P227" s="41"/>
    </row>
    <row r="228" spans="2:16" ht="16.5" customHeight="1" x14ac:dyDescent="0.35">
      <c r="B228" s="253"/>
      <c r="D228" s="255"/>
      <c r="F228" s="303"/>
      <c r="H228" s="41"/>
      <c r="J228" s="253"/>
      <c r="L228" s="255"/>
      <c r="N228" s="293"/>
      <c r="P228" s="41"/>
    </row>
    <row r="229" spans="2:16" ht="16.5" customHeight="1" x14ac:dyDescent="0.35">
      <c r="B229" s="253"/>
      <c r="D229" s="255"/>
      <c r="F229" s="303"/>
      <c r="H229" s="41"/>
      <c r="J229" s="253"/>
      <c r="L229" s="255"/>
      <c r="N229" s="293"/>
      <c r="P229" s="41"/>
    </row>
    <row r="230" spans="2:16" ht="16.5" customHeight="1" x14ac:dyDescent="0.35">
      <c r="B230" s="253"/>
      <c r="D230" s="255"/>
      <c r="F230" s="303"/>
      <c r="H230" s="41"/>
      <c r="J230" s="253"/>
      <c r="L230" s="255"/>
      <c r="N230" s="293"/>
      <c r="P230" s="41"/>
    </row>
    <row r="231" spans="2:16" ht="16.5" customHeight="1" x14ac:dyDescent="0.35">
      <c r="B231" s="253"/>
      <c r="D231" s="255"/>
      <c r="F231" s="303"/>
      <c r="H231" s="41"/>
      <c r="J231" s="253"/>
      <c r="L231" s="255"/>
      <c r="N231" s="293"/>
      <c r="P231" s="41"/>
    </row>
    <row r="232" spans="2:16" ht="16.5" customHeight="1" x14ac:dyDescent="0.35">
      <c r="B232" s="253"/>
      <c r="D232" s="255"/>
      <c r="F232" s="303"/>
      <c r="H232" s="41"/>
      <c r="J232" s="253"/>
      <c r="L232" s="255"/>
      <c r="N232" s="293"/>
      <c r="P232" s="41"/>
    </row>
    <row r="233" spans="2:16" ht="16.5" customHeight="1" x14ac:dyDescent="0.35">
      <c r="B233" s="253"/>
      <c r="D233" s="255"/>
      <c r="F233" s="303"/>
      <c r="H233" s="41"/>
      <c r="J233" s="253"/>
      <c r="L233" s="255"/>
      <c r="N233" s="293"/>
      <c r="P233" s="41"/>
    </row>
    <row r="234" spans="2:16" ht="16.5" customHeight="1" x14ac:dyDescent="0.35">
      <c r="B234" s="253"/>
      <c r="D234" s="255"/>
      <c r="F234" s="303"/>
      <c r="H234" s="41"/>
      <c r="J234" s="253"/>
      <c r="L234" s="255"/>
      <c r="N234" s="293"/>
      <c r="P234" s="41"/>
    </row>
    <row r="235" spans="2:16" ht="16.5" customHeight="1" x14ac:dyDescent="0.35">
      <c r="B235" s="253"/>
      <c r="D235" s="255"/>
      <c r="F235" s="303"/>
      <c r="H235" s="41"/>
      <c r="J235" s="253"/>
      <c r="L235" s="255"/>
      <c r="N235" s="293"/>
      <c r="P235" s="41"/>
    </row>
    <row r="236" spans="2:16" ht="16.5" customHeight="1" x14ac:dyDescent="0.35">
      <c r="B236" s="253"/>
      <c r="D236" s="255"/>
      <c r="F236" s="303"/>
      <c r="H236" s="41"/>
      <c r="J236" s="253"/>
      <c r="L236" s="255"/>
      <c r="N236" s="293"/>
      <c r="P236" s="41"/>
    </row>
    <row r="237" spans="2:16" ht="16.5" customHeight="1" x14ac:dyDescent="0.35">
      <c r="B237" s="253"/>
      <c r="D237" s="255"/>
      <c r="F237" s="303"/>
      <c r="H237" s="41"/>
      <c r="J237" s="253"/>
      <c r="L237" s="255"/>
      <c r="N237" s="293"/>
      <c r="P237" s="41"/>
    </row>
    <row r="238" spans="2:16" ht="16.5" customHeight="1" x14ac:dyDescent="0.35">
      <c r="B238" s="253"/>
      <c r="D238" s="255"/>
      <c r="F238" s="303"/>
      <c r="H238" s="41"/>
      <c r="J238" s="253"/>
      <c r="L238" s="255"/>
      <c r="N238" s="293"/>
      <c r="P238" s="41"/>
    </row>
    <row r="239" spans="2:16" ht="16.5" customHeight="1" x14ac:dyDescent="0.35">
      <c r="B239" s="253"/>
      <c r="D239" s="255"/>
      <c r="F239" s="303"/>
      <c r="H239" s="41"/>
      <c r="J239" s="253"/>
      <c r="L239" s="255"/>
      <c r="N239" s="293"/>
      <c r="P239" s="41"/>
    </row>
    <row r="240" spans="2:16" ht="16.5" customHeight="1" x14ac:dyDescent="0.35">
      <c r="B240" s="253"/>
      <c r="D240" s="255"/>
      <c r="F240" s="303"/>
      <c r="H240" s="41"/>
      <c r="J240" s="253"/>
      <c r="L240" s="255"/>
      <c r="N240" s="293"/>
      <c r="P240" s="41"/>
    </row>
    <row r="241" spans="2:16" ht="16.5" customHeight="1" x14ac:dyDescent="0.35">
      <c r="B241" s="253"/>
      <c r="D241" s="255"/>
      <c r="F241" s="303"/>
      <c r="H241" s="41"/>
      <c r="J241" s="253"/>
      <c r="L241" s="255"/>
      <c r="N241" s="293"/>
      <c r="P241" s="41"/>
    </row>
    <row r="242" spans="2:16" ht="16.5" customHeight="1" x14ac:dyDescent="0.35">
      <c r="B242" s="253"/>
      <c r="D242" s="255"/>
      <c r="F242" s="303"/>
      <c r="H242" s="41"/>
      <c r="J242" s="253"/>
      <c r="L242" s="255"/>
      <c r="N242" s="293"/>
      <c r="P242" s="41"/>
    </row>
    <row r="243" spans="2:16" ht="16.5" customHeight="1" x14ac:dyDescent="0.35">
      <c r="B243" s="253"/>
      <c r="D243" s="255"/>
      <c r="F243" s="303"/>
      <c r="H243" s="41"/>
      <c r="J243" s="253"/>
      <c r="L243" s="255"/>
      <c r="N243" s="293"/>
      <c r="P243" s="41"/>
    </row>
    <row r="244" spans="2:16" ht="16.5" customHeight="1" x14ac:dyDescent="0.35">
      <c r="B244" s="253"/>
      <c r="D244" s="255"/>
      <c r="F244" s="303"/>
      <c r="H244" s="41"/>
      <c r="J244" s="253"/>
      <c r="L244" s="255"/>
      <c r="N244" s="293"/>
      <c r="P244" s="41"/>
    </row>
    <row r="245" spans="2:16" ht="16.5" customHeight="1" x14ac:dyDescent="0.35">
      <c r="B245" s="253"/>
      <c r="D245" s="255"/>
      <c r="F245" s="303"/>
      <c r="H245" s="41"/>
      <c r="J245" s="253"/>
      <c r="L245" s="255"/>
      <c r="N245" s="293"/>
      <c r="P245" s="41"/>
    </row>
    <row r="246" spans="2:16" ht="16.5" customHeight="1" x14ac:dyDescent="0.35">
      <c r="B246" s="253"/>
      <c r="D246" s="255"/>
      <c r="F246" s="303"/>
      <c r="H246" s="41"/>
      <c r="J246" s="253"/>
      <c r="L246" s="255"/>
      <c r="N246" s="293"/>
      <c r="P246" s="41"/>
    </row>
    <row r="247" spans="2:16" ht="16.5" customHeight="1" x14ac:dyDescent="0.35">
      <c r="B247" s="253"/>
      <c r="D247" s="255"/>
      <c r="F247" s="303"/>
      <c r="H247" s="41"/>
      <c r="J247" s="253"/>
      <c r="L247" s="255"/>
      <c r="N247" s="293"/>
      <c r="P247" s="41"/>
    </row>
    <row r="248" spans="2:16" ht="16.5" customHeight="1" x14ac:dyDescent="0.35">
      <c r="B248" s="253"/>
      <c r="D248" s="255"/>
      <c r="F248" s="303"/>
      <c r="H248" s="41"/>
      <c r="J248" s="253"/>
      <c r="L248" s="255"/>
      <c r="N248" s="293"/>
      <c r="P248" s="41"/>
    </row>
    <row r="249" spans="2:16" ht="16.5" customHeight="1" x14ac:dyDescent="0.35">
      <c r="B249" s="253"/>
      <c r="D249" s="255"/>
      <c r="F249" s="303"/>
      <c r="H249" s="41"/>
      <c r="J249" s="253"/>
      <c r="L249" s="255"/>
      <c r="N249" s="293"/>
      <c r="P249" s="41"/>
    </row>
    <row r="250" spans="2:16" ht="16.5" customHeight="1" x14ac:dyDescent="0.35">
      <c r="B250" s="253"/>
      <c r="D250" s="255"/>
      <c r="F250" s="303"/>
      <c r="H250" s="41"/>
      <c r="J250" s="253"/>
      <c r="L250" s="255"/>
      <c r="N250" s="293"/>
      <c r="P250" s="41"/>
    </row>
    <row r="251" spans="2:16" ht="16.5" customHeight="1" x14ac:dyDescent="0.35">
      <c r="B251" s="253"/>
      <c r="D251" s="255"/>
      <c r="F251" s="303"/>
      <c r="H251" s="41"/>
      <c r="J251" s="253"/>
      <c r="L251" s="255"/>
      <c r="N251" s="293"/>
      <c r="P251" s="41"/>
    </row>
    <row r="252" spans="2:16" ht="16.5" customHeight="1" x14ac:dyDescent="0.35">
      <c r="B252" s="253"/>
      <c r="D252" s="255"/>
      <c r="F252" s="303"/>
      <c r="H252" s="41"/>
      <c r="J252" s="253"/>
      <c r="L252" s="255"/>
      <c r="N252" s="293"/>
      <c r="P252" s="41"/>
    </row>
    <row r="253" spans="2:16" ht="16.5" customHeight="1" x14ac:dyDescent="0.35">
      <c r="B253" s="253"/>
      <c r="D253" s="255"/>
      <c r="F253" s="303"/>
      <c r="H253" s="41"/>
      <c r="J253" s="253"/>
      <c r="L253" s="255"/>
      <c r="N253" s="293"/>
      <c r="P253" s="41"/>
    </row>
    <row r="254" spans="2:16" ht="16.5" customHeight="1" x14ac:dyDescent="0.35">
      <c r="B254" s="253"/>
      <c r="D254" s="255"/>
      <c r="F254" s="303"/>
      <c r="H254" s="41"/>
      <c r="J254" s="253"/>
      <c r="L254" s="255"/>
      <c r="N254" s="293"/>
      <c r="P254" s="41"/>
    </row>
    <row r="255" spans="2:16" ht="16.5" customHeight="1" x14ac:dyDescent="0.35">
      <c r="B255" s="253"/>
      <c r="D255" s="255"/>
      <c r="F255" s="303"/>
      <c r="H255" s="41"/>
      <c r="J255" s="253"/>
      <c r="L255" s="255"/>
      <c r="N255" s="293"/>
      <c r="P255" s="41"/>
    </row>
    <row r="256" spans="2:16" ht="16.5" customHeight="1" x14ac:dyDescent="0.35">
      <c r="B256" s="253"/>
      <c r="D256" s="255"/>
      <c r="F256" s="303"/>
      <c r="H256" s="41"/>
      <c r="J256" s="253"/>
      <c r="L256" s="255"/>
      <c r="N256" s="293"/>
      <c r="P256" s="41"/>
    </row>
    <row r="257" spans="2:16" ht="16.5" customHeight="1" x14ac:dyDescent="0.35">
      <c r="B257" s="253"/>
      <c r="D257" s="255"/>
      <c r="F257" s="303"/>
      <c r="H257" s="41"/>
      <c r="J257" s="253"/>
      <c r="L257" s="255"/>
      <c r="N257" s="293"/>
      <c r="P257" s="41"/>
    </row>
    <row r="258" spans="2:16" ht="16.5" customHeight="1" x14ac:dyDescent="0.35">
      <c r="B258" s="253"/>
      <c r="D258" s="255"/>
      <c r="F258" s="303"/>
      <c r="H258" s="41"/>
      <c r="J258" s="253"/>
      <c r="L258" s="255"/>
      <c r="N258" s="293"/>
      <c r="P258" s="41"/>
    </row>
    <row r="259" spans="2:16" ht="16.5" customHeight="1" x14ac:dyDescent="0.35">
      <c r="B259" s="253"/>
      <c r="D259" s="255"/>
      <c r="F259" s="303"/>
      <c r="H259" s="41"/>
      <c r="J259" s="253"/>
      <c r="L259" s="255"/>
      <c r="N259" s="293"/>
      <c r="P259" s="41"/>
    </row>
    <row r="260" spans="2:16" ht="16.5" customHeight="1" x14ac:dyDescent="0.35">
      <c r="B260" s="253"/>
      <c r="D260" s="255"/>
      <c r="F260" s="303"/>
      <c r="H260" s="41"/>
      <c r="J260" s="253"/>
      <c r="L260" s="255"/>
      <c r="N260" s="293"/>
      <c r="P260" s="41"/>
    </row>
    <row r="261" spans="2:16" ht="16.5" customHeight="1" x14ac:dyDescent="0.35">
      <c r="B261" s="253"/>
      <c r="D261" s="255"/>
      <c r="F261" s="303"/>
      <c r="H261" s="41"/>
      <c r="J261" s="253"/>
      <c r="L261" s="255"/>
      <c r="N261" s="293"/>
      <c r="P261" s="41"/>
    </row>
    <row r="262" spans="2:16" ht="16.5" customHeight="1" x14ac:dyDescent="0.35">
      <c r="B262" s="253"/>
      <c r="D262" s="255"/>
      <c r="F262" s="303"/>
      <c r="H262" s="41"/>
      <c r="J262" s="253"/>
      <c r="L262" s="255"/>
      <c r="N262" s="293"/>
      <c r="P262" s="41"/>
    </row>
    <row r="263" spans="2:16" ht="16.5" customHeight="1" x14ac:dyDescent="0.35">
      <c r="B263" s="253"/>
      <c r="D263" s="255"/>
      <c r="F263" s="303"/>
      <c r="H263" s="41"/>
      <c r="J263" s="253"/>
      <c r="L263" s="255"/>
      <c r="N263" s="293"/>
      <c r="P263" s="41"/>
    </row>
    <row r="264" spans="2:16" ht="16.5" customHeight="1" x14ac:dyDescent="0.35">
      <c r="B264" s="253"/>
      <c r="D264" s="255"/>
      <c r="F264" s="303"/>
      <c r="H264" s="41"/>
      <c r="J264" s="253"/>
      <c r="L264" s="255"/>
      <c r="N264" s="293"/>
      <c r="P264" s="41"/>
    </row>
    <row r="265" spans="2:16" ht="16.5" customHeight="1" x14ac:dyDescent="0.35">
      <c r="B265" s="253"/>
      <c r="D265" s="255"/>
      <c r="F265" s="303"/>
      <c r="H265" s="41"/>
      <c r="J265" s="253"/>
      <c r="L265" s="255"/>
      <c r="N265" s="293"/>
      <c r="P265" s="41"/>
    </row>
    <row r="266" spans="2:16" ht="16.5" customHeight="1" x14ac:dyDescent="0.35">
      <c r="B266" s="253"/>
      <c r="D266" s="255"/>
      <c r="F266" s="303"/>
      <c r="H266" s="41"/>
      <c r="J266" s="253"/>
      <c r="L266" s="255"/>
      <c r="N266" s="293"/>
      <c r="P266" s="41"/>
    </row>
    <row r="267" spans="2:16" ht="16.5" customHeight="1" x14ac:dyDescent="0.35">
      <c r="B267" s="253"/>
      <c r="D267" s="255"/>
      <c r="F267" s="303"/>
      <c r="H267" s="41"/>
      <c r="J267" s="253"/>
      <c r="L267" s="255"/>
      <c r="N267" s="293"/>
      <c r="P267" s="41"/>
    </row>
    <row r="268" spans="2:16" ht="16.5" customHeight="1" x14ac:dyDescent="0.35">
      <c r="B268" s="253"/>
      <c r="D268" s="255"/>
      <c r="F268" s="303"/>
      <c r="H268" s="41"/>
      <c r="J268" s="253"/>
      <c r="L268" s="255"/>
      <c r="N268" s="293"/>
      <c r="P268" s="41"/>
    </row>
    <row r="269" spans="2:16" ht="16.5" customHeight="1" x14ac:dyDescent="0.35">
      <c r="B269" s="253"/>
      <c r="D269" s="255"/>
      <c r="F269" s="303"/>
      <c r="H269" s="41"/>
      <c r="J269" s="253"/>
      <c r="L269" s="255"/>
      <c r="N269" s="293"/>
      <c r="P269" s="41"/>
    </row>
    <row r="270" spans="2:16" ht="16.5" customHeight="1" x14ac:dyDescent="0.35">
      <c r="B270" s="253"/>
      <c r="D270" s="255"/>
      <c r="F270" s="303"/>
      <c r="H270" s="41"/>
      <c r="J270" s="253"/>
      <c r="L270" s="255"/>
      <c r="N270" s="293"/>
      <c r="P270" s="41"/>
    </row>
    <row r="271" spans="2:16" ht="16.5" customHeight="1" x14ac:dyDescent="0.35">
      <c r="B271" s="253"/>
      <c r="D271" s="255"/>
      <c r="F271" s="303"/>
      <c r="H271" s="41"/>
      <c r="J271" s="253"/>
      <c r="L271" s="255"/>
      <c r="N271" s="293"/>
      <c r="P271" s="41"/>
    </row>
    <row r="272" spans="2:16" ht="16.5" customHeight="1" x14ac:dyDescent="0.35">
      <c r="B272" s="253"/>
      <c r="D272" s="255"/>
      <c r="F272" s="303"/>
      <c r="H272" s="41"/>
      <c r="J272" s="253"/>
      <c r="L272" s="255"/>
      <c r="N272" s="293"/>
      <c r="P272" s="41"/>
    </row>
    <row r="273" spans="2:16" ht="16.5" customHeight="1" x14ac:dyDescent="0.35">
      <c r="B273" s="253"/>
      <c r="D273" s="255"/>
      <c r="F273" s="303"/>
      <c r="H273" s="41"/>
      <c r="J273" s="253"/>
      <c r="L273" s="255"/>
      <c r="N273" s="293"/>
      <c r="P273" s="41"/>
    </row>
    <row r="274" spans="2:16" ht="16.5" customHeight="1" x14ac:dyDescent="0.35">
      <c r="B274" s="253"/>
      <c r="D274" s="255"/>
      <c r="F274" s="303"/>
      <c r="H274" s="41"/>
      <c r="J274" s="253"/>
      <c r="L274" s="255"/>
      <c r="N274" s="293"/>
      <c r="P274" s="41"/>
    </row>
    <row r="275" spans="2:16" ht="16.5" customHeight="1" x14ac:dyDescent="0.35">
      <c r="B275" s="253"/>
      <c r="D275" s="255"/>
      <c r="F275" s="303"/>
      <c r="H275" s="41"/>
      <c r="J275" s="253"/>
      <c r="L275" s="255"/>
      <c r="N275" s="293"/>
      <c r="P275" s="41"/>
    </row>
    <row r="276" spans="2:16" ht="16.5" customHeight="1" x14ac:dyDescent="0.35">
      <c r="B276" s="253"/>
      <c r="D276" s="255"/>
      <c r="F276" s="303"/>
      <c r="H276" s="41"/>
      <c r="J276" s="253"/>
      <c r="L276" s="255"/>
      <c r="N276" s="293"/>
      <c r="P276" s="41"/>
    </row>
    <row r="277" spans="2:16" ht="16.5" customHeight="1" x14ac:dyDescent="0.35">
      <c r="B277" s="253"/>
      <c r="D277" s="255"/>
      <c r="F277" s="303"/>
      <c r="H277" s="41"/>
      <c r="J277" s="253"/>
      <c r="L277" s="255"/>
      <c r="N277" s="293"/>
      <c r="P277" s="41"/>
    </row>
    <row r="278" spans="2:16" ht="16.5" customHeight="1" x14ac:dyDescent="0.35">
      <c r="B278" s="253"/>
      <c r="D278" s="255"/>
      <c r="F278" s="303"/>
      <c r="H278" s="41"/>
      <c r="J278" s="253"/>
      <c r="L278" s="255"/>
      <c r="N278" s="293"/>
      <c r="P278" s="41"/>
    </row>
    <row r="279" spans="2:16" ht="16.5" customHeight="1" x14ac:dyDescent="0.35">
      <c r="B279" s="253"/>
      <c r="D279" s="255"/>
      <c r="F279" s="303"/>
      <c r="H279" s="41"/>
      <c r="J279" s="253"/>
      <c r="L279" s="255"/>
      <c r="N279" s="293"/>
      <c r="P279" s="41"/>
    </row>
    <row r="280" spans="2:16" ht="16.5" customHeight="1" x14ac:dyDescent="0.35">
      <c r="B280" s="253"/>
      <c r="D280" s="255"/>
      <c r="F280" s="303"/>
      <c r="H280" s="41"/>
      <c r="J280" s="253"/>
      <c r="L280" s="255"/>
      <c r="N280" s="293"/>
      <c r="P280" s="41"/>
    </row>
    <row r="281" spans="2:16" ht="16.5" customHeight="1" x14ac:dyDescent="0.35">
      <c r="B281" s="253"/>
      <c r="D281" s="255"/>
      <c r="F281" s="303"/>
      <c r="H281" s="41"/>
      <c r="J281" s="253"/>
      <c r="L281" s="255"/>
      <c r="N281" s="293"/>
      <c r="P281" s="41"/>
    </row>
    <row r="282" spans="2:16" ht="16.5" customHeight="1" x14ac:dyDescent="0.35">
      <c r="B282" s="253"/>
      <c r="D282" s="255"/>
      <c r="F282" s="303"/>
      <c r="H282" s="41"/>
      <c r="J282" s="253"/>
      <c r="L282" s="255"/>
      <c r="N282" s="293"/>
      <c r="P282" s="41"/>
    </row>
    <row r="283" spans="2:16" ht="16.5" customHeight="1" x14ac:dyDescent="0.35">
      <c r="B283" s="253"/>
      <c r="D283" s="255"/>
      <c r="F283" s="303"/>
      <c r="H283" s="41"/>
      <c r="J283" s="253"/>
      <c r="L283" s="255"/>
      <c r="N283" s="293"/>
      <c r="P283" s="41"/>
    </row>
    <row r="284" spans="2:16" ht="16.5" customHeight="1" x14ac:dyDescent="0.35">
      <c r="B284" s="253"/>
      <c r="D284" s="255"/>
      <c r="F284" s="303"/>
      <c r="H284" s="41"/>
      <c r="J284" s="253"/>
      <c r="L284" s="255"/>
      <c r="N284" s="293"/>
      <c r="P284" s="41"/>
    </row>
    <row r="285" spans="2:16" ht="16.5" customHeight="1" x14ac:dyDescent="0.35">
      <c r="B285" s="253"/>
      <c r="D285" s="255"/>
      <c r="F285" s="303"/>
      <c r="H285" s="41"/>
      <c r="J285" s="253"/>
      <c r="L285" s="255"/>
      <c r="N285" s="293"/>
      <c r="P285" s="41"/>
    </row>
    <row r="286" spans="2:16" ht="16.5" customHeight="1" x14ac:dyDescent="0.35">
      <c r="B286" s="253"/>
      <c r="D286" s="255"/>
      <c r="F286" s="303"/>
      <c r="H286" s="41"/>
      <c r="J286" s="253"/>
      <c r="L286" s="255"/>
      <c r="N286" s="293"/>
      <c r="P286" s="41"/>
    </row>
    <row r="287" spans="2:16" ht="16.5" customHeight="1" x14ac:dyDescent="0.35">
      <c r="B287" s="253"/>
      <c r="D287" s="255"/>
      <c r="F287" s="303"/>
      <c r="H287" s="41"/>
      <c r="J287" s="253"/>
      <c r="L287" s="255"/>
      <c r="N287" s="293"/>
      <c r="P287" s="41"/>
    </row>
    <row r="288" spans="2:16" ht="16.5" customHeight="1" x14ac:dyDescent="0.35">
      <c r="B288" s="253"/>
      <c r="D288" s="255"/>
      <c r="F288" s="303"/>
      <c r="H288" s="41"/>
      <c r="J288" s="253"/>
      <c r="L288" s="255"/>
      <c r="N288" s="293"/>
      <c r="P288" s="41"/>
    </row>
    <row r="289" spans="2:16" ht="16.5" customHeight="1" x14ac:dyDescent="0.35">
      <c r="B289" s="253"/>
      <c r="D289" s="255"/>
      <c r="F289" s="303"/>
      <c r="H289" s="41"/>
      <c r="J289" s="253"/>
      <c r="L289" s="255"/>
      <c r="N289" s="293"/>
      <c r="P289" s="41"/>
    </row>
    <row r="290" spans="2:16" ht="16.5" customHeight="1" x14ac:dyDescent="0.35">
      <c r="B290" s="253"/>
      <c r="D290" s="255"/>
      <c r="F290" s="303"/>
      <c r="H290" s="41"/>
      <c r="J290" s="253"/>
      <c r="L290" s="255"/>
      <c r="N290" s="293"/>
      <c r="P290" s="41"/>
    </row>
    <row r="291" spans="2:16" ht="16.5" customHeight="1" x14ac:dyDescent="0.35">
      <c r="B291" s="253"/>
      <c r="D291" s="255"/>
      <c r="F291" s="303"/>
      <c r="H291" s="41"/>
      <c r="J291" s="253"/>
      <c r="L291" s="255"/>
      <c r="N291" s="293"/>
      <c r="P291" s="41"/>
    </row>
    <row r="292" spans="2:16" ht="16.5" customHeight="1" x14ac:dyDescent="0.35">
      <c r="B292" s="253"/>
      <c r="D292" s="255"/>
      <c r="F292" s="303"/>
      <c r="H292" s="41"/>
      <c r="J292" s="253"/>
      <c r="L292" s="255"/>
      <c r="N292" s="293"/>
      <c r="P292" s="41"/>
    </row>
    <row r="293" spans="2:16" ht="16.5" customHeight="1" x14ac:dyDescent="0.35">
      <c r="B293" s="253"/>
      <c r="D293" s="255"/>
      <c r="F293" s="303"/>
      <c r="H293" s="41"/>
      <c r="J293" s="253"/>
      <c r="L293" s="255"/>
      <c r="N293" s="293"/>
      <c r="P293" s="41"/>
    </row>
    <row r="294" spans="2:16" ht="16.5" customHeight="1" x14ac:dyDescent="0.35">
      <c r="B294" s="253"/>
      <c r="D294" s="255"/>
      <c r="F294" s="303"/>
      <c r="H294" s="41"/>
      <c r="J294" s="253"/>
      <c r="L294" s="255"/>
      <c r="N294" s="293"/>
      <c r="P294" s="41"/>
    </row>
    <row r="295" spans="2:16" ht="16.5" customHeight="1" x14ac:dyDescent="0.35">
      <c r="B295" s="253"/>
      <c r="D295" s="255"/>
      <c r="F295" s="303"/>
      <c r="H295" s="41"/>
      <c r="J295" s="253"/>
      <c r="L295" s="255"/>
      <c r="N295" s="293"/>
      <c r="P295" s="41"/>
    </row>
    <row r="296" spans="2:16" ht="16.5" customHeight="1" x14ac:dyDescent="0.35">
      <c r="B296" s="253"/>
      <c r="D296" s="255"/>
      <c r="F296" s="303"/>
      <c r="H296" s="41"/>
      <c r="J296" s="253"/>
      <c r="L296" s="255"/>
      <c r="N296" s="293"/>
      <c r="P296" s="41"/>
    </row>
    <row r="297" spans="2:16" ht="16.5" customHeight="1" x14ac:dyDescent="0.35">
      <c r="B297" s="253"/>
      <c r="D297" s="255"/>
      <c r="F297" s="303"/>
      <c r="H297" s="41"/>
      <c r="J297" s="253"/>
      <c r="L297" s="255"/>
      <c r="N297" s="293"/>
      <c r="P297" s="41"/>
    </row>
    <row r="298" spans="2:16" ht="16.5" customHeight="1" x14ac:dyDescent="0.35">
      <c r="B298" s="253"/>
      <c r="D298" s="255"/>
      <c r="F298" s="303"/>
      <c r="H298" s="41"/>
      <c r="J298" s="253"/>
      <c r="L298" s="255"/>
      <c r="N298" s="293"/>
      <c r="P298" s="41"/>
    </row>
    <row r="299" spans="2:16" ht="16.5" customHeight="1" x14ac:dyDescent="0.35">
      <c r="B299" s="253"/>
      <c r="D299" s="255"/>
      <c r="F299" s="303"/>
      <c r="H299" s="41"/>
      <c r="J299" s="253"/>
      <c r="L299" s="255"/>
      <c r="N299" s="293"/>
      <c r="P299" s="41"/>
    </row>
    <row r="300" spans="2:16" ht="16.5" customHeight="1" x14ac:dyDescent="0.35">
      <c r="B300" s="253"/>
      <c r="D300" s="255"/>
      <c r="F300" s="303"/>
      <c r="H300" s="41"/>
      <c r="J300" s="253"/>
      <c r="L300" s="255"/>
      <c r="N300" s="293"/>
      <c r="P300" s="41"/>
    </row>
    <row r="301" spans="2:16" ht="16.5" customHeight="1" x14ac:dyDescent="0.35">
      <c r="B301" s="253"/>
      <c r="D301" s="255"/>
      <c r="F301" s="303"/>
      <c r="H301" s="41"/>
      <c r="J301" s="253"/>
      <c r="L301" s="255"/>
      <c r="N301" s="293"/>
      <c r="P301" s="41"/>
    </row>
    <row r="302" spans="2:16" ht="16.5" customHeight="1" x14ac:dyDescent="0.35">
      <c r="B302" s="253"/>
      <c r="D302" s="255"/>
      <c r="F302" s="303"/>
      <c r="H302" s="41"/>
      <c r="J302" s="253"/>
      <c r="L302" s="255"/>
      <c r="N302" s="293"/>
      <c r="P302" s="41"/>
    </row>
    <row r="303" spans="2:16" ht="16.5" customHeight="1" x14ac:dyDescent="0.35">
      <c r="B303" s="253"/>
      <c r="D303" s="255"/>
      <c r="F303" s="303"/>
      <c r="H303" s="41"/>
      <c r="J303" s="253"/>
      <c r="L303" s="255"/>
      <c r="N303" s="293"/>
      <c r="P303" s="41"/>
    </row>
    <row r="304" spans="2:16" ht="16.5" customHeight="1" x14ac:dyDescent="0.35">
      <c r="B304" s="253"/>
      <c r="D304" s="255"/>
      <c r="F304" s="303"/>
      <c r="H304" s="41"/>
      <c r="J304" s="253"/>
      <c r="L304" s="255"/>
      <c r="N304" s="293"/>
      <c r="P304" s="41"/>
    </row>
    <row r="305" spans="2:16" ht="16.5" customHeight="1" x14ac:dyDescent="0.35">
      <c r="B305" s="253"/>
      <c r="D305" s="255"/>
      <c r="F305" s="303"/>
      <c r="H305" s="41"/>
      <c r="J305" s="253"/>
      <c r="L305" s="255"/>
      <c r="N305" s="293"/>
      <c r="P305" s="41"/>
    </row>
    <row r="306" spans="2:16" ht="16.5" customHeight="1" x14ac:dyDescent="0.35">
      <c r="B306" s="253"/>
      <c r="D306" s="255"/>
      <c r="F306" s="303"/>
      <c r="H306" s="41"/>
      <c r="J306" s="253"/>
      <c r="L306" s="255"/>
      <c r="N306" s="293"/>
      <c r="P306" s="41"/>
    </row>
    <row r="307" spans="2:16" ht="16.5" customHeight="1" x14ac:dyDescent="0.35">
      <c r="B307" s="253"/>
      <c r="D307" s="255"/>
      <c r="F307" s="303"/>
      <c r="H307" s="41"/>
      <c r="J307" s="253"/>
      <c r="L307" s="255"/>
      <c r="N307" s="293"/>
      <c r="P307" s="41"/>
    </row>
    <row r="308" spans="2:16" ht="16.5" customHeight="1" x14ac:dyDescent="0.35">
      <c r="B308" s="253"/>
      <c r="D308" s="255"/>
      <c r="F308" s="303"/>
      <c r="H308" s="41"/>
      <c r="J308" s="253"/>
      <c r="L308" s="255"/>
      <c r="N308" s="293"/>
      <c r="P308" s="41"/>
    </row>
    <row r="309" spans="2:16" ht="16.5" customHeight="1" x14ac:dyDescent="0.35">
      <c r="B309" s="253"/>
      <c r="D309" s="255"/>
      <c r="F309" s="303"/>
      <c r="H309" s="41"/>
      <c r="J309" s="253"/>
      <c r="L309" s="255"/>
      <c r="N309" s="293"/>
      <c r="P309" s="41"/>
    </row>
    <row r="310" spans="2:16" ht="16.5" customHeight="1" x14ac:dyDescent="0.35">
      <c r="B310" s="253"/>
      <c r="D310" s="255"/>
      <c r="F310" s="303"/>
      <c r="H310" s="41"/>
      <c r="J310" s="253"/>
      <c r="L310" s="255"/>
      <c r="N310" s="293"/>
      <c r="P310" s="41"/>
    </row>
    <row r="311" spans="2:16" ht="16.5" customHeight="1" x14ac:dyDescent="0.35">
      <c r="B311" s="253"/>
      <c r="D311" s="255"/>
      <c r="F311" s="303"/>
      <c r="H311" s="41"/>
      <c r="J311" s="253"/>
      <c r="L311" s="255"/>
      <c r="N311" s="293"/>
      <c r="P311" s="41"/>
    </row>
    <row r="312" spans="2:16" ht="16.5" customHeight="1" x14ac:dyDescent="0.35">
      <c r="B312" s="253"/>
      <c r="D312" s="255"/>
      <c r="F312" s="303"/>
      <c r="H312" s="41"/>
      <c r="J312" s="253"/>
      <c r="L312" s="255"/>
      <c r="N312" s="293"/>
      <c r="P312" s="41"/>
    </row>
    <row r="313" spans="2:16" ht="16.5" customHeight="1" x14ac:dyDescent="0.35">
      <c r="B313" s="253"/>
      <c r="D313" s="255"/>
      <c r="F313" s="303"/>
      <c r="H313" s="41"/>
      <c r="J313" s="253"/>
      <c r="L313" s="255"/>
      <c r="N313" s="293"/>
      <c r="P313" s="41"/>
    </row>
    <row r="314" spans="2:16" ht="16.5" customHeight="1" x14ac:dyDescent="0.35">
      <c r="B314" s="253"/>
      <c r="D314" s="255"/>
      <c r="F314" s="303"/>
      <c r="H314" s="41"/>
      <c r="J314" s="253"/>
      <c r="L314" s="255"/>
      <c r="N314" s="293"/>
      <c r="P314" s="41"/>
    </row>
    <row r="315" spans="2:16" ht="16.5" customHeight="1" x14ac:dyDescent="0.35">
      <c r="B315" s="253"/>
      <c r="D315" s="255"/>
      <c r="F315" s="303"/>
      <c r="H315" s="41"/>
      <c r="J315" s="253"/>
      <c r="L315" s="255"/>
      <c r="N315" s="293"/>
      <c r="P315" s="41"/>
    </row>
    <row r="316" spans="2:16" ht="16.5" customHeight="1" x14ac:dyDescent="0.35">
      <c r="B316" s="253"/>
      <c r="D316" s="255"/>
      <c r="F316" s="303"/>
      <c r="H316" s="41"/>
      <c r="J316" s="253"/>
      <c r="L316" s="255"/>
      <c r="N316" s="293"/>
      <c r="P316" s="41"/>
    </row>
    <row r="317" spans="2:16" ht="16.5" customHeight="1" x14ac:dyDescent="0.35">
      <c r="B317" s="253"/>
      <c r="D317" s="255"/>
      <c r="F317" s="303"/>
      <c r="H317" s="41"/>
      <c r="J317" s="253"/>
      <c r="L317" s="255"/>
      <c r="N317" s="293"/>
      <c r="P317" s="41"/>
    </row>
    <row r="318" spans="2:16" ht="16.5" customHeight="1" x14ac:dyDescent="0.35">
      <c r="B318" s="253"/>
      <c r="D318" s="255"/>
      <c r="F318" s="303"/>
      <c r="H318" s="41"/>
      <c r="J318" s="253"/>
      <c r="L318" s="255"/>
      <c r="N318" s="293"/>
      <c r="P318" s="41"/>
    </row>
    <row r="319" spans="2:16" ht="16.5" customHeight="1" x14ac:dyDescent="0.35">
      <c r="B319" s="253"/>
      <c r="D319" s="255"/>
      <c r="F319" s="303"/>
      <c r="H319" s="41"/>
      <c r="J319" s="253"/>
      <c r="L319" s="255"/>
      <c r="N319" s="293"/>
      <c r="P319" s="41"/>
    </row>
    <row r="320" spans="2:16" ht="16.5" customHeight="1" x14ac:dyDescent="0.35">
      <c r="B320" s="253"/>
      <c r="D320" s="255"/>
      <c r="F320" s="303"/>
      <c r="H320" s="41"/>
      <c r="J320" s="253"/>
      <c r="L320" s="255"/>
      <c r="N320" s="293"/>
      <c r="P320" s="41"/>
    </row>
    <row r="321" spans="2:16" ht="16.5" customHeight="1" x14ac:dyDescent="0.35">
      <c r="B321" s="253"/>
      <c r="D321" s="255"/>
      <c r="F321" s="303"/>
      <c r="H321" s="41"/>
      <c r="J321" s="253"/>
      <c r="L321" s="255"/>
      <c r="N321" s="293"/>
      <c r="P321" s="41"/>
    </row>
    <row r="322" spans="2:16" ht="16.5" customHeight="1" x14ac:dyDescent="0.35">
      <c r="B322" s="253"/>
      <c r="D322" s="255"/>
      <c r="F322" s="303"/>
      <c r="H322" s="41"/>
      <c r="J322" s="253"/>
      <c r="L322" s="255"/>
      <c r="N322" s="293"/>
      <c r="P322" s="41"/>
    </row>
    <row r="323" spans="2:16" ht="16.5" customHeight="1" x14ac:dyDescent="0.35">
      <c r="B323" s="253"/>
      <c r="D323" s="255"/>
      <c r="F323" s="303"/>
      <c r="H323" s="41"/>
      <c r="J323" s="253"/>
      <c r="L323" s="255"/>
      <c r="N323" s="293"/>
      <c r="P323" s="41"/>
    </row>
    <row r="324" spans="2:16" ht="16.5" customHeight="1" x14ac:dyDescent="0.35">
      <c r="B324" s="253"/>
      <c r="D324" s="255"/>
      <c r="F324" s="303"/>
      <c r="H324" s="41"/>
      <c r="J324" s="253"/>
      <c r="L324" s="255"/>
      <c r="N324" s="293"/>
      <c r="P324" s="41"/>
    </row>
    <row r="325" spans="2:16" ht="16.5" customHeight="1" x14ac:dyDescent="0.35">
      <c r="B325" s="253"/>
      <c r="D325" s="255"/>
      <c r="F325" s="303"/>
      <c r="H325" s="41"/>
      <c r="J325" s="253"/>
      <c r="L325" s="255"/>
      <c r="N325" s="293"/>
      <c r="P325" s="41"/>
    </row>
    <row r="326" spans="2:16" ht="16.5" customHeight="1" x14ac:dyDescent="0.35">
      <c r="B326" s="253"/>
      <c r="D326" s="255"/>
      <c r="F326" s="303"/>
      <c r="H326" s="41"/>
      <c r="J326" s="253"/>
      <c r="L326" s="255"/>
      <c r="N326" s="293"/>
      <c r="P326" s="41"/>
    </row>
    <row r="327" spans="2:16" ht="16.5" customHeight="1" x14ac:dyDescent="0.35">
      <c r="B327" s="253"/>
      <c r="D327" s="255"/>
      <c r="F327" s="303"/>
      <c r="H327" s="41"/>
      <c r="J327" s="253"/>
      <c r="L327" s="255"/>
      <c r="N327" s="293"/>
      <c r="P327" s="41"/>
    </row>
    <row r="328" spans="2:16" ht="16.5" customHeight="1" x14ac:dyDescent="0.35">
      <c r="B328" s="253"/>
      <c r="D328" s="255"/>
      <c r="F328" s="303"/>
      <c r="H328" s="41"/>
      <c r="J328" s="253"/>
      <c r="L328" s="255"/>
      <c r="N328" s="293"/>
      <c r="P328" s="41"/>
    </row>
    <row r="329" spans="2:16" ht="16.5" customHeight="1" x14ac:dyDescent="0.35">
      <c r="B329" s="253"/>
      <c r="D329" s="255"/>
      <c r="F329" s="303"/>
      <c r="H329" s="41"/>
      <c r="J329" s="253"/>
      <c r="L329" s="255"/>
      <c r="N329" s="293"/>
      <c r="P329" s="41"/>
    </row>
    <row r="330" spans="2:16" ht="16.5" customHeight="1" x14ac:dyDescent="0.35">
      <c r="B330" s="253"/>
      <c r="D330" s="255"/>
      <c r="F330" s="303"/>
      <c r="H330" s="41"/>
      <c r="J330" s="253"/>
      <c r="L330" s="255"/>
      <c r="N330" s="293"/>
      <c r="P330" s="41"/>
    </row>
    <row r="331" spans="2:16" ht="16.5" customHeight="1" x14ac:dyDescent="0.35">
      <c r="B331" s="253"/>
      <c r="D331" s="255"/>
      <c r="F331" s="303"/>
      <c r="H331" s="41"/>
      <c r="J331" s="253"/>
      <c r="L331" s="255"/>
      <c r="N331" s="293"/>
      <c r="P331" s="41"/>
    </row>
    <row r="332" spans="2:16" ht="16.5" customHeight="1" x14ac:dyDescent="0.35">
      <c r="B332" s="253"/>
      <c r="D332" s="255"/>
      <c r="F332" s="303"/>
      <c r="H332" s="41"/>
      <c r="J332" s="253"/>
      <c r="L332" s="255"/>
      <c r="N332" s="293"/>
      <c r="P332" s="41"/>
    </row>
    <row r="333" spans="2:16" ht="16.5" customHeight="1" x14ac:dyDescent="0.35">
      <c r="B333" s="253"/>
      <c r="D333" s="255"/>
      <c r="F333" s="303"/>
      <c r="H333" s="41"/>
      <c r="J333" s="253"/>
      <c r="L333" s="255"/>
      <c r="N333" s="293"/>
      <c r="P333" s="41"/>
    </row>
    <row r="334" spans="2:16" ht="16.5" customHeight="1" x14ac:dyDescent="0.35">
      <c r="B334" s="253"/>
      <c r="D334" s="255"/>
      <c r="F334" s="303"/>
      <c r="H334" s="41"/>
      <c r="J334" s="253"/>
      <c r="L334" s="255"/>
      <c r="N334" s="293"/>
      <c r="P334" s="41"/>
    </row>
    <row r="335" spans="2:16" ht="16.5" customHeight="1" x14ac:dyDescent="0.35">
      <c r="B335" s="253"/>
      <c r="D335" s="255"/>
      <c r="F335" s="303"/>
      <c r="H335" s="41"/>
      <c r="J335" s="253"/>
      <c r="L335" s="255"/>
      <c r="N335" s="293"/>
      <c r="P335" s="41"/>
    </row>
    <row r="336" spans="2:16" ht="16.5" customHeight="1" x14ac:dyDescent="0.35">
      <c r="B336" s="253"/>
      <c r="D336" s="255"/>
      <c r="F336" s="303"/>
      <c r="H336" s="41"/>
      <c r="J336" s="253"/>
      <c r="L336" s="255"/>
      <c r="N336" s="293"/>
      <c r="P336" s="41"/>
    </row>
    <row r="337" spans="2:16" ht="16.5" customHeight="1" x14ac:dyDescent="0.35">
      <c r="B337" s="253"/>
      <c r="D337" s="255"/>
      <c r="F337" s="303"/>
      <c r="H337" s="41"/>
      <c r="J337" s="253"/>
      <c r="L337" s="255"/>
      <c r="N337" s="293"/>
      <c r="P337" s="41"/>
    </row>
    <row r="338" spans="2:16" ht="16.5" customHeight="1" x14ac:dyDescent="0.35">
      <c r="B338" s="253"/>
      <c r="D338" s="255"/>
      <c r="F338" s="303"/>
      <c r="H338" s="41"/>
      <c r="J338" s="253"/>
      <c r="L338" s="255"/>
      <c r="N338" s="293"/>
      <c r="P338" s="41"/>
    </row>
    <row r="339" spans="2:16" ht="16.5" customHeight="1" x14ac:dyDescent="0.35">
      <c r="B339" s="253"/>
      <c r="D339" s="255"/>
      <c r="F339" s="303"/>
      <c r="H339" s="41"/>
      <c r="J339" s="253"/>
      <c r="L339" s="255"/>
      <c r="N339" s="293"/>
      <c r="P339" s="41"/>
    </row>
    <row r="340" spans="2:16" ht="16.5" customHeight="1" x14ac:dyDescent="0.35">
      <c r="B340" s="253"/>
      <c r="D340" s="255"/>
      <c r="F340" s="303"/>
      <c r="H340" s="41"/>
      <c r="J340" s="253"/>
      <c r="L340" s="255"/>
      <c r="N340" s="293"/>
      <c r="P340" s="41"/>
    </row>
    <row r="341" spans="2:16" ht="16.5" customHeight="1" x14ac:dyDescent="0.35">
      <c r="B341" s="253"/>
      <c r="D341" s="255"/>
      <c r="F341" s="303"/>
      <c r="H341" s="41"/>
      <c r="J341" s="253"/>
      <c r="L341" s="255"/>
      <c r="N341" s="293"/>
      <c r="P341" s="41"/>
    </row>
    <row r="342" spans="2:16" ht="16.5" customHeight="1" x14ac:dyDescent="0.35">
      <c r="B342" s="253"/>
      <c r="D342" s="255"/>
      <c r="F342" s="303"/>
      <c r="H342" s="41"/>
      <c r="J342" s="253"/>
      <c r="L342" s="255"/>
      <c r="N342" s="293"/>
      <c r="P342" s="41"/>
    </row>
    <row r="343" spans="2:16" ht="16.5" customHeight="1" x14ac:dyDescent="0.35">
      <c r="B343" s="253"/>
      <c r="D343" s="255"/>
      <c r="F343" s="303"/>
      <c r="H343" s="41"/>
      <c r="J343" s="253"/>
      <c r="L343" s="255"/>
      <c r="N343" s="293"/>
      <c r="P343" s="41"/>
    </row>
    <row r="344" spans="2:16" ht="16.5" customHeight="1" x14ac:dyDescent="0.35">
      <c r="B344" s="253"/>
      <c r="D344" s="255"/>
      <c r="F344" s="303"/>
      <c r="H344" s="41"/>
      <c r="J344" s="253"/>
      <c r="L344" s="255"/>
      <c r="N344" s="293"/>
      <c r="P344" s="41"/>
    </row>
    <row r="345" spans="2:16" ht="16.5" customHeight="1" x14ac:dyDescent="0.35">
      <c r="B345" s="253"/>
      <c r="D345" s="255"/>
      <c r="F345" s="303"/>
      <c r="H345" s="41"/>
      <c r="J345" s="253"/>
      <c r="L345" s="255"/>
      <c r="N345" s="293"/>
      <c r="P345" s="41"/>
    </row>
    <row r="346" spans="2:16" ht="16.5" customHeight="1" x14ac:dyDescent="0.35">
      <c r="B346" s="253"/>
      <c r="D346" s="255"/>
      <c r="F346" s="303"/>
      <c r="H346" s="41"/>
      <c r="J346" s="253"/>
      <c r="L346" s="255"/>
      <c r="N346" s="293"/>
      <c r="P346" s="41"/>
    </row>
    <row r="347" spans="2:16" ht="16.5" customHeight="1" x14ac:dyDescent="0.35">
      <c r="B347" s="253"/>
      <c r="D347" s="255"/>
      <c r="F347" s="303"/>
      <c r="H347" s="41"/>
      <c r="J347" s="253"/>
      <c r="L347" s="255"/>
      <c r="N347" s="293"/>
      <c r="P347" s="41"/>
    </row>
    <row r="348" spans="2:16" ht="16.5" customHeight="1" x14ac:dyDescent="0.35">
      <c r="B348" s="253"/>
      <c r="D348" s="255"/>
      <c r="F348" s="303"/>
      <c r="H348" s="41"/>
      <c r="J348" s="253"/>
      <c r="L348" s="255"/>
      <c r="N348" s="293"/>
      <c r="P348" s="41"/>
    </row>
    <row r="349" spans="2:16" ht="16.5" customHeight="1" x14ac:dyDescent="0.35">
      <c r="B349" s="253"/>
      <c r="D349" s="255"/>
      <c r="F349" s="303"/>
      <c r="H349" s="41"/>
      <c r="J349" s="253"/>
      <c r="L349" s="255"/>
      <c r="N349" s="293"/>
      <c r="P349" s="41"/>
    </row>
    <row r="350" spans="2:16" ht="16.5" customHeight="1" x14ac:dyDescent="0.35">
      <c r="B350" s="253"/>
      <c r="D350" s="255"/>
      <c r="F350" s="303"/>
      <c r="H350" s="41"/>
      <c r="J350" s="253"/>
      <c r="L350" s="255"/>
      <c r="N350" s="293"/>
      <c r="P350" s="41"/>
    </row>
    <row r="351" spans="2:16" ht="16.5" customHeight="1" x14ac:dyDescent="0.35">
      <c r="B351" s="253"/>
      <c r="D351" s="255"/>
      <c r="F351" s="303"/>
      <c r="H351" s="41"/>
      <c r="J351" s="253"/>
      <c r="L351" s="255"/>
      <c r="N351" s="293"/>
      <c r="P351" s="41"/>
    </row>
    <row r="352" spans="2:16" ht="16.5" customHeight="1" x14ac:dyDescent="0.35">
      <c r="B352" s="253"/>
      <c r="D352" s="255"/>
      <c r="F352" s="303"/>
      <c r="H352" s="41"/>
      <c r="J352" s="253"/>
      <c r="L352" s="255"/>
      <c r="N352" s="293"/>
      <c r="P352" s="41"/>
    </row>
    <row r="353" spans="2:16" ht="16.5" customHeight="1" x14ac:dyDescent="0.35">
      <c r="B353" s="253"/>
      <c r="D353" s="255"/>
      <c r="F353" s="303"/>
      <c r="H353" s="41"/>
      <c r="J353" s="253"/>
      <c r="L353" s="255"/>
      <c r="N353" s="293"/>
      <c r="P353" s="41"/>
    </row>
    <row r="354" spans="2:16" ht="16.5" customHeight="1" x14ac:dyDescent="0.35">
      <c r="B354" s="253"/>
      <c r="D354" s="255"/>
      <c r="F354" s="303"/>
      <c r="H354" s="41"/>
      <c r="J354" s="253"/>
      <c r="L354" s="255"/>
      <c r="N354" s="293"/>
      <c r="P354" s="41"/>
    </row>
    <row r="355" spans="2:16" ht="16.5" customHeight="1" x14ac:dyDescent="0.35">
      <c r="B355" s="253"/>
      <c r="D355" s="255"/>
      <c r="F355" s="303"/>
      <c r="H355" s="41"/>
      <c r="J355" s="253"/>
      <c r="L355" s="255"/>
      <c r="N355" s="293"/>
      <c r="P355" s="41"/>
    </row>
    <row r="356" spans="2:16" ht="16.5" customHeight="1" x14ac:dyDescent="0.35">
      <c r="B356" s="253"/>
      <c r="D356" s="255"/>
      <c r="F356" s="303"/>
      <c r="H356" s="41"/>
      <c r="J356" s="253"/>
      <c r="L356" s="255"/>
      <c r="N356" s="293"/>
      <c r="P356" s="41"/>
    </row>
    <row r="357" spans="2:16" ht="16.5" customHeight="1" x14ac:dyDescent="0.35">
      <c r="B357" s="253"/>
      <c r="D357" s="255"/>
      <c r="F357" s="303"/>
      <c r="H357" s="41"/>
      <c r="J357" s="253"/>
      <c r="L357" s="255"/>
      <c r="N357" s="293"/>
      <c r="P357" s="41"/>
    </row>
    <row r="358" spans="2:16" ht="16.5" customHeight="1" x14ac:dyDescent="0.35">
      <c r="B358" s="253"/>
      <c r="D358" s="255"/>
      <c r="F358" s="303"/>
      <c r="H358" s="41"/>
      <c r="J358" s="253"/>
      <c r="L358" s="255"/>
      <c r="N358" s="293"/>
      <c r="P358" s="41"/>
    </row>
    <row r="359" spans="2:16" ht="16.5" customHeight="1" x14ac:dyDescent="0.35">
      <c r="B359" s="253"/>
      <c r="D359" s="255"/>
      <c r="F359" s="303"/>
      <c r="H359" s="41"/>
      <c r="J359" s="253"/>
      <c r="L359" s="255"/>
      <c r="N359" s="293"/>
      <c r="P359" s="41"/>
    </row>
    <row r="360" spans="2:16" ht="16.5" customHeight="1" x14ac:dyDescent="0.35">
      <c r="B360" s="253"/>
      <c r="D360" s="255"/>
      <c r="F360" s="303"/>
      <c r="H360" s="41"/>
      <c r="J360" s="253"/>
      <c r="L360" s="255"/>
      <c r="N360" s="293"/>
      <c r="P360" s="41"/>
    </row>
    <row r="361" spans="2:16" ht="16.5" customHeight="1" x14ac:dyDescent="0.35">
      <c r="B361" s="253"/>
      <c r="D361" s="255"/>
      <c r="F361" s="303"/>
      <c r="H361" s="41"/>
      <c r="J361" s="253"/>
      <c r="L361" s="255"/>
      <c r="N361" s="293"/>
      <c r="P361" s="41"/>
    </row>
    <row r="362" spans="2:16" ht="16.5" customHeight="1" x14ac:dyDescent="0.35">
      <c r="B362" s="253"/>
      <c r="D362" s="255"/>
      <c r="F362" s="303"/>
      <c r="H362" s="41"/>
      <c r="J362" s="253"/>
      <c r="L362" s="255"/>
      <c r="N362" s="293"/>
      <c r="P362" s="41"/>
    </row>
    <row r="363" spans="2:16" ht="16.5" customHeight="1" x14ac:dyDescent="0.35">
      <c r="B363" s="253"/>
      <c r="D363" s="255"/>
      <c r="F363" s="303"/>
      <c r="H363" s="41"/>
      <c r="J363" s="253"/>
      <c r="L363" s="255"/>
      <c r="N363" s="293"/>
      <c r="P363" s="41"/>
    </row>
    <row r="364" spans="2:16" ht="16.5" customHeight="1" x14ac:dyDescent="0.35">
      <c r="B364" s="253"/>
      <c r="D364" s="255"/>
      <c r="F364" s="303"/>
      <c r="H364" s="41"/>
      <c r="J364" s="253"/>
      <c r="L364" s="255"/>
      <c r="N364" s="293"/>
      <c r="P364" s="41"/>
    </row>
    <row r="365" spans="2:16" ht="16.5" customHeight="1" x14ac:dyDescent="0.35">
      <c r="B365" s="253"/>
      <c r="D365" s="255"/>
      <c r="F365" s="303"/>
      <c r="H365" s="41"/>
      <c r="J365" s="253"/>
      <c r="L365" s="255"/>
      <c r="N365" s="293"/>
      <c r="P365" s="41"/>
    </row>
    <row r="366" spans="2:16" ht="16.5" customHeight="1" x14ac:dyDescent="0.35">
      <c r="B366" s="253"/>
      <c r="D366" s="255"/>
      <c r="F366" s="303"/>
      <c r="H366" s="41"/>
      <c r="J366" s="253"/>
      <c r="L366" s="255"/>
      <c r="N366" s="293"/>
      <c r="P366" s="41"/>
    </row>
    <row r="367" spans="2:16" ht="16.5" customHeight="1" x14ac:dyDescent="0.35">
      <c r="B367" s="253"/>
      <c r="D367" s="255"/>
      <c r="F367" s="303"/>
      <c r="H367" s="41"/>
      <c r="J367" s="253"/>
      <c r="L367" s="255"/>
      <c r="N367" s="293"/>
      <c r="P367" s="41"/>
    </row>
    <row r="368" spans="2:16" ht="16.5" customHeight="1" x14ac:dyDescent="0.35">
      <c r="B368" s="253"/>
      <c r="D368" s="255"/>
      <c r="F368" s="303"/>
      <c r="H368" s="41"/>
      <c r="J368" s="253"/>
      <c r="L368" s="255"/>
      <c r="N368" s="293"/>
      <c r="P368" s="41"/>
    </row>
    <row r="369" spans="2:16" ht="16.5" customHeight="1" x14ac:dyDescent="0.35">
      <c r="B369" s="253"/>
      <c r="D369" s="255"/>
      <c r="F369" s="303"/>
      <c r="H369" s="41"/>
      <c r="J369" s="253"/>
      <c r="L369" s="255"/>
      <c r="N369" s="293"/>
      <c r="P369" s="41"/>
    </row>
    <row r="370" spans="2:16" ht="16.5" customHeight="1" x14ac:dyDescent="0.35">
      <c r="B370" s="253"/>
      <c r="D370" s="255"/>
      <c r="F370" s="303"/>
      <c r="H370" s="41"/>
      <c r="J370" s="253"/>
      <c r="L370" s="255"/>
      <c r="N370" s="293"/>
      <c r="P370" s="41"/>
    </row>
    <row r="371" spans="2:16" ht="16.5" customHeight="1" x14ac:dyDescent="0.35">
      <c r="B371" s="253"/>
      <c r="D371" s="255"/>
      <c r="F371" s="303"/>
      <c r="H371" s="41"/>
      <c r="J371" s="253"/>
      <c r="L371" s="255"/>
      <c r="N371" s="293"/>
      <c r="P371" s="41"/>
    </row>
    <row r="372" spans="2:16" ht="16.5" customHeight="1" x14ac:dyDescent="0.35">
      <c r="B372" s="253"/>
      <c r="D372" s="255"/>
      <c r="F372" s="303"/>
      <c r="H372" s="41"/>
      <c r="J372" s="253"/>
      <c r="L372" s="255"/>
      <c r="N372" s="293"/>
      <c r="P372" s="41"/>
    </row>
    <row r="373" spans="2:16" ht="16.5" customHeight="1" x14ac:dyDescent="0.35">
      <c r="B373" s="253"/>
      <c r="D373" s="255"/>
      <c r="F373" s="303"/>
      <c r="H373" s="41"/>
      <c r="J373" s="253"/>
      <c r="L373" s="255"/>
      <c r="N373" s="293"/>
      <c r="P373" s="41"/>
    </row>
    <row r="374" spans="2:16" ht="16.5" customHeight="1" x14ac:dyDescent="0.35">
      <c r="B374" s="253"/>
      <c r="D374" s="255"/>
      <c r="F374" s="303"/>
      <c r="H374" s="41"/>
      <c r="J374" s="253"/>
      <c r="L374" s="255"/>
      <c r="N374" s="293"/>
      <c r="P374" s="41"/>
    </row>
    <row r="375" spans="2:16" ht="16.5" customHeight="1" x14ac:dyDescent="0.35">
      <c r="B375" s="253"/>
      <c r="D375" s="255"/>
      <c r="F375" s="303"/>
      <c r="H375" s="41"/>
      <c r="J375" s="253"/>
      <c r="L375" s="255"/>
      <c r="N375" s="293"/>
      <c r="P375" s="41"/>
    </row>
    <row r="376" spans="2:16" ht="16.5" customHeight="1" x14ac:dyDescent="0.35">
      <c r="B376" s="253"/>
      <c r="D376" s="255"/>
      <c r="F376" s="303"/>
      <c r="H376" s="41"/>
      <c r="J376" s="253"/>
      <c r="L376" s="255"/>
      <c r="N376" s="293"/>
      <c r="P376" s="41"/>
    </row>
    <row r="377" spans="2:16" ht="16.5" customHeight="1" x14ac:dyDescent="0.35">
      <c r="B377" s="253"/>
      <c r="D377" s="255"/>
      <c r="F377" s="303"/>
      <c r="H377" s="41"/>
      <c r="J377" s="253"/>
      <c r="L377" s="255"/>
      <c r="N377" s="293"/>
      <c r="P377" s="41"/>
    </row>
    <row r="378" spans="2:16" ht="16.5" customHeight="1" x14ac:dyDescent="0.35">
      <c r="B378" s="253"/>
      <c r="D378" s="255"/>
      <c r="F378" s="303"/>
      <c r="H378" s="41"/>
      <c r="J378" s="253"/>
      <c r="L378" s="255"/>
      <c r="N378" s="293"/>
      <c r="P378" s="41"/>
    </row>
    <row r="379" spans="2:16" ht="16.5" customHeight="1" x14ac:dyDescent="0.35">
      <c r="B379" s="253"/>
      <c r="D379" s="255"/>
      <c r="F379" s="303"/>
      <c r="H379" s="41"/>
      <c r="J379" s="253"/>
      <c r="L379" s="255"/>
      <c r="N379" s="293"/>
      <c r="P379" s="41"/>
    </row>
    <row r="380" spans="2:16" ht="16.5" customHeight="1" x14ac:dyDescent="0.35">
      <c r="B380" s="253"/>
      <c r="D380" s="255"/>
      <c r="F380" s="303"/>
      <c r="H380" s="41"/>
      <c r="J380" s="253"/>
      <c r="L380" s="255"/>
      <c r="N380" s="293"/>
      <c r="P380" s="41"/>
    </row>
    <row r="381" spans="2:16" ht="16.5" customHeight="1" x14ac:dyDescent="0.35">
      <c r="B381" s="253"/>
      <c r="D381" s="255"/>
      <c r="F381" s="303"/>
      <c r="H381" s="41"/>
      <c r="J381" s="253"/>
      <c r="L381" s="255"/>
      <c r="N381" s="293"/>
      <c r="P381" s="41"/>
    </row>
    <row r="382" spans="2:16" ht="16.5" customHeight="1" x14ac:dyDescent="0.35">
      <c r="B382" s="253"/>
      <c r="D382" s="255"/>
      <c r="F382" s="303"/>
      <c r="H382" s="41"/>
      <c r="J382" s="253"/>
      <c r="L382" s="255"/>
      <c r="N382" s="293"/>
      <c r="P382" s="41"/>
    </row>
    <row r="383" spans="2:16" ht="16.5" customHeight="1" x14ac:dyDescent="0.35">
      <c r="B383" s="253"/>
      <c r="D383" s="255"/>
      <c r="F383" s="303"/>
      <c r="H383" s="41"/>
      <c r="J383" s="253"/>
      <c r="L383" s="255"/>
      <c r="N383" s="293"/>
      <c r="P383" s="41"/>
    </row>
    <row r="384" spans="2:16" ht="16.5" customHeight="1" x14ac:dyDescent="0.35">
      <c r="B384" s="253"/>
      <c r="D384" s="255"/>
      <c r="F384" s="303"/>
      <c r="H384" s="41"/>
      <c r="J384" s="253"/>
      <c r="L384" s="255"/>
      <c r="N384" s="293"/>
      <c r="P384" s="41"/>
    </row>
    <row r="385" spans="2:16" ht="16.5" customHeight="1" x14ac:dyDescent="0.35">
      <c r="B385" s="253"/>
      <c r="D385" s="255"/>
      <c r="F385" s="303"/>
      <c r="H385" s="41"/>
      <c r="J385" s="253"/>
      <c r="L385" s="255"/>
      <c r="N385" s="293"/>
      <c r="P385" s="41"/>
    </row>
    <row r="386" spans="2:16" ht="16.5" customHeight="1" x14ac:dyDescent="0.35">
      <c r="B386" s="253"/>
      <c r="D386" s="255"/>
      <c r="F386" s="303"/>
      <c r="H386" s="41"/>
      <c r="J386" s="253"/>
      <c r="L386" s="255"/>
      <c r="N386" s="293"/>
      <c r="P386" s="41"/>
    </row>
    <row r="387" spans="2:16" ht="16.5" customHeight="1" x14ac:dyDescent="0.35">
      <c r="B387" s="253"/>
      <c r="D387" s="255"/>
      <c r="F387" s="303"/>
      <c r="H387" s="41"/>
      <c r="J387" s="253"/>
      <c r="L387" s="255"/>
      <c r="N387" s="293"/>
      <c r="P387" s="41"/>
    </row>
    <row r="388" spans="2:16" ht="16.5" customHeight="1" x14ac:dyDescent="0.35">
      <c r="B388" s="253"/>
      <c r="D388" s="255"/>
      <c r="F388" s="303"/>
      <c r="H388" s="41"/>
      <c r="J388" s="253"/>
      <c r="L388" s="255"/>
      <c r="N388" s="293"/>
      <c r="P388" s="41"/>
    </row>
    <row r="389" spans="2:16" ht="16.5" customHeight="1" x14ac:dyDescent="0.35">
      <c r="B389" s="253"/>
      <c r="D389" s="255"/>
      <c r="F389" s="303"/>
      <c r="H389" s="41"/>
      <c r="J389" s="253"/>
      <c r="L389" s="255"/>
      <c r="N389" s="293"/>
      <c r="P389" s="41"/>
    </row>
    <row r="390" spans="2:16" ht="16.5" customHeight="1" x14ac:dyDescent="0.35">
      <c r="B390" s="253"/>
      <c r="D390" s="255"/>
      <c r="F390" s="303"/>
      <c r="H390" s="41"/>
      <c r="J390" s="253"/>
      <c r="L390" s="255"/>
      <c r="N390" s="293"/>
      <c r="P390" s="41"/>
    </row>
    <row r="391" spans="2:16" ht="16.5" customHeight="1" x14ac:dyDescent="0.35">
      <c r="B391" s="253"/>
      <c r="D391" s="255"/>
      <c r="F391" s="303"/>
      <c r="H391" s="41"/>
      <c r="J391" s="253"/>
      <c r="L391" s="255"/>
      <c r="N391" s="293"/>
      <c r="P391" s="41"/>
    </row>
    <row r="392" spans="2:16" ht="16.5" customHeight="1" x14ac:dyDescent="0.35">
      <c r="B392" s="253"/>
      <c r="D392" s="255"/>
      <c r="F392" s="303"/>
      <c r="H392" s="41"/>
      <c r="J392" s="253"/>
      <c r="L392" s="255"/>
      <c r="N392" s="293"/>
      <c r="P392" s="41"/>
    </row>
    <row r="393" spans="2:16" ht="16.5" customHeight="1" x14ac:dyDescent="0.35">
      <c r="B393" s="253"/>
      <c r="D393" s="255"/>
      <c r="F393" s="303"/>
      <c r="H393" s="41"/>
      <c r="J393" s="253"/>
      <c r="L393" s="255"/>
      <c r="N393" s="293"/>
      <c r="P393" s="41"/>
    </row>
    <row r="394" spans="2:16" ht="16.5" customHeight="1" x14ac:dyDescent="0.35">
      <c r="B394" s="253"/>
      <c r="D394" s="255"/>
      <c r="F394" s="303"/>
      <c r="H394" s="41"/>
      <c r="J394" s="253"/>
      <c r="L394" s="255"/>
      <c r="N394" s="293"/>
      <c r="P394" s="41"/>
    </row>
    <row r="395" spans="2:16" ht="16.5" customHeight="1" x14ac:dyDescent="0.35">
      <c r="B395" s="253"/>
      <c r="D395" s="255"/>
      <c r="F395" s="303"/>
      <c r="H395" s="41"/>
      <c r="J395" s="253"/>
      <c r="L395" s="255"/>
      <c r="N395" s="293"/>
      <c r="P395" s="41"/>
    </row>
    <row r="396" spans="2:16" ht="16.5" customHeight="1" x14ac:dyDescent="0.35">
      <c r="B396" s="253"/>
      <c r="D396" s="255"/>
      <c r="F396" s="303"/>
      <c r="H396" s="41"/>
      <c r="J396" s="253"/>
      <c r="L396" s="255"/>
      <c r="N396" s="293"/>
      <c r="P396" s="41"/>
    </row>
    <row r="397" spans="2:16" ht="16.5" customHeight="1" x14ac:dyDescent="0.35">
      <c r="B397" s="253"/>
      <c r="D397" s="255"/>
      <c r="F397" s="303"/>
      <c r="H397" s="41"/>
      <c r="J397" s="253"/>
      <c r="L397" s="255"/>
      <c r="N397" s="293"/>
      <c r="P397" s="41"/>
    </row>
    <row r="398" spans="2:16" ht="16.5" customHeight="1" x14ac:dyDescent="0.35">
      <c r="B398" s="253"/>
      <c r="D398" s="255"/>
      <c r="F398" s="303"/>
      <c r="H398" s="41"/>
      <c r="J398" s="253"/>
      <c r="L398" s="255"/>
      <c r="N398" s="293"/>
      <c r="P398" s="41"/>
    </row>
    <row r="399" spans="2:16" ht="16.5" customHeight="1" x14ac:dyDescent="0.35">
      <c r="B399" s="253"/>
      <c r="D399" s="255"/>
      <c r="F399" s="303"/>
      <c r="H399" s="41"/>
      <c r="J399" s="253"/>
      <c r="L399" s="255"/>
      <c r="N399" s="293"/>
      <c r="P399" s="41"/>
    </row>
    <row r="400" spans="2:16" ht="16.5" customHeight="1" x14ac:dyDescent="0.35">
      <c r="B400" s="253"/>
      <c r="D400" s="255"/>
      <c r="F400" s="303"/>
      <c r="H400" s="41"/>
      <c r="J400" s="253"/>
      <c r="L400" s="255"/>
      <c r="N400" s="293"/>
      <c r="P400" s="41"/>
    </row>
    <row r="401" spans="2:16" ht="16.5" customHeight="1" x14ac:dyDescent="0.35">
      <c r="B401" s="253"/>
      <c r="D401" s="255"/>
      <c r="F401" s="303"/>
      <c r="H401" s="41"/>
      <c r="J401" s="253"/>
      <c r="L401" s="255"/>
      <c r="N401" s="293"/>
      <c r="P401" s="41"/>
    </row>
    <row r="402" spans="2:16" ht="16.5" customHeight="1" x14ac:dyDescent="0.35">
      <c r="B402" s="253"/>
      <c r="D402" s="255"/>
      <c r="F402" s="303"/>
      <c r="H402" s="41"/>
      <c r="J402" s="253"/>
      <c r="L402" s="255"/>
      <c r="N402" s="293"/>
      <c r="P402" s="41"/>
    </row>
    <row r="403" spans="2:16" ht="16.5" customHeight="1" x14ac:dyDescent="0.35">
      <c r="B403" s="253"/>
      <c r="D403" s="255"/>
      <c r="F403" s="303"/>
      <c r="H403" s="41"/>
      <c r="J403" s="253"/>
      <c r="L403" s="255"/>
      <c r="N403" s="293"/>
      <c r="P403" s="41"/>
    </row>
    <row r="404" spans="2:16" ht="16.5" customHeight="1" x14ac:dyDescent="0.35">
      <c r="B404" s="253"/>
      <c r="D404" s="255"/>
      <c r="F404" s="303"/>
      <c r="H404" s="41"/>
      <c r="J404" s="253"/>
      <c r="L404" s="255"/>
      <c r="N404" s="293"/>
      <c r="P404" s="41"/>
    </row>
    <row r="405" spans="2:16" ht="16.5" customHeight="1" x14ac:dyDescent="0.35">
      <c r="B405" s="253"/>
      <c r="D405" s="255"/>
      <c r="F405" s="303"/>
      <c r="H405" s="41"/>
      <c r="J405" s="253"/>
      <c r="L405" s="255"/>
      <c r="N405" s="293"/>
      <c r="P405" s="41"/>
    </row>
    <row r="406" spans="2:16" ht="16.5" customHeight="1" x14ac:dyDescent="0.35">
      <c r="B406" s="253"/>
      <c r="D406" s="255"/>
      <c r="F406" s="303"/>
      <c r="H406" s="41"/>
      <c r="J406" s="253"/>
      <c r="L406" s="255"/>
      <c r="N406" s="293"/>
      <c r="P406" s="41"/>
    </row>
    <row r="407" spans="2:16" ht="16.5" customHeight="1" x14ac:dyDescent="0.35">
      <c r="B407" s="253"/>
      <c r="D407" s="255"/>
      <c r="F407" s="303"/>
      <c r="H407" s="41"/>
      <c r="J407" s="253"/>
      <c r="L407" s="255"/>
      <c r="N407" s="293"/>
      <c r="P407" s="41"/>
    </row>
    <row r="408" spans="2:16" ht="16.5" customHeight="1" x14ac:dyDescent="0.35">
      <c r="B408" s="253"/>
      <c r="D408" s="255"/>
      <c r="F408" s="303"/>
      <c r="H408" s="41"/>
      <c r="J408" s="253"/>
      <c r="L408" s="255"/>
      <c r="N408" s="293"/>
      <c r="P408" s="41"/>
    </row>
    <row r="409" spans="2:16" ht="16.5" customHeight="1" x14ac:dyDescent="0.35">
      <c r="B409" s="253"/>
      <c r="D409" s="255"/>
      <c r="F409" s="303"/>
      <c r="H409" s="41"/>
      <c r="J409" s="253"/>
      <c r="L409" s="255"/>
      <c r="N409" s="293"/>
      <c r="P409" s="41"/>
    </row>
    <row r="410" spans="2:16" ht="16.5" customHeight="1" x14ac:dyDescent="0.35">
      <c r="B410" s="253"/>
      <c r="D410" s="255"/>
      <c r="F410" s="303"/>
      <c r="H410" s="41"/>
      <c r="J410" s="253"/>
      <c r="L410" s="255"/>
      <c r="N410" s="293"/>
      <c r="P410" s="41"/>
    </row>
    <row r="411" spans="2:16" ht="16.5" customHeight="1" x14ac:dyDescent="0.35">
      <c r="B411" s="253"/>
      <c r="D411" s="255"/>
      <c r="F411" s="303"/>
      <c r="H411" s="41"/>
      <c r="J411" s="253"/>
      <c r="L411" s="255"/>
      <c r="N411" s="293"/>
      <c r="P411" s="41"/>
    </row>
    <row r="412" spans="2:16" ht="16.5" customHeight="1" x14ac:dyDescent="0.35">
      <c r="B412" s="253"/>
      <c r="D412" s="255"/>
      <c r="F412" s="303"/>
      <c r="H412" s="41"/>
      <c r="J412" s="253"/>
      <c r="L412" s="255"/>
      <c r="N412" s="293"/>
      <c r="P412" s="41"/>
    </row>
    <row r="413" spans="2:16" ht="16.5" customHeight="1" x14ac:dyDescent="0.35">
      <c r="B413" s="253"/>
      <c r="D413" s="255"/>
      <c r="F413" s="303"/>
      <c r="H413" s="41"/>
      <c r="J413" s="253"/>
      <c r="L413" s="255"/>
      <c r="N413" s="293"/>
      <c r="P413" s="41"/>
    </row>
    <row r="414" spans="2:16" ht="16.5" customHeight="1" x14ac:dyDescent="0.35">
      <c r="B414" s="253"/>
      <c r="D414" s="255"/>
      <c r="F414" s="303"/>
      <c r="H414" s="41"/>
      <c r="J414" s="253"/>
      <c r="L414" s="255"/>
      <c r="N414" s="293"/>
      <c r="P414" s="41"/>
    </row>
    <row r="415" spans="2:16" ht="16.5" customHeight="1" x14ac:dyDescent="0.35">
      <c r="B415" s="253"/>
      <c r="D415" s="255"/>
      <c r="F415" s="303"/>
      <c r="H415" s="41"/>
      <c r="J415" s="253"/>
      <c r="L415" s="255"/>
      <c r="N415" s="293"/>
      <c r="P415" s="41"/>
    </row>
    <row r="416" spans="2:16" ht="16.5" customHeight="1" x14ac:dyDescent="0.35">
      <c r="B416" s="253"/>
      <c r="D416" s="255"/>
      <c r="F416" s="303"/>
      <c r="H416" s="41"/>
      <c r="J416" s="253"/>
      <c r="L416" s="255"/>
      <c r="N416" s="293"/>
      <c r="P416" s="41"/>
    </row>
    <row r="417" spans="2:16" ht="16.5" customHeight="1" x14ac:dyDescent="0.35">
      <c r="B417" s="253"/>
      <c r="D417" s="255"/>
      <c r="F417" s="303"/>
      <c r="H417" s="41"/>
      <c r="J417" s="253"/>
      <c r="L417" s="255"/>
      <c r="N417" s="293"/>
      <c r="P417" s="41"/>
    </row>
    <row r="418" spans="2:16" ht="16.5" customHeight="1" x14ac:dyDescent="0.35">
      <c r="B418" s="253"/>
      <c r="D418" s="255"/>
      <c r="F418" s="303"/>
      <c r="H418" s="41"/>
      <c r="J418" s="253"/>
      <c r="L418" s="255"/>
      <c r="N418" s="293"/>
      <c r="P418" s="41"/>
    </row>
    <row r="419" spans="2:16" ht="16.5" customHeight="1" x14ac:dyDescent="0.35">
      <c r="B419" s="253"/>
      <c r="D419" s="255"/>
      <c r="F419" s="303"/>
      <c r="H419" s="41"/>
      <c r="J419" s="253"/>
      <c r="L419" s="255"/>
      <c r="N419" s="293"/>
      <c r="P419" s="41"/>
    </row>
    <row r="420" spans="2:16" ht="16.5" customHeight="1" x14ac:dyDescent="0.35">
      <c r="B420" s="253"/>
      <c r="D420" s="255"/>
      <c r="F420" s="303"/>
      <c r="H420" s="41"/>
      <c r="J420" s="253"/>
      <c r="L420" s="255"/>
      <c r="N420" s="293"/>
      <c r="P420" s="41"/>
    </row>
    <row r="421" spans="2:16" ht="16.5" customHeight="1" x14ac:dyDescent="0.35">
      <c r="B421" s="253"/>
      <c r="D421" s="255"/>
      <c r="F421" s="303"/>
      <c r="H421" s="41"/>
      <c r="J421" s="253"/>
      <c r="L421" s="255"/>
      <c r="N421" s="293"/>
      <c r="P421" s="41"/>
    </row>
    <row r="422" spans="2:16" ht="16.5" customHeight="1" x14ac:dyDescent="0.35">
      <c r="B422" s="253"/>
      <c r="D422" s="255"/>
      <c r="F422" s="303"/>
      <c r="H422" s="41"/>
      <c r="J422" s="253"/>
      <c r="L422" s="255"/>
      <c r="N422" s="293"/>
      <c r="P422" s="41"/>
    </row>
    <row r="423" spans="2:16" ht="16.5" customHeight="1" x14ac:dyDescent="0.35">
      <c r="B423" s="253"/>
      <c r="D423" s="255"/>
      <c r="F423" s="303"/>
      <c r="H423" s="41"/>
      <c r="J423" s="253"/>
      <c r="L423" s="255"/>
      <c r="N423" s="293"/>
      <c r="P423" s="41"/>
    </row>
    <row r="424" spans="2:16" ht="16.5" customHeight="1" x14ac:dyDescent="0.35">
      <c r="B424" s="253"/>
      <c r="D424" s="255"/>
      <c r="F424" s="303"/>
      <c r="H424" s="41"/>
      <c r="J424" s="253"/>
      <c r="L424" s="255"/>
      <c r="N424" s="293"/>
      <c r="P424" s="41"/>
    </row>
    <row r="425" spans="2:16" ht="16.5" customHeight="1" x14ac:dyDescent="0.35">
      <c r="B425" s="253"/>
      <c r="D425" s="255"/>
      <c r="F425" s="303"/>
      <c r="H425" s="41"/>
      <c r="J425" s="253"/>
      <c r="L425" s="255"/>
      <c r="N425" s="293"/>
      <c r="P425" s="41"/>
    </row>
    <row r="426" spans="2:16" ht="16.5" customHeight="1" x14ac:dyDescent="0.35">
      <c r="B426" s="253"/>
      <c r="D426" s="255"/>
      <c r="F426" s="303"/>
      <c r="H426" s="41"/>
      <c r="J426" s="253"/>
      <c r="L426" s="255"/>
      <c r="N426" s="293"/>
      <c r="P426" s="41"/>
    </row>
    <row r="427" spans="2:16" ht="16.5" customHeight="1" x14ac:dyDescent="0.35">
      <c r="B427" s="253"/>
      <c r="D427" s="255"/>
      <c r="F427" s="303"/>
      <c r="H427" s="41"/>
      <c r="J427" s="253"/>
      <c r="L427" s="255"/>
      <c r="N427" s="293"/>
      <c r="P427" s="41"/>
    </row>
    <row r="428" spans="2:16" ht="16.5" customHeight="1" x14ac:dyDescent="0.35">
      <c r="B428" s="253"/>
      <c r="D428" s="255"/>
      <c r="F428" s="303"/>
      <c r="H428" s="41"/>
      <c r="J428" s="253"/>
      <c r="L428" s="255"/>
      <c r="N428" s="293"/>
      <c r="P428" s="41"/>
    </row>
    <row r="429" spans="2:16" ht="16.5" customHeight="1" x14ac:dyDescent="0.35">
      <c r="B429" s="253"/>
      <c r="D429" s="255"/>
      <c r="F429" s="303"/>
      <c r="H429" s="41"/>
      <c r="J429" s="253"/>
      <c r="L429" s="255"/>
      <c r="N429" s="293"/>
      <c r="P429" s="41"/>
    </row>
    <row r="430" spans="2:16" ht="16.5" customHeight="1" x14ac:dyDescent="0.35">
      <c r="B430" s="253"/>
      <c r="D430" s="255"/>
      <c r="F430" s="303"/>
      <c r="H430" s="41"/>
      <c r="J430" s="253"/>
      <c r="L430" s="255"/>
      <c r="N430" s="293"/>
      <c r="P430" s="41"/>
    </row>
    <row r="431" spans="2:16" ht="16.5" customHeight="1" x14ac:dyDescent="0.35">
      <c r="B431" s="253"/>
      <c r="D431" s="255"/>
      <c r="F431" s="303"/>
      <c r="H431" s="41"/>
      <c r="J431" s="253"/>
      <c r="L431" s="255"/>
      <c r="N431" s="293"/>
      <c r="P431" s="41"/>
    </row>
    <row r="432" spans="2:16" ht="16.5" customHeight="1" x14ac:dyDescent="0.35">
      <c r="B432" s="253"/>
      <c r="D432" s="255"/>
      <c r="F432" s="303"/>
      <c r="H432" s="41"/>
      <c r="J432" s="253"/>
      <c r="L432" s="255"/>
      <c r="N432" s="293"/>
      <c r="P432" s="41"/>
    </row>
    <row r="433" spans="2:16" ht="16.5" customHeight="1" x14ac:dyDescent="0.35">
      <c r="B433" s="253"/>
      <c r="D433" s="255"/>
      <c r="F433" s="303"/>
      <c r="H433" s="41"/>
      <c r="J433" s="253"/>
      <c r="L433" s="255"/>
      <c r="N433" s="293"/>
      <c r="P433" s="41"/>
    </row>
    <row r="434" spans="2:16" ht="16.5" customHeight="1" x14ac:dyDescent="0.35">
      <c r="B434" s="253"/>
      <c r="D434" s="255"/>
      <c r="F434" s="303"/>
      <c r="H434" s="41"/>
      <c r="J434" s="253"/>
      <c r="L434" s="255"/>
      <c r="N434" s="293"/>
      <c r="P434" s="41"/>
    </row>
    <row r="435" spans="2:16" ht="16.5" customHeight="1" x14ac:dyDescent="0.35">
      <c r="B435" s="253"/>
      <c r="D435" s="255"/>
      <c r="F435" s="303"/>
      <c r="H435" s="41"/>
      <c r="J435" s="253"/>
      <c r="L435" s="255"/>
      <c r="N435" s="293"/>
      <c r="P435" s="41"/>
    </row>
    <row r="436" spans="2:16" ht="16.5" customHeight="1" x14ac:dyDescent="0.35">
      <c r="B436" s="253"/>
      <c r="D436" s="255"/>
      <c r="F436" s="303"/>
      <c r="H436" s="41"/>
      <c r="J436" s="253"/>
      <c r="L436" s="255"/>
      <c r="N436" s="293"/>
      <c r="P436" s="41"/>
    </row>
    <row r="437" spans="2:16" ht="16.5" customHeight="1" x14ac:dyDescent="0.35">
      <c r="B437" s="253"/>
      <c r="D437" s="255"/>
      <c r="F437" s="303"/>
      <c r="H437" s="41"/>
      <c r="J437" s="253"/>
      <c r="L437" s="255"/>
      <c r="N437" s="293"/>
      <c r="P437" s="41"/>
    </row>
    <row r="438" spans="2:16" ht="16.5" customHeight="1" x14ac:dyDescent="0.35">
      <c r="B438" s="253"/>
      <c r="D438" s="255"/>
      <c r="F438" s="303"/>
      <c r="H438" s="41"/>
      <c r="J438" s="253"/>
      <c r="L438" s="255"/>
      <c r="N438" s="293"/>
      <c r="P438" s="41"/>
    </row>
    <row r="439" spans="2:16" ht="16.5" customHeight="1" x14ac:dyDescent="0.35">
      <c r="B439" s="253"/>
      <c r="D439" s="255"/>
      <c r="F439" s="303"/>
      <c r="H439" s="41"/>
      <c r="J439" s="253"/>
      <c r="L439" s="255"/>
      <c r="N439" s="293"/>
      <c r="P439" s="41"/>
    </row>
    <row r="440" spans="2:16" ht="16.5" customHeight="1" x14ac:dyDescent="0.35">
      <c r="B440" s="253"/>
      <c r="D440" s="255"/>
      <c r="F440" s="303"/>
      <c r="H440" s="41"/>
      <c r="J440" s="253"/>
      <c r="L440" s="255"/>
      <c r="N440" s="293"/>
      <c r="P440" s="41"/>
    </row>
    <row r="441" spans="2:16" ht="16.5" customHeight="1" x14ac:dyDescent="0.35">
      <c r="B441" s="253"/>
      <c r="D441" s="255"/>
      <c r="F441" s="303"/>
      <c r="H441" s="41"/>
      <c r="J441" s="253"/>
      <c r="L441" s="255"/>
      <c r="N441" s="293"/>
      <c r="P441" s="41"/>
    </row>
    <row r="442" spans="2:16" ht="16.5" customHeight="1" x14ac:dyDescent="0.35">
      <c r="B442" s="253"/>
      <c r="D442" s="255"/>
      <c r="F442" s="303"/>
      <c r="H442" s="41"/>
      <c r="J442" s="253"/>
      <c r="L442" s="255"/>
      <c r="N442" s="293"/>
      <c r="P442" s="41"/>
    </row>
    <row r="443" spans="2:16" ht="16.5" customHeight="1" x14ac:dyDescent="0.35">
      <c r="B443" s="253"/>
      <c r="D443" s="255"/>
      <c r="F443" s="303"/>
      <c r="H443" s="41"/>
      <c r="J443" s="253"/>
      <c r="L443" s="255"/>
      <c r="N443" s="293"/>
      <c r="P443" s="41"/>
    </row>
    <row r="444" spans="2:16" ht="16.5" customHeight="1" x14ac:dyDescent="0.35">
      <c r="B444" s="253"/>
      <c r="D444" s="255"/>
      <c r="F444" s="303"/>
      <c r="H444" s="41"/>
      <c r="J444" s="253"/>
      <c r="L444" s="255"/>
      <c r="N444" s="293"/>
      <c r="P444" s="41"/>
    </row>
    <row r="445" spans="2:16" ht="16.5" customHeight="1" x14ac:dyDescent="0.35">
      <c r="B445" s="253"/>
      <c r="D445" s="255"/>
      <c r="F445" s="303"/>
      <c r="H445" s="41"/>
      <c r="J445" s="253"/>
      <c r="L445" s="255"/>
      <c r="N445" s="293"/>
      <c r="P445" s="41"/>
    </row>
    <row r="446" spans="2:16" ht="16.5" customHeight="1" x14ac:dyDescent="0.35">
      <c r="B446" s="253"/>
      <c r="D446" s="255"/>
      <c r="F446" s="303"/>
      <c r="H446" s="41"/>
      <c r="J446" s="253"/>
      <c r="L446" s="255"/>
      <c r="N446" s="293"/>
      <c r="P446" s="41"/>
    </row>
    <row r="447" spans="2:16" ht="16.5" customHeight="1" x14ac:dyDescent="0.35">
      <c r="B447" s="253"/>
      <c r="D447" s="255"/>
      <c r="F447" s="303"/>
      <c r="H447" s="41"/>
      <c r="J447" s="253"/>
      <c r="L447" s="255"/>
      <c r="N447" s="293"/>
      <c r="P447" s="41"/>
    </row>
    <row r="448" spans="2:16" ht="16.5" customHeight="1" x14ac:dyDescent="0.35">
      <c r="B448" s="253"/>
      <c r="D448" s="255"/>
      <c r="F448" s="303"/>
      <c r="H448" s="41"/>
      <c r="J448" s="253"/>
      <c r="L448" s="255"/>
      <c r="N448" s="293"/>
      <c r="P448" s="41"/>
    </row>
    <row r="449" spans="2:16" ht="16.5" customHeight="1" x14ac:dyDescent="0.35">
      <c r="B449" s="253"/>
      <c r="D449" s="255"/>
      <c r="F449" s="303"/>
      <c r="H449" s="41"/>
      <c r="J449" s="253"/>
      <c r="L449" s="255"/>
      <c r="N449" s="293"/>
      <c r="P449" s="41"/>
    </row>
    <row r="450" spans="2:16" ht="16.5" customHeight="1" x14ac:dyDescent="0.35">
      <c r="B450" s="253"/>
      <c r="D450" s="255"/>
      <c r="F450" s="303"/>
      <c r="H450" s="41"/>
      <c r="J450" s="253"/>
      <c r="L450" s="255"/>
      <c r="N450" s="293"/>
      <c r="P450" s="41"/>
    </row>
    <row r="451" spans="2:16" ht="16.5" customHeight="1" x14ac:dyDescent="0.35">
      <c r="B451" s="253"/>
      <c r="D451" s="255"/>
      <c r="F451" s="303"/>
      <c r="H451" s="41"/>
      <c r="J451" s="253"/>
      <c r="L451" s="255"/>
      <c r="N451" s="293"/>
      <c r="P451" s="41"/>
    </row>
    <row r="452" spans="2:16" ht="16.5" customHeight="1" x14ac:dyDescent="0.35">
      <c r="B452" s="253"/>
      <c r="D452" s="255"/>
      <c r="F452" s="303"/>
      <c r="H452" s="41"/>
      <c r="J452" s="253"/>
      <c r="L452" s="255"/>
      <c r="N452" s="293"/>
      <c r="P452" s="41"/>
    </row>
    <row r="453" spans="2:16" ht="16.5" customHeight="1" x14ac:dyDescent="0.35">
      <c r="B453" s="253"/>
      <c r="D453" s="255"/>
      <c r="F453" s="303"/>
      <c r="H453" s="41"/>
      <c r="J453" s="253"/>
      <c r="L453" s="255"/>
      <c r="N453" s="293"/>
      <c r="P453" s="41"/>
    </row>
    <row r="454" spans="2:16" ht="16.5" customHeight="1" x14ac:dyDescent="0.35">
      <c r="B454" s="253"/>
      <c r="D454" s="255"/>
      <c r="F454" s="303"/>
      <c r="H454" s="41"/>
      <c r="J454" s="253"/>
      <c r="L454" s="255"/>
      <c r="N454" s="293"/>
      <c r="P454" s="41"/>
    </row>
    <row r="455" spans="2:16" ht="16.5" customHeight="1" x14ac:dyDescent="0.35">
      <c r="B455" s="253"/>
      <c r="D455" s="255"/>
      <c r="F455" s="303"/>
      <c r="H455" s="41"/>
      <c r="J455" s="253"/>
      <c r="L455" s="255"/>
      <c r="N455" s="293"/>
      <c r="P455" s="41"/>
    </row>
    <row r="456" spans="2:16" ht="16.5" customHeight="1" x14ac:dyDescent="0.35">
      <c r="B456" s="253"/>
      <c r="D456" s="255"/>
      <c r="F456" s="303"/>
      <c r="H456" s="41"/>
      <c r="J456" s="253"/>
      <c r="L456" s="255"/>
      <c r="N456" s="293"/>
      <c r="P456" s="41"/>
    </row>
    <row r="457" spans="2:16" ht="16.5" customHeight="1" x14ac:dyDescent="0.35">
      <c r="B457" s="253"/>
      <c r="D457" s="255"/>
      <c r="F457" s="303"/>
      <c r="H457" s="41"/>
      <c r="J457" s="253"/>
      <c r="L457" s="255"/>
      <c r="N457" s="293"/>
      <c r="P457" s="41"/>
    </row>
    <row r="458" spans="2:16" ht="16.5" customHeight="1" x14ac:dyDescent="0.35">
      <c r="B458" s="253"/>
      <c r="D458" s="255"/>
      <c r="F458" s="303"/>
      <c r="H458" s="41"/>
      <c r="J458" s="253"/>
      <c r="L458" s="255"/>
      <c r="N458" s="293"/>
      <c r="P458" s="41"/>
    </row>
    <row r="459" spans="2:16" ht="16.5" customHeight="1" x14ac:dyDescent="0.35">
      <c r="B459" s="253"/>
      <c r="D459" s="255"/>
      <c r="F459" s="303"/>
      <c r="H459" s="41"/>
      <c r="J459" s="253"/>
      <c r="L459" s="255"/>
      <c r="N459" s="293"/>
      <c r="P459" s="41"/>
    </row>
    <row r="460" spans="2:16" ht="16.5" customHeight="1" x14ac:dyDescent="0.35">
      <c r="B460" s="253"/>
      <c r="D460" s="255"/>
      <c r="F460" s="303"/>
      <c r="H460" s="41"/>
      <c r="J460" s="253"/>
      <c r="L460" s="255"/>
      <c r="N460" s="293"/>
      <c r="P460" s="41"/>
    </row>
    <row r="461" spans="2:16" ht="16.5" customHeight="1" x14ac:dyDescent="0.35">
      <c r="B461" s="253"/>
      <c r="D461" s="255"/>
      <c r="F461" s="303"/>
      <c r="H461" s="41"/>
      <c r="J461" s="253"/>
      <c r="L461" s="255"/>
      <c r="N461" s="293"/>
      <c r="P461" s="41"/>
    </row>
    <row r="462" spans="2:16" ht="16.5" customHeight="1" x14ac:dyDescent="0.35">
      <c r="B462" s="253"/>
      <c r="D462" s="255"/>
      <c r="F462" s="303"/>
      <c r="H462" s="41"/>
      <c r="J462" s="253"/>
      <c r="L462" s="255"/>
      <c r="N462" s="293"/>
      <c r="P462" s="41"/>
    </row>
    <row r="463" spans="2:16" ht="16.5" customHeight="1" x14ac:dyDescent="0.35">
      <c r="B463" s="253"/>
      <c r="D463" s="255"/>
      <c r="F463" s="303"/>
      <c r="H463" s="41"/>
      <c r="J463" s="253"/>
      <c r="L463" s="255"/>
      <c r="N463" s="293"/>
      <c r="P463" s="41"/>
    </row>
    <row r="464" spans="2:16" ht="16.5" customHeight="1" x14ac:dyDescent="0.35">
      <c r="B464" s="253"/>
      <c r="D464" s="255"/>
      <c r="F464" s="303"/>
      <c r="H464" s="41"/>
      <c r="J464" s="253"/>
      <c r="L464" s="255"/>
      <c r="N464" s="293"/>
      <c r="P464" s="41"/>
    </row>
    <row r="465" spans="2:16" ht="16.5" customHeight="1" x14ac:dyDescent="0.35">
      <c r="B465" s="253"/>
      <c r="D465" s="255"/>
      <c r="F465" s="303"/>
      <c r="H465" s="41"/>
      <c r="J465" s="253"/>
      <c r="L465" s="255"/>
      <c r="N465" s="293"/>
      <c r="P465" s="41"/>
    </row>
    <row r="466" spans="2:16" ht="16.5" customHeight="1" x14ac:dyDescent="0.35">
      <c r="B466" s="253"/>
      <c r="D466" s="255"/>
      <c r="F466" s="303"/>
      <c r="H466" s="41"/>
      <c r="J466" s="253"/>
      <c r="L466" s="255"/>
      <c r="N466" s="293"/>
      <c r="P466" s="41"/>
    </row>
    <row r="467" spans="2:16" ht="16.5" customHeight="1" x14ac:dyDescent="0.35">
      <c r="B467" s="253"/>
      <c r="D467" s="255"/>
      <c r="F467" s="303"/>
      <c r="H467" s="41"/>
      <c r="J467" s="253"/>
      <c r="L467" s="255"/>
      <c r="N467" s="293"/>
      <c r="P467" s="41"/>
    </row>
    <row r="468" spans="2:16" ht="16.5" customHeight="1" x14ac:dyDescent="0.35">
      <c r="B468" s="253"/>
      <c r="D468" s="255"/>
      <c r="F468" s="303"/>
      <c r="H468" s="41"/>
      <c r="J468" s="253"/>
      <c r="L468" s="255"/>
      <c r="N468" s="293"/>
      <c r="P468" s="41"/>
    </row>
    <row r="469" spans="2:16" ht="16.5" customHeight="1" x14ac:dyDescent="0.35">
      <c r="B469" s="253"/>
      <c r="D469" s="255"/>
      <c r="F469" s="303"/>
      <c r="H469" s="41"/>
      <c r="J469" s="253"/>
      <c r="L469" s="255"/>
      <c r="N469" s="293"/>
      <c r="P469" s="41"/>
    </row>
    <row r="470" spans="2:16" ht="16.5" customHeight="1" x14ac:dyDescent="0.35">
      <c r="B470" s="253"/>
      <c r="D470" s="255"/>
      <c r="F470" s="303"/>
      <c r="H470" s="41"/>
      <c r="J470" s="253"/>
      <c r="L470" s="255"/>
      <c r="N470" s="293"/>
      <c r="P470" s="41"/>
    </row>
    <row r="471" spans="2:16" ht="16.5" customHeight="1" x14ac:dyDescent="0.35">
      <c r="B471" s="253"/>
      <c r="D471" s="255"/>
      <c r="F471" s="303"/>
      <c r="H471" s="41"/>
      <c r="J471" s="253"/>
      <c r="L471" s="255"/>
      <c r="N471" s="293"/>
      <c r="P471" s="41"/>
    </row>
    <row r="472" spans="2:16" ht="16.5" customHeight="1" x14ac:dyDescent="0.35">
      <c r="B472" s="253"/>
      <c r="D472" s="255"/>
      <c r="F472" s="303"/>
      <c r="H472" s="41"/>
      <c r="J472" s="253"/>
      <c r="L472" s="255"/>
      <c r="N472" s="293"/>
      <c r="P472" s="41"/>
    </row>
    <row r="473" spans="2:16" ht="16.5" customHeight="1" x14ac:dyDescent="0.35">
      <c r="B473" s="253"/>
      <c r="D473" s="255"/>
      <c r="F473" s="303"/>
      <c r="H473" s="41"/>
      <c r="J473" s="253"/>
      <c r="L473" s="255"/>
      <c r="N473" s="293"/>
      <c r="P473" s="41"/>
    </row>
    <row r="474" spans="2:16" ht="16.5" customHeight="1" x14ac:dyDescent="0.35">
      <c r="B474" s="253"/>
      <c r="D474" s="255"/>
      <c r="F474" s="303"/>
      <c r="H474" s="41"/>
      <c r="J474" s="253"/>
      <c r="L474" s="255"/>
      <c r="N474" s="293"/>
      <c r="P474" s="41"/>
    </row>
    <row r="475" spans="2:16" ht="16.5" customHeight="1" x14ac:dyDescent="0.35">
      <c r="B475" s="253"/>
      <c r="D475" s="255"/>
      <c r="F475" s="303"/>
      <c r="H475" s="41"/>
      <c r="J475" s="253"/>
      <c r="L475" s="255"/>
      <c r="N475" s="293"/>
      <c r="P475" s="41"/>
    </row>
    <row r="476" spans="2:16" ht="16.5" customHeight="1" x14ac:dyDescent="0.35">
      <c r="B476" s="253"/>
      <c r="D476" s="255"/>
      <c r="F476" s="303"/>
      <c r="H476" s="41"/>
      <c r="J476" s="253"/>
      <c r="L476" s="255"/>
      <c r="N476" s="293"/>
      <c r="P476" s="41"/>
    </row>
    <row r="477" spans="2:16" ht="16.5" customHeight="1" x14ac:dyDescent="0.35">
      <c r="B477" s="253"/>
      <c r="D477" s="255"/>
      <c r="F477" s="303"/>
      <c r="H477" s="41"/>
      <c r="J477" s="253"/>
      <c r="L477" s="255"/>
      <c r="N477" s="293"/>
      <c r="P477" s="41"/>
    </row>
    <row r="478" spans="2:16" ht="16.5" customHeight="1" x14ac:dyDescent="0.35">
      <c r="B478" s="253"/>
      <c r="D478" s="255"/>
      <c r="F478" s="303"/>
      <c r="H478" s="41"/>
      <c r="J478" s="253"/>
      <c r="L478" s="255"/>
      <c r="N478" s="293"/>
      <c r="P478" s="41"/>
    </row>
    <row r="479" spans="2:16" ht="16.5" customHeight="1" x14ac:dyDescent="0.35">
      <c r="B479" s="253"/>
      <c r="D479" s="255"/>
      <c r="F479" s="303"/>
      <c r="H479" s="41"/>
      <c r="J479" s="253"/>
      <c r="L479" s="255"/>
      <c r="N479" s="293"/>
      <c r="P479" s="41"/>
    </row>
    <row r="480" spans="2:16" ht="16.5" customHeight="1" x14ac:dyDescent="0.35">
      <c r="B480" s="253"/>
      <c r="D480" s="255"/>
      <c r="F480" s="303"/>
      <c r="H480" s="41"/>
      <c r="J480" s="253"/>
      <c r="L480" s="255"/>
      <c r="N480" s="293"/>
      <c r="P480" s="41"/>
    </row>
    <row r="481" spans="2:16" ht="16.5" customHeight="1" x14ac:dyDescent="0.35">
      <c r="B481" s="253"/>
      <c r="D481" s="255"/>
      <c r="F481" s="303"/>
      <c r="H481" s="41"/>
      <c r="J481" s="253"/>
      <c r="L481" s="255"/>
      <c r="N481" s="293"/>
      <c r="P481" s="41"/>
    </row>
    <row r="482" spans="2:16" ht="16.5" customHeight="1" x14ac:dyDescent="0.35">
      <c r="B482" s="253"/>
      <c r="D482" s="255"/>
      <c r="F482" s="303"/>
      <c r="H482" s="41"/>
      <c r="J482" s="253"/>
      <c r="L482" s="255"/>
      <c r="N482" s="293"/>
      <c r="P482" s="41"/>
    </row>
    <row r="483" spans="2:16" ht="16.5" customHeight="1" x14ac:dyDescent="0.35">
      <c r="B483" s="253"/>
      <c r="D483" s="255"/>
      <c r="F483" s="303"/>
      <c r="H483" s="41"/>
      <c r="J483" s="253"/>
      <c r="L483" s="255"/>
      <c r="N483" s="293"/>
      <c r="P483" s="41"/>
    </row>
    <row r="484" spans="2:16" ht="16.5" customHeight="1" x14ac:dyDescent="0.35">
      <c r="B484" s="253"/>
      <c r="D484" s="255"/>
      <c r="F484" s="303"/>
      <c r="H484" s="41"/>
      <c r="J484" s="253"/>
      <c r="L484" s="255"/>
      <c r="N484" s="293"/>
      <c r="P484" s="41"/>
    </row>
    <row r="485" spans="2:16" ht="16.5" customHeight="1" x14ac:dyDescent="0.35">
      <c r="B485" s="253"/>
      <c r="D485" s="255"/>
      <c r="F485" s="303"/>
      <c r="H485" s="41"/>
      <c r="J485" s="253"/>
      <c r="L485" s="255"/>
      <c r="N485" s="293"/>
      <c r="P485" s="41"/>
    </row>
    <row r="486" spans="2:16" ht="16.5" customHeight="1" x14ac:dyDescent="0.35">
      <c r="B486" s="253"/>
      <c r="D486" s="255"/>
      <c r="F486" s="303"/>
      <c r="H486" s="41"/>
      <c r="J486" s="253"/>
      <c r="L486" s="255"/>
      <c r="N486" s="293"/>
      <c r="P486" s="41"/>
    </row>
    <row r="487" spans="2:16" ht="16.5" customHeight="1" x14ac:dyDescent="0.35">
      <c r="B487" s="253"/>
      <c r="D487" s="255"/>
      <c r="F487" s="303"/>
      <c r="H487" s="41"/>
      <c r="J487" s="253"/>
      <c r="L487" s="255"/>
      <c r="N487" s="293"/>
      <c r="P487" s="41"/>
    </row>
    <row r="488" spans="2:16" ht="16.5" customHeight="1" x14ac:dyDescent="0.35">
      <c r="B488" s="253"/>
      <c r="D488" s="255"/>
      <c r="F488" s="303"/>
      <c r="H488" s="41"/>
      <c r="J488" s="253"/>
      <c r="L488" s="255"/>
      <c r="N488" s="293"/>
      <c r="P488" s="41"/>
    </row>
    <row r="489" spans="2:16" ht="16.5" customHeight="1" x14ac:dyDescent="0.35">
      <c r="B489" s="253"/>
      <c r="D489" s="255"/>
      <c r="F489" s="303"/>
      <c r="H489" s="41"/>
      <c r="J489" s="253"/>
      <c r="L489" s="255"/>
      <c r="N489" s="293"/>
      <c r="P489" s="41"/>
    </row>
    <row r="490" spans="2:16" ht="16.5" customHeight="1" x14ac:dyDescent="0.35">
      <c r="B490" s="253"/>
      <c r="D490" s="255"/>
      <c r="F490" s="303"/>
      <c r="H490" s="41"/>
      <c r="J490" s="253"/>
      <c r="L490" s="255"/>
      <c r="N490" s="293"/>
      <c r="P490" s="41"/>
    </row>
    <row r="491" spans="2:16" ht="16.5" customHeight="1" x14ac:dyDescent="0.35">
      <c r="B491" s="253"/>
      <c r="D491" s="255"/>
      <c r="F491" s="303"/>
      <c r="H491" s="41"/>
      <c r="J491" s="253"/>
      <c r="L491" s="255"/>
      <c r="N491" s="293"/>
      <c r="P491" s="41"/>
    </row>
    <row r="492" spans="2:16" ht="16.5" customHeight="1" x14ac:dyDescent="0.35">
      <c r="B492" s="253"/>
      <c r="D492" s="255"/>
      <c r="F492" s="303"/>
      <c r="H492" s="41"/>
      <c r="J492" s="253"/>
      <c r="L492" s="255"/>
      <c r="N492" s="293"/>
      <c r="P492" s="41"/>
    </row>
    <row r="493" spans="2:16" ht="16.5" customHeight="1" x14ac:dyDescent="0.35">
      <c r="B493" s="253"/>
      <c r="D493" s="255"/>
      <c r="F493" s="303"/>
      <c r="H493" s="41"/>
      <c r="J493" s="253"/>
      <c r="L493" s="255"/>
      <c r="N493" s="293"/>
      <c r="P493" s="41"/>
    </row>
    <row r="494" spans="2:16" ht="16.5" customHeight="1" x14ac:dyDescent="0.35">
      <c r="B494" s="253"/>
      <c r="D494" s="255"/>
      <c r="F494" s="303"/>
      <c r="H494" s="41"/>
      <c r="J494" s="253"/>
      <c r="L494" s="255"/>
      <c r="N494" s="293"/>
      <c r="P494" s="41"/>
    </row>
    <row r="495" spans="2:16" ht="16.5" customHeight="1" x14ac:dyDescent="0.35">
      <c r="B495" s="253"/>
      <c r="D495" s="255"/>
      <c r="F495" s="303"/>
      <c r="H495" s="41"/>
      <c r="J495" s="253"/>
      <c r="L495" s="255"/>
      <c r="N495" s="293"/>
      <c r="P495" s="41"/>
    </row>
    <row r="496" spans="2:16" ht="16.5" customHeight="1" x14ac:dyDescent="0.35">
      <c r="B496" s="253"/>
      <c r="D496" s="255"/>
      <c r="F496" s="303"/>
      <c r="H496" s="41"/>
      <c r="J496" s="253"/>
      <c r="L496" s="255"/>
      <c r="N496" s="293"/>
      <c r="P496" s="41"/>
    </row>
    <row r="497" spans="2:16" ht="16.5" customHeight="1" x14ac:dyDescent="0.35">
      <c r="B497" s="253"/>
      <c r="D497" s="255"/>
      <c r="F497" s="303"/>
      <c r="H497" s="41"/>
      <c r="J497" s="253"/>
      <c r="L497" s="255"/>
      <c r="N497" s="293"/>
      <c r="P497" s="41"/>
    </row>
    <row r="498" spans="2:16" ht="16.5" customHeight="1" x14ac:dyDescent="0.35">
      <c r="B498" s="253"/>
      <c r="D498" s="255"/>
      <c r="F498" s="303"/>
      <c r="H498" s="41"/>
      <c r="J498" s="253"/>
      <c r="L498" s="255"/>
      <c r="N498" s="293"/>
      <c r="P498" s="41"/>
    </row>
    <row r="499" spans="2:16" ht="16.5" customHeight="1" x14ac:dyDescent="0.35">
      <c r="B499" s="253"/>
      <c r="D499" s="255"/>
      <c r="F499" s="303"/>
      <c r="H499" s="41"/>
      <c r="J499" s="253"/>
      <c r="L499" s="255"/>
      <c r="N499" s="293"/>
      <c r="P499" s="41"/>
    </row>
    <row r="500" spans="2:16" ht="16.5" customHeight="1" x14ac:dyDescent="0.35">
      <c r="B500" s="253"/>
      <c r="D500" s="255"/>
      <c r="F500" s="303"/>
      <c r="H500" s="41"/>
      <c r="J500" s="253"/>
      <c r="L500" s="255"/>
      <c r="N500" s="293"/>
      <c r="P500" s="41"/>
    </row>
    <row r="501" spans="2:16" ht="16.5" customHeight="1" x14ac:dyDescent="0.35">
      <c r="B501" s="253"/>
      <c r="D501" s="255"/>
      <c r="F501" s="303"/>
      <c r="H501" s="41"/>
      <c r="J501" s="253"/>
      <c r="L501" s="255"/>
      <c r="N501" s="293"/>
      <c r="P501" s="41"/>
    </row>
    <row r="502" spans="2:16" ht="16.5" customHeight="1" x14ac:dyDescent="0.35">
      <c r="B502" s="253"/>
      <c r="D502" s="255"/>
      <c r="F502" s="303"/>
      <c r="H502" s="41"/>
      <c r="J502" s="253"/>
      <c r="L502" s="255"/>
      <c r="N502" s="293"/>
      <c r="P502" s="41"/>
    </row>
    <row r="503" spans="2:16" ht="16.5" customHeight="1" x14ac:dyDescent="0.35">
      <c r="B503" s="253"/>
      <c r="D503" s="255"/>
      <c r="F503" s="303"/>
      <c r="H503" s="41"/>
      <c r="J503" s="253"/>
      <c r="L503" s="255"/>
      <c r="N503" s="293"/>
      <c r="P503" s="41"/>
    </row>
    <row r="504" spans="2:16" ht="16.5" customHeight="1" x14ac:dyDescent="0.35">
      <c r="B504" s="253"/>
      <c r="D504" s="255"/>
      <c r="F504" s="303"/>
      <c r="H504" s="41"/>
      <c r="J504" s="253"/>
      <c r="L504" s="255"/>
      <c r="N504" s="293"/>
      <c r="P504" s="41"/>
    </row>
    <row r="505" spans="2:16" ht="16.5" customHeight="1" x14ac:dyDescent="0.35">
      <c r="B505" s="253"/>
      <c r="D505" s="255"/>
      <c r="F505" s="303"/>
      <c r="H505" s="41"/>
      <c r="J505" s="253"/>
      <c r="L505" s="255"/>
      <c r="N505" s="293"/>
      <c r="P505" s="41"/>
    </row>
    <row r="506" spans="2:16" ht="16.5" customHeight="1" x14ac:dyDescent="0.35">
      <c r="B506" s="253"/>
      <c r="D506" s="255"/>
      <c r="F506" s="303"/>
      <c r="H506" s="41"/>
      <c r="J506" s="253"/>
      <c r="L506" s="255"/>
      <c r="N506" s="293"/>
      <c r="P506" s="41"/>
    </row>
    <row r="507" spans="2:16" ht="16.5" customHeight="1" x14ac:dyDescent="0.35">
      <c r="B507" s="253"/>
      <c r="D507" s="255"/>
      <c r="F507" s="303"/>
      <c r="H507" s="41"/>
      <c r="J507" s="253"/>
      <c r="L507" s="255"/>
      <c r="N507" s="293"/>
      <c r="P507" s="41"/>
    </row>
    <row r="508" spans="2:16" ht="16.5" customHeight="1" x14ac:dyDescent="0.35">
      <c r="B508" s="253"/>
      <c r="D508" s="255"/>
      <c r="F508" s="303"/>
      <c r="H508" s="41"/>
      <c r="J508" s="253"/>
      <c r="L508" s="255"/>
      <c r="N508" s="293"/>
      <c r="P508" s="41"/>
    </row>
    <row r="509" spans="2:16" ht="16.5" customHeight="1" x14ac:dyDescent="0.35">
      <c r="B509" s="253"/>
      <c r="D509" s="255"/>
      <c r="F509" s="303"/>
      <c r="H509" s="41"/>
      <c r="J509" s="253"/>
      <c r="L509" s="255"/>
      <c r="N509" s="293"/>
      <c r="P509" s="41"/>
    </row>
    <row r="510" spans="2:16" ht="16.5" customHeight="1" x14ac:dyDescent="0.35">
      <c r="B510" s="253"/>
      <c r="D510" s="255"/>
      <c r="F510" s="303"/>
      <c r="H510" s="41"/>
      <c r="J510" s="253"/>
      <c r="L510" s="255"/>
      <c r="N510" s="293"/>
      <c r="P510" s="41"/>
    </row>
    <row r="511" spans="2:16" ht="16.5" customHeight="1" x14ac:dyDescent="0.35">
      <c r="B511" s="253"/>
      <c r="D511" s="255"/>
      <c r="F511" s="303"/>
      <c r="H511" s="41"/>
      <c r="J511" s="253"/>
      <c r="L511" s="255"/>
      <c r="N511" s="293"/>
      <c r="P511" s="41"/>
    </row>
    <row r="512" spans="2:16" ht="16.5" customHeight="1" x14ac:dyDescent="0.35">
      <c r="B512" s="253"/>
      <c r="D512" s="255"/>
      <c r="F512" s="303"/>
      <c r="H512" s="41"/>
      <c r="J512" s="253"/>
      <c r="L512" s="255"/>
      <c r="N512" s="293"/>
      <c r="P512" s="41"/>
    </row>
    <row r="513" spans="2:16" ht="16.5" customHeight="1" x14ac:dyDescent="0.35">
      <c r="B513" s="253"/>
      <c r="D513" s="255"/>
      <c r="F513" s="303"/>
      <c r="H513" s="41"/>
      <c r="J513" s="253"/>
      <c r="L513" s="255"/>
      <c r="N513" s="293"/>
      <c r="P513" s="41"/>
    </row>
    <row r="514" spans="2:16" ht="16.5" customHeight="1" x14ac:dyDescent="0.35">
      <c r="B514" s="253"/>
      <c r="D514" s="255"/>
      <c r="F514" s="303"/>
      <c r="H514" s="41"/>
      <c r="J514" s="253"/>
      <c r="L514" s="255"/>
      <c r="N514" s="293"/>
      <c r="P514" s="41"/>
    </row>
    <row r="515" spans="2:16" ht="16.5" customHeight="1" x14ac:dyDescent="0.35">
      <c r="B515" s="253"/>
      <c r="D515" s="255"/>
      <c r="F515" s="303"/>
      <c r="H515" s="41"/>
      <c r="J515" s="253"/>
      <c r="L515" s="255"/>
      <c r="N515" s="293"/>
      <c r="P515" s="41"/>
    </row>
    <row r="516" spans="2:16" ht="16.5" customHeight="1" x14ac:dyDescent="0.35">
      <c r="B516" s="253"/>
      <c r="D516" s="255"/>
      <c r="F516" s="303"/>
      <c r="H516" s="41"/>
      <c r="J516" s="253"/>
      <c r="L516" s="255"/>
      <c r="N516" s="293"/>
      <c r="P516" s="41"/>
    </row>
    <row r="517" spans="2:16" ht="16.5" customHeight="1" x14ac:dyDescent="0.35">
      <c r="B517" s="253"/>
      <c r="D517" s="255"/>
      <c r="F517" s="303"/>
      <c r="H517" s="41"/>
      <c r="J517" s="253"/>
      <c r="L517" s="255"/>
      <c r="N517" s="293"/>
      <c r="P517" s="41"/>
    </row>
    <row r="518" spans="2:16" ht="16.5" customHeight="1" x14ac:dyDescent="0.35">
      <c r="B518" s="253"/>
      <c r="D518" s="255"/>
      <c r="F518" s="303"/>
      <c r="H518" s="41"/>
      <c r="J518" s="253"/>
      <c r="L518" s="255"/>
      <c r="N518" s="293"/>
      <c r="P518" s="41"/>
    </row>
    <row r="519" spans="2:16" ht="16.5" customHeight="1" x14ac:dyDescent="0.35">
      <c r="B519" s="253"/>
      <c r="D519" s="255"/>
      <c r="F519" s="303"/>
      <c r="H519" s="41"/>
      <c r="J519" s="253"/>
      <c r="L519" s="255"/>
      <c r="N519" s="293"/>
      <c r="P519" s="41"/>
    </row>
    <row r="520" spans="2:16" ht="16.5" customHeight="1" x14ac:dyDescent="0.35">
      <c r="B520" s="253"/>
      <c r="D520" s="255"/>
      <c r="F520" s="303"/>
      <c r="H520" s="41"/>
      <c r="J520" s="253"/>
      <c r="L520" s="255"/>
      <c r="N520" s="293"/>
      <c r="P520" s="41"/>
    </row>
    <row r="521" spans="2:16" ht="16.5" customHeight="1" x14ac:dyDescent="0.35">
      <c r="B521" s="253"/>
      <c r="D521" s="255"/>
      <c r="F521" s="303"/>
      <c r="H521" s="41"/>
      <c r="J521" s="253"/>
      <c r="L521" s="255"/>
      <c r="N521" s="293"/>
      <c r="P521" s="41"/>
    </row>
    <row r="522" spans="2:16" ht="16.5" customHeight="1" x14ac:dyDescent="0.35">
      <c r="B522" s="253"/>
      <c r="D522" s="255"/>
      <c r="F522" s="303"/>
      <c r="H522" s="41"/>
      <c r="J522" s="253"/>
      <c r="L522" s="255"/>
      <c r="N522" s="293"/>
      <c r="P522" s="41"/>
    </row>
    <row r="523" spans="2:16" ht="16.5" customHeight="1" x14ac:dyDescent="0.35">
      <c r="B523" s="253"/>
      <c r="D523" s="255"/>
      <c r="F523" s="303"/>
      <c r="H523" s="41"/>
      <c r="J523" s="253"/>
      <c r="L523" s="255"/>
      <c r="N523" s="293"/>
      <c r="P523" s="41"/>
    </row>
    <row r="524" spans="2:16" ht="16.5" customHeight="1" x14ac:dyDescent="0.35">
      <c r="B524" s="253"/>
      <c r="D524" s="255"/>
      <c r="F524" s="303"/>
      <c r="H524" s="41"/>
      <c r="J524" s="253"/>
      <c r="L524" s="255"/>
      <c r="N524" s="293"/>
      <c r="P524" s="41"/>
    </row>
    <row r="525" spans="2:16" ht="16.5" customHeight="1" x14ac:dyDescent="0.35">
      <c r="B525" s="253"/>
      <c r="D525" s="255"/>
      <c r="F525" s="303"/>
      <c r="H525" s="41"/>
      <c r="J525" s="253"/>
      <c r="L525" s="255"/>
      <c r="N525" s="293"/>
      <c r="P525" s="41"/>
    </row>
    <row r="526" spans="2:16" ht="16.5" customHeight="1" x14ac:dyDescent="0.35">
      <c r="B526" s="253"/>
      <c r="D526" s="255"/>
      <c r="F526" s="303"/>
      <c r="H526" s="41"/>
      <c r="J526" s="253"/>
      <c r="L526" s="255"/>
      <c r="N526" s="293"/>
      <c r="P526" s="41"/>
    </row>
    <row r="527" spans="2:16" ht="16.5" customHeight="1" x14ac:dyDescent="0.35">
      <c r="B527" s="253"/>
      <c r="D527" s="255"/>
      <c r="F527" s="303"/>
      <c r="H527" s="41"/>
      <c r="J527" s="253"/>
      <c r="L527" s="255"/>
      <c r="N527" s="293"/>
      <c r="P527" s="41"/>
    </row>
    <row r="528" spans="2:16" ht="16.5" customHeight="1" x14ac:dyDescent="0.35">
      <c r="B528" s="253"/>
      <c r="D528" s="255"/>
      <c r="F528" s="303"/>
      <c r="H528" s="41"/>
      <c r="J528" s="253"/>
      <c r="L528" s="255"/>
      <c r="N528" s="293"/>
      <c r="P528" s="41"/>
    </row>
    <row r="529" spans="2:16" ht="16.5" customHeight="1" x14ac:dyDescent="0.35">
      <c r="B529" s="253"/>
      <c r="D529" s="255"/>
      <c r="F529" s="303"/>
      <c r="H529" s="41"/>
      <c r="J529" s="253"/>
      <c r="L529" s="255"/>
      <c r="N529" s="293"/>
      <c r="P529" s="41"/>
    </row>
    <row r="530" spans="2:16" ht="16.5" customHeight="1" x14ac:dyDescent="0.35">
      <c r="B530" s="253"/>
      <c r="D530" s="255"/>
      <c r="F530" s="303"/>
      <c r="H530" s="41"/>
      <c r="J530" s="253"/>
      <c r="L530" s="255"/>
      <c r="N530" s="293"/>
      <c r="P530" s="41"/>
    </row>
    <row r="531" spans="2:16" ht="16.5" customHeight="1" x14ac:dyDescent="0.35">
      <c r="B531" s="253"/>
      <c r="D531" s="255"/>
      <c r="F531" s="303"/>
      <c r="H531" s="41"/>
      <c r="J531" s="253"/>
      <c r="L531" s="255"/>
      <c r="N531" s="293"/>
      <c r="P531" s="41"/>
    </row>
    <row r="532" spans="2:16" ht="16.5" customHeight="1" x14ac:dyDescent="0.35">
      <c r="B532" s="253"/>
      <c r="D532" s="255"/>
      <c r="F532" s="303"/>
      <c r="H532" s="41"/>
      <c r="J532" s="253"/>
      <c r="L532" s="255"/>
      <c r="N532" s="293"/>
      <c r="P532" s="41"/>
    </row>
    <row r="533" spans="2:16" ht="16.5" customHeight="1" x14ac:dyDescent="0.35">
      <c r="B533" s="253"/>
      <c r="D533" s="255"/>
      <c r="F533" s="303"/>
      <c r="H533" s="41"/>
      <c r="J533" s="253"/>
      <c r="L533" s="255"/>
      <c r="N533" s="293"/>
      <c r="P533" s="41"/>
    </row>
    <row r="534" spans="2:16" ht="16.5" customHeight="1" x14ac:dyDescent="0.35">
      <c r="B534" s="253"/>
      <c r="D534" s="255"/>
      <c r="F534" s="303"/>
      <c r="H534" s="41"/>
      <c r="J534" s="253"/>
      <c r="L534" s="255"/>
      <c r="N534" s="293"/>
      <c r="P534" s="41"/>
    </row>
    <row r="535" spans="2:16" ht="16.5" customHeight="1" x14ac:dyDescent="0.35">
      <c r="B535" s="253"/>
      <c r="D535" s="255"/>
      <c r="F535" s="303"/>
      <c r="H535" s="41"/>
      <c r="J535" s="253"/>
      <c r="L535" s="255"/>
      <c r="N535" s="293"/>
      <c r="P535" s="41"/>
    </row>
    <row r="536" spans="2:16" ht="16.5" customHeight="1" x14ac:dyDescent="0.35">
      <c r="B536" s="253"/>
      <c r="D536" s="255"/>
      <c r="F536" s="303"/>
      <c r="H536" s="41"/>
      <c r="J536" s="253"/>
      <c r="L536" s="255"/>
      <c r="N536" s="293"/>
      <c r="P536" s="41"/>
    </row>
    <row r="537" spans="2:16" ht="16.5" customHeight="1" x14ac:dyDescent="0.35">
      <c r="B537" s="253"/>
      <c r="D537" s="255"/>
      <c r="F537" s="303"/>
      <c r="H537" s="41"/>
      <c r="J537" s="253"/>
      <c r="L537" s="255"/>
      <c r="N537" s="293"/>
      <c r="P537" s="41"/>
    </row>
    <row r="538" spans="2:16" ht="16.5" customHeight="1" x14ac:dyDescent="0.35">
      <c r="B538" s="253"/>
      <c r="D538" s="255"/>
      <c r="F538" s="303"/>
      <c r="H538" s="41"/>
      <c r="J538" s="253"/>
      <c r="L538" s="255"/>
      <c r="N538" s="293"/>
      <c r="P538" s="41"/>
    </row>
    <row r="539" spans="2:16" ht="16.5" customHeight="1" x14ac:dyDescent="0.35">
      <c r="B539" s="253"/>
      <c r="D539" s="255"/>
      <c r="F539" s="303"/>
      <c r="H539" s="41"/>
      <c r="J539" s="253"/>
      <c r="L539" s="255"/>
      <c r="N539" s="293"/>
      <c r="P539" s="41"/>
    </row>
    <row r="540" spans="2:16" ht="16.5" customHeight="1" x14ac:dyDescent="0.35">
      <c r="B540" s="253"/>
      <c r="D540" s="255"/>
      <c r="F540" s="303"/>
      <c r="H540" s="41"/>
      <c r="J540" s="253"/>
      <c r="L540" s="255"/>
      <c r="N540" s="293"/>
      <c r="P540" s="41"/>
    </row>
    <row r="541" spans="2:16" ht="16.5" customHeight="1" x14ac:dyDescent="0.35">
      <c r="B541" s="253"/>
      <c r="D541" s="255"/>
      <c r="F541" s="303"/>
      <c r="H541" s="41"/>
      <c r="J541" s="253"/>
      <c r="L541" s="255"/>
      <c r="N541" s="293"/>
      <c r="P541" s="41"/>
    </row>
    <row r="542" spans="2:16" ht="16.5" customHeight="1" x14ac:dyDescent="0.35">
      <c r="B542" s="253"/>
      <c r="D542" s="255"/>
      <c r="F542" s="303"/>
      <c r="H542" s="41"/>
      <c r="J542" s="253"/>
      <c r="L542" s="255"/>
      <c r="N542" s="293"/>
      <c r="P542" s="41"/>
    </row>
    <row r="543" spans="2:16" ht="16.5" customHeight="1" x14ac:dyDescent="0.35">
      <c r="B543" s="253"/>
      <c r="D543" s="255"/>
      <c r="F543" s="303"/>
      <c r="H543" s="41"/>
      <c r="J543" s="253"/>
      <c r="L543" s="255"/>
      <c r="N543" s="293"/>
      <c r="P543" s="41"/>
    </row>
    <row r="544" spans="2:16" ht="16.5" customHeight="1" x14ac:dyDescent="0.35">
      <c r="B544" s="253"/>
      <c r="D544" s="255"/>
      <c r="F544" s="303"/>
      <c r="H544" s="41"/>
      <c r="J544" s="253"/>
      <c r="L544" s="255"/>
      <c r="N544" s="293"/>
      <c r="P544" s="41"/>
    </row>
    <row r="545" spans="2:16" ht="16.5" customHeight="1" x14ac:dyDescent="0.35">
      <c r="B545" s="253"/>
      <c r="D545" s="255"/>
      <c r="F545" s="303"/>
      <c r="H545" s="41"/>
      <c r="J545" s="253"/>
      <c r="L545" s="255"/>
      <c r="N545" s="293"/>
      <c r="P545" s="41"/>
    </row>
    <row r="546" spans="2:16" ht="16.5" customHeight="1" x14ac:dyDescent="0.35">
      <c r="B546" s="253"/>
      <c r="D546" s="255"/>
      <c r="F546" s="303"/>
      <c r="H546" s="41"/>
      <c r="J546" s="253"/>
      <c r="L546" s="255"/>
      <c r="N546" s="293"/>
      <c r="P546" s="41"/>
    </row>
    <row r="547" spans="2:16" ht="16.5" customHeight="1" x14ac:dyDescent="0.35">
      <c r="B547" s="253"/>
      <c r="D547" s="255"/>
      <c r="F547" s="303"/>
      <c r="H547" s="41"/>
      <c r="J547" s="253"/>
      <c r="L547" s="255"/>
      <c r="N547" s="293"/>
      <c r="P547" s="41"/>
    </row>
    <row r="548" spans="2:16" ht="16.5" customHeight="1" x14ac:dyDescent="0.35">
      <c r="B548" s="253"/>
      <c r="D548" s="255"/>
      <c r="F548" s="303"/>
      <c r="H548" s="41"/>
      <c r="J548" s="253"/>
      <c r="L548" s="255"/>
      <c r="N548" s="293"/>
      <c r="P548" s="41"/>
    </row>
    <row r="549" spans="2:16" ht="16.5" customHeight="1" x14ac:dyDescent="0.35">
      <c r="B549" s="253"/>
      <c r="D549" s="255"/>
      <c r="F549" s="303"/>
      <c r="H549" s="41"/>
      <c r="J549" s="253"/>
      <c r="L549" s="255"/>
      <c r="N549" s="293"/>
      <c r="P549" s="41"/>
    </row>
    <row r="550" spans="2:16" ht="16.5" customHeight="1" x14ac:dyDescent="0.35">
      <c r="B550" s="253"/>
      <c r="D550" s="255"/>
      <c r="F550" s="303"/>
      <c r="H550" s="41"/>
      <c r="J550" s="253"/>
      <c r="L550" s="255"/>
      <c r="N550" s="293"/>
      <c r="P550" s="41"/>
    </row>
    <row r="551" spans="2:16" ht="16.5" customHeight="1" x14ac:dyDescent="0.35">
      <c r="B551" s="253"/>
      <c r="D551" s="255"/>
      <c r="F551" s="303"/>
      <c r="H551" s="41"/>
      <c r="J551" s="253"/>
      <c r="L551" s="255"/>
      <c r="N551" s="293"/>
      <c r="P551" s="41"/>
    </row>
    <row r="552" spans="2:16" ht="16.5" customHeight="1" x14ac:dyDescent="0.35">
      <c r="B552" s="253"/>
      <c r="D552" s="255"/>
      <c r="F552" s="303"/>
      <c r="H552" s="41"/>
      <c r="J552" s="253"/>
      <c r="L552" s="255"/>
      <c r="N552" s="293"/>
      <c r="P552" s="41"/>
    </row>
    <row r="553" spans="2:16" ht="16.5" customHeight="1" x14ac:dyDescent="0.35">
      <c r="B553" s="253"/>
      <c r="D553" s="255"/>
      <c r="F553" s="303"/>
      <c r="H553" s="41"/>
      <c r="J553" s="253"/>
      <c r="L553" s="255"/>
      <c r="N553" s="293"/>
      <c r="P553" s="41"/>
    </row>
    <row r="554" spans="2:16" ht="16.5" customHeight="1" x14ac:dyDescent="0.35">
      <c r="B554" s="253"/>
      <c r="D554" s="255"/>
      <c r="F554" s="303"/>
      <c r="H554" s="41"/>
      <c r="J554" s="253"/>
      <c r="L554" s="255"/>
      <c r="N554" s="293"/>
      <c r="P554" s="41"/>
    </row>
    <row r="555" spans="2:16" ht="16.5" customHeight="1" x14ac:dyDescent="0.35">
      <c r="B555" s="253"/>
      <c r="D555" s="255"/>
      <c r="F555" s="303"/>
      <c r="H555" s="41"/>
      <c r="J555" s="253"/>
      <c r="L555" s="255"/>
      <c r="N555" s="293"/>
      <c r="P555" s="41"/>
    </row>
    <row r="556" spans="2:16" ht="16.5" customHeight="1" x14ac:dyDescent="0.35">
      <c r="B556" s="253"/>
      <c r="D556" s="255"/>
      <c r="F556" s="303"/>
      <c r="H556" s="41"/>
      <c r="J556" s="253"/>
      <c r="L556" s="255"/>
      <c r="N556" s="293"/>
      <c r="P556" s="41"/>
    </row>
    <row r="557" spans="2:16" ht="16.5" customHeight="1" x14ac:dyDescent="0.35">
      <c r="B557" s="253"/>
      <c r="D557" s="255"/>
      <c r="F557" s="303"/>
      <c r="H557" s="41"/>
      <c r="J557" s="253"/>
      <c r="L557" s="255"/>
      <c r="N557" s="293"/>
      <c r="P557" s="41"/>
    </row>
    <row r="558" spans="2:16" ht="16.5" customHeight="1" x14ac:dyDescent="0.35">
      <c r="B558" s="253"/>
      <c r="D558" s="255"/>
      <c r="F558" s="303"/>
      <c r="H558" s="41"/>
      <c r="J558" s="253"/>
      <c r="L558" s="255"/>
      <c r="N558" s="293"/>
      <c r="P558" s="41"/>
    </row>
    <row r="559" spans="2:16" ht="16.5" customHeight="1" x14ac:dyDescent="0.35">
      <c r="B559" s="253"/>
      <c r="D559" s="255"/>
      <c r="F559" s="303"/>
      <c r="H559" s="41"/>
      <c r="J559" s="253"/>
      <c r="L559" s="255"/>
      <c r="N559" s="293"/>
      <c r="P559" s="41"/>
    </row>
    <row r="560" spans="2:16" ht="16.5" customHeight="1" x14ac:dyDescent="0.35">
      <c r="B560" s="253"/>
      <c r="D560" s="255"/>
      <c r="F560" s="303"/>
      <c r="H560" s="41"/>
      <c r="J560" s="253"/>
      <c r="L560" s="255"/>
      <c r="N560" s="293"/>
      <c r="P560" s="41"/>
    </row>
    <row r="561" spans="2:16" ht="16.5" customHeight="1" x14ac:dyDescent="0.35">
      <c r="B561" s="253"/>
      <c r="D561" s="255"/>
      <c r="F561" s="303"/>
      <c r="H561" s="41"/>
      <c r="J561" s="253"/>
      <c r="L561" s="255"/>
      <c r="N561" s="293"/>
      <c r="P561" s="41"/>
    </row>
    <row r="562" spans="2:16" ht="16.5" customHeight="1" x14ac:dyDescent="0.35">
      <c r="B562" s="253"/>
      <c r="D562" s="255"/>
      <c r="F562" s="303"/>
      <c r="H562" s="41"/>
      <c r="J562" s="253"/>
      <c r="L562" s="255"/>
      <c r="N562" s="293"/>
      <c r="P562" s="41"/>
    </row>
    <row r="563" spans="2:16" ht="16.5" customHeight="1" x14ac:dyDescent="0.35">
      <c r="B563" s="253"/>
      <c r="D563" s="255"/>
      <c r="F563" s="303"/>
      <c r="H563" s="41"/>
      <c r="J563" s="253"/>
      <c r="L563" s="255"/>
      <c r="N563" s="293"/>
      <c r="P563" s="41"/>
    </row>
    <row r="564" spans="2:16" ht="16.5" customHeight="1" x14ac:dyDescent="0.35">
      <c r="B564" s="253"/>
      <c r="D564" s="255"/>
      <c r="F564" s="303"/>
      <c r="H564" s="41"/>
      <c r="J564" s="253"/>
      <c r="L564" s="255"/>
      <c r="N564" s="293"/>
      <c r="P564" s="41"/>
    </row>
    <row r="565" spans="2:16" ht="16.5" customHeight="1" x14ac:dyDescent="0.35">
      <c r="B565" s="253"/>
      <c r="D565" s="255"/>
      <c r="F565" s="303"/>
      <c r="H565" s="41"/>
      <c r="J565" s="253"/>
      <c r="L565" s="255"/>
      <c r="N565" s="293"/>
      <c r="P565" s="41"/>
    </row>
    <row r="566" spans="2:16" ht="16.5" customHeight="1" x14ac:dyDescent="0.35">
      <c r="B566" s="253"/>
      <c r="D566" s="255"/>
      <c r="F566" s="303"/>
      <c r="H566" s="41"/>
      <c r="J566" s="253"/>
      <c r="L566" s="255"/>
      <c r="N566" s="293"/>
      <c r="P566" s="41"/>
    </row>
    <row r="567" spans="2:16" ht="16.5" customHeight="1" x14ac:dyDescent="0.35">
      <c r="B567" s="253"/>
      <c r="D567" s="255"/>
      <c r="F567" s="303"/>
      <c r="H567" s="41"/>
      <c r="J567" s="253"/>
      <c r="L567" s="255"/>
      <c r="N567" s="293"/>
      <c r="P567" s="41"/>
    </row>
    <row r="568" spans="2:16" ht="16.5" customHeight="1" x14ac:dyDescent="0.35">
      <c r="B568" s="253"/>
      <c r="D568" s="255"/>
      <c r="F568" s="303"/>
      <c r="H568" s="41"/>
      <c r="J568" s="253"/>
      <c r="L568" s="255"/>
      <c r="N568" s="293"/>
      <c r="P568" s="41"/>
    </row>
    <row r="569" spans="2:16" ht="16.5" customHeight="1" x14ac:dyDescent="0.35">
      <c r="B569" s="253"/>
      <c r="D569" s="255"/>
      <c r="F569" s="303"/>
      <c r="H569" s="41"/>
      <c r="J569" s="253"/>
      <c r="L569" s="255"/>
      <c r="N569" s="293"/>
      <c r="P569" s="41"/>
    </row>
    <row r="570" spans="2:16" ht="16.5" customHeight="1" x14ac:dyDescent="0.35">
      <c r="B570" s="253"/>
      <c r="D570" s="255"/>
      <c r="F570" s="303"/>
      <c r="H570" s="41"/>
      <c r="J570" s="253"/>
      <c r="L570" s="255"/>
      <c r="N570" s="293"/>
      <c r="P570" s="41"/>
    </row>
    <row r="571" spans="2:16" ht="16.5" customHeight="1" x14ac:dyDescent="0.35">
      <c r="B571" s="253"/>
      <c r="D571" s="255"/>
      <c r="F571" s="303"/>
      <c r="H571" s="41"/>
      <c r="J571" s="253"/>
      <c r="L571" s="255"/>
      <c r="N571" s="293"/>
      <c r="P571" s="41"/>
    </row>
    <row r="572" spans="2:16" ht="16.5" customHeight="1" x14ac:dyDescent="0.35">
      <c r="B572" s="253"/>
      <c r="D572" s="255"/>
      <c r="F572" s="303"/>
      <c r="H572" s="41"/>
      <c r="J572" s="253"/>
      <c r="L572" s="255"/>
      <c r="N572" s="293"/>
      <c r="P572" s="41"/>
    </row>
    <row r="573" spans="2:16" ht="16.5" customHeight="1" x14ac:dyDescent="0.35">
      <c r="B573" s="253"/>
      <c r="D573" s="255"/>
      <c r="F573" s="303"/>
      <c r="H573" s="41"/>
      <c r="J573" s="253"/>
      <c r="L573" s="255"/>
      <c r="N573" s="293"/>
      <c r="P573" s="41"/>
    </row>
    <row r="574" spans="2:16" ht="16.5" customHeight="1" x14ac:dyDescent="0.35">
      <c r="B574" s="253"/>
      <c r="D574" s="255"/>
      <c r="F574" s="303"/>
      <c r="H574" s="41"/>
      <c r="J574" s="253"/>
      <c r="L574" s="255"/>
      <c r="N574" s="293"/>
      <c r="P574" s="41"/>
    </row>
    <row r="575" spans="2:16" ht="16.5" customHeight="1" x14ac:dyDescent="0.35">
      <c r="B575" s="253"/>
      <c r="D575" s="255"/>
      <c r="F575" s="303"/>
      <c r="H575" s="41"/>
      <c r="J575" s="253"/>
      <c r="L575" s="255"/>
      <c r="N575" s="293"/>
      <c r="P575" s="41"/>
    </row>
    <row r="576" spans="2:16" ht="16.5" customHeight="1" x14ac:dyDescent="0.35">
      <c r="B576" s="253"/>
      <c r="D576" s="255"/>
      <c r="F576" s="303"/>
      <c r="H576" s="41"/>
      <c r="J576" s="253"/>
      <c r="L576" s="255"/>
      <c r="N576" s="293"/>
      <c r="P576" s="41"/>
    </row>
    <row r="577" spans="2:16" ht="16.5" customHeight="1" x14ac:dyDescent="0.35">
      <c r="B577" s="253"/>
      <c r="D577" s="255"/>
      <c r="F577" s="303"/>
      <c r="H577" s="41"/>
      <c r="J577" s="253"/>
      <c r="L577" s="255"/>
      <c r="N577" s="293"/>
      <c r="P577" s="41"/>
    </row>
    <row r="578" spans="2:16" ht="16.5" customHeight="1" x14ac:dyDescent="0.35">
      <c r="B578" s="253"/>
      <c r="D578" s="255"/>
      <c r="F578" s="303"/>
      <c r="H578" s="41"/>
      <c r="J578" s="253"/>
      <c r="L578" s="255"/>
      <c r="N578" s="293"/>
      <c r="P578" s="41"/>
    </row>
    <row r="579" spans="2:16" ht="16.5" customHeight="1" x14ac:dyDescent="0.35">
      <c r="B579" s="253"/>
      <c r="D579" s="255"/>
      <c r="F579" s="303"/>
      <c r="H579" s="41"/>
      <c r="J579" s="253"/>
      <c r="L579" s="255"/>
      <c r="N579" s="293"/>
      <c r="P579" s="41"/>
    </row>
    <row r="580" spans="2:16" ht="16.5" customHeight="1" x14ac:dyDescent="0.35">
      <c r="B580" s="253"/>
      <c r="D580" s="255"/>
      <c r="F580" s="303"/>
      <c r="H580" s="41"/>
      <c r="J580" s="253"/>
      <c r="L580" s="255"/>
      <c r="N580" s="293"/>
      <c r="P580" s="41"/>
    </row>
    <row r="581" spans="2:16" ht="16.5" customHeight="1" x14ac:dyDescent="0.35">
      <c r="B581" s="253"/>
      <c r="D581" s="255"/>
      <c r="F581" s="303"/>
      <c r="H581" s="41"/>
      <c r="J581" s="253"/>
      <c r="L581" s="255"/>
      <c r="N581" s="293"/>
      <c r="P581" s="41"/>
    </row>
    <row r="582" spans="2:16" ht="16.5" customHeight="1" x14ac:dyDescent="0.35">
      <c r="B582" s="253"/>
      <c r="D582" s="255"/>
      <c r="F582" s="303"/>
      <c r="H582" s="41"/>
      <c r="J582" s="253"/>
      <c r="L582" s="255"/>
      <c r="N582" s="293"/>
      <c r="P582" s="41"/>
    </row>
    <row r="583" spans="2:16" ht="16.5" customHeight="1" x14ac:dyDescent="0.35">
      <c r="B583" s="253"/>
      <c r="D583" s="255"/>
      <c r="F583" s="303"/>
      <c r="H583" s="41"/>
      <c r="J583" s="253"/>
      <c r="L583" s="255"/>
      <c r="N583" s="293"/>
      <c r="P583" s="41"/>
    </row>
    <row r="584" spans="2:16" ht="16.5" customHeight="1" x14ac:dyDescent="0.35">
      <c r="B584" s="253"/>
      <c r="D584" s="255"/>
      <c r="F584" s="303"/>
      <c r="H584" s="41"/>
      <c r="J584" s="253"/>
      <c r="L584" s="255"/>
      <c r="N584" s="293"/>
      <c r="P584" s="41"/>
    </row>
    <row r="585" spans="2:16" ht="16.5" customHeight="1" x14ac:dyDescent="0.35">
      <c r="B585" s="253"/>
      <c r="D585" s="255"/>
      <c r="F585" s="303"/>
      <c r="H585" s="41"/>
      <c r="J585" s="253"/>
      <c r="L585" s="255"/>
      <c r="N585" s="293"/>
      <c r="P585" s="41"/>
    </row>
    <row r="586" spans="2:16" ht="16.5" customHeight="1" x14ac:dyDescent="0.35">
      <c r="B586" s="253"/>
      <c r="D586" s="255"/>
      <c r="F586" s="303"/>
      <c r="H586" s="41"/>
      <c r="J586" s="253"/>
      <c r="L586" s="255"/>
      <c r="N586" s="293"/>
      <c r="P586" s="41"/>
    </row>
    <row r="587" spans="2:16" ht="16.5" customHeight="1" x14ac:dyDescent="0.35">
      <c r="B587" s="253"/>
      <c r="D587" s="255"/>
      <c r="F587" s="303"/>
      <c r="H587" s="41"/>
      <c r="J587" s="253"/>
      <c r="L587" s="255"/>
      <c r="N587" s="293"/>
      <c r="P587" s="41"/>
    </row>
    <row r="588" spans="2:16" ht="16.5" customHeight="1" x14ac:dyDescent="0.35">
      <c r="B588" s="253"/>
      <c r="D588" s="255"/>
      <c r="F588" s="303"/>
      <c r="H588" s="41"/>
      <c r="J588" s="253"/>
      <c r="L588" s="255"/>
      <c r="N588" s="293"/>
      <c r="P588" s="41"/>
    </row>
    <row r="589" spans="2:16" ht="16.5" customHeight="1" x14ac:dyDescent="0.35">
      <c r="B589" s="253"/>
      <c r="D589" s="255"/>
      <c r="F589" s="303"/>
      <c r="H589" s="41"/>
      <c r="J589" s="253"/>
      <c r="L589" s="255"/>
      <c r="N589" s="293"/>
      <c r="P589" s="41"/>
    </row>
    <row r="590" spans="2:16" ht="16.5" customHeight="1" x14ac:dyDescent="0.35">
      <c r="B590" s="253"/>
      <c r="D590" s="255"/>
      <c r="F590" s="303"/>
      <c r="H590" s="41"/>
      <c r="J590" s="253"/>
      <c r="L590" s="255"/>
      <c r="N590" s="293"/>
      <c r="P590" s="41"/>
    </row>
    <row r="591" spans="2:16" ht="16.5" customHeight="1" x14ac:dyDescent="0.35">
      <c r="B591" s="253"/>
      <c r="D591" s="255"/>
      <c r="F591" s="303"/>
      <c r="H591" s="41"/>
      <c r="J591" s="253"/>
      <c r="L591" s="255"/>
      <c r="N591" s="293"/>
      <c r="P591" s="41"/>
    </row>
    <row r="592" spans="2:16" ht="16.5" customHeight="1" x14ac:dyDescent="0.35">
      <c r="B592" s="253"/>
      <c r="D592" s="255"/>
      <c r="F592" s="303"/>
      <c r="H592" s="41"/>
      <c r="J592" s="253"/>
      <c r="L592" s="255"/>
      <c r="N592" s="293"/>
      <c r="P592" s="41"/>
    </row>
    <row r="593" spans="2:16" ht="16.5" customHeight="1" x14ac:dyDescent="0.35">
      <c r="B593" s="253"/>
      <c r="D593" s="255"/>
      <c r="F593" s="303"/>
      <c r="H593" s="41"/>
      <c r="J593" s="253"/>
      <c r="L593" s="255"/>
      <c r="N593" s="293"/>
      <c r="P593" s="41"/>
    </row>
    <row r="594" spans="2:16" ht="16.5" customHeight="1" x14ac:dyDescent="0.35">
      <c r="B594" s="253"/>
      <c r="D594" s="255"/>
      <c r="F594" s="303"/>
      <c r="H594" s="41"/>
      <c r="J594" s="253"/>
      <c r="L594" s="255"/>
      <c r="N594" s="293"/>
      <c r="P594" s="41"/>
    </row>
    <row r="595" spans="2:16" ht="16.5" customHeight="1" x14ac:dyDescent="0.35">
      <c r="B595" s="253"/>
      <c r="D595" s="255"/>
      <c r="F595" s="303"/>
      <c r="H595" s="41"/>
      <c r="J595" s="253"/>
      <c r="L595" s="255"/>
      <c r="N595" s="293"/>
      <c r="P595" s="41"/>
    </row>
    <row r="596" spans="2:16" ht="16.5" customHeight="1" x14ac:dyDescent="0.35">
      <c r="B596" s="253"/>
      <c r="D596" s="255"/>
      <c r="F596" s="303"/>
      <c r="H596" s="41"/>
      <c r="J596" s="253"/>
      <c r="L596" s="255"/>
      <c r="N596" s="293"/>
      <c r="P596" s="41"/>
    </row>
    <row r="597" spans="2:16" ht="16.5" customHeight="1" x14ac:dyDescent="0.35">
      <c r="B597" s="253"/>
      <c r="D597" s="255"/>
      <c r="F597" s="303"/>
      <c r="H597" s="41"/>
      <c r="J597" s="253"/>
      <c r="L597" s="255"/>
      <c r="N597" s="293"/>
      <c r="P597" s="41"/>
    </row>
    <row r="598" spans="2:16" ht="16.5" customHeight="1" x14ac:dyDescent="0.35">
      <c r="B598" s="253"/>
      <c r="D598" s="255"/>
      <c r="F598" s="303"/>
      <c r="H598" s="41"/>
      <c r="J598" s="253"/>
      <c r="L598" s="255"/>
      <c r="N598" s="293"/>
      <c r="P598" s="41"/>
    </row>
    <row r="599" spans="2:16" ht="16.5" customHeight="1" x14ac:dyDescent="0.35">
      <c r="B599" s="253"/>
      <c r="D599" s="255"/>
      <c r="F599" s="303"/>
      <c r="H599" s="41"/>
      <c r="J599" s="253"/>
      <c r="L599" s="255"/>
      <c r="N599" s="293"/>
      <c r="P599" s="41"/>
    </row>
    <row r="600" spans="2:16" ht="16.5" customHeight="1" x14ac:dyDescent="0.35">
      <c r="B600" s="253"/>
      <c r="D600" s="255"/>
      <c r="F600" s="303"/>
      <c r="H600" s="41"/>
      <c r="J600" s="253"/>
      <c r="L600" s="255"/>
      <c r="N600" s="293"/>
      <c r="P600" s="41"/>
    </row>
    <row r="601" spans="2:16" ht="16.5" customHeight="1" x14ac:dyDescent="0.35">
      <c r="B601" s="253"/>
      <c r="D601" s="255"/>
      <c r="F601" s="303"/>
      <c r="H601" s="41"/>
      <c r="J601" s="253"/>
      <c r="L601" s="255"/>
      <c r="N601" s="293"/>
      <c r="P601" s="41"/>
    </row>
    <row r="602" spans="2:16" ht="16.5" customHeight="1" x14ac:dyDescent="0.35">
      <c r="B602" s="253"/>
      <c r="D602" s="255"/>
      <c r="F602" s="303"/>
      <c r="H602" s="41"/>
      <c r="J602" s="253"/>
      <c r="L602" s="255"/>
      <c r="N602" s="293"/>
      <c r="P602" s="41"/>
    </row>
    <row r="603" spans="2:16" ht="16.5" customHeight="1" x14ac:dyDescent="0.35">
      <c r="B603" s="253"/>
      <c r="D603" s="255"/>
      <c r="F603" s="303"/>
      <c r="H603" s="41"/>
      <c r="J603" s="253"/>
      <c r="L603" s="255"/>
      <c r="N603" s="293"/>
      <c r="P603" s="41"/>
    </row>
    <row r="604" spans="2:16" ht="16.5" customHeight="1" x14ac:dyDescent="0.35">
      <c r="B604" s="253"/>
      <c r="D604" s="255"/>
      <c r="F604" s="303"/>
      <c r="H604" s="41"/>
      <c r="J604" s="253"/>
      <c r="L604" s="255"/>
      <c r="N604" s="293"/>
      <c r="P604" s="41"/>
    </row>
    <row r="605" spans="2:16" ht="16.5" customHeight="1" x14ac:dyDescent="0.35">
      <c r="B605" s="253"/>
      <c r="D605" s="255"/>
      <c r="F605" s="303"/>
      <c r="H605" s="41"/>
      <c r="J605" s="253"/>
      <c r="L605" s="255"/>
      <c r="N605" s="293"/>
      <c r="P605" s="41"/>
    </row>
    <row r="606" spans="2:16" ht="16.5" customHeight="1" x14ac:dyDescent="0.35">
      <c r="B606" s="253"/>
      <c r="D606" s="255"/>
      <c r="F606" s="303"/>
      <c r="H606" s="41"/>
      <c r="J606" s="253"/>
      <c r="L606" s="255"/>
      <c r="N606" s="293"/>
      <c r="P606" s="41"/>
    </row>
    <row r="607" spans="2:16" ht="16.5" customHeight="1" x14ac:dyDescent="0.35">
      <c r="B607" s="253"/>
      <c r="D607" s="255"/>
      <c r="F607" s="303"/>
      <c r="H607" s="41"/>
      <c r="J607" s="253"/>
      <c r="L607" s="255"/>
      <c r="N607" s="293"/>
      <c r="P607" s="41"/>
    </row>
    <row r="608" spans="2:16" ht="16.5" customHeight="1" x14ac:dyDescent="0.35">
      <c r="B608" s="253"/>
      <c r="D608" s="255"/>
      <c r="F608" s="303"/>
      <c r="H608" s="41"/>
      <c r="J608" s="253"/>
      <c r="L608" s="255"/>
      <c r="N608" s="293"/>
      <c r="P608" s="41"/>
    </row>
    <row r="609" spans="2:16" ht="16.5" customHeight="1" x14ac:dyDescent="0.35">
      <c r="B609" s="253"/>
      <c r="D609" s="255"/>
      <c r="F609" s="303"/>
      <c r="H609" s="41"/>
      <c r="J609" s="253"/>
      <c r="L609" s="255"/>
      <c r="N609" s="293"/>
      <c r="P609" s="41"/>
    </row>
    <row r="610" spans="2:16" ht="16.5" customHeight="1" x14ac:dyDescent="0.35">
      <c r="B610" s="253"/>
      <c r="D610" s="255"/>
      <c r="F610" s="303"/>
      <c r="H610" s="41"/>
      <c r="J610" s="253"/>
      <c r="L610" s="255"/>
      <c r="N610" s="293"/>
      <c r="P610" s="41"/>
    </row>
    <row r="611" spans="2:16" ht="16.5" customHeight="1" x14ac:dyDescent="0.35">
      <c r="B611" s="253"/>
      <c r="D611" s="255"/>
      <c r="F611" s="303"/>
      <c r="H611" s="41"/>
      <c r="J611" s="253"/>
      <c r="L611" s="255"/>
      <c r="N611" s="293"/>
      <c r="P611" s="41"/>
    </row>
    <row r="612" spans="2:16" ht="16.5" customHeight="1" x14ac:dyDescent="0.35">
      <c r="B612" s="253"/>
      <c r="D612" s="255"/>
      <c r="F612" s="303"/>
      <c r="H612" s="41"/>
      <c r="J612" s="253"/>
      <c r="L612" s="255"/>
      <c r="N612" s="293"/>
      <c r="P612" s="41"/>
    </row>
    <row r="613" spans="2:16" ht="16.5" customHeight="1" x14ac:dyDescent="0.35">
      <c r="B613" s="253"/>
      <c r="D613" s="255"/>
      <c r="F613" s="303"/>
      <c r="H613" s="41"/>
      <c r="J613" s="253"/>
      <c r="L613" s="255"/>
      <c r="N613" s="293"/>
      <c r="P613" s="41"/>
    </row>
    <row r="614" spans="2:16" ht="16.5" customHeight="1" x14ac:dyDescent="0.35">
      <c r="B614" s="253"/>
      <c r="D614" s="255"/>
      <c r="F614" s="303"/>
      <c r="H614" s="41"/>
      <c r="J614" s="253"/>
      <c r="L614" s="255"/>
      <c r="N614" s="293"/>
      <c r="P614" s="41"/>
    </row>
    <row r="615" spans="2:16" ht="16.5" customHeight="1" x14ac:dyDescent="0.35">
      <c r="B615" s="253"/>
      <c r="D615" s="255"/>
      <c r="F615" s="303"/>
      <c r="H615" s="41"/>
      <c r="J615" s="253"/>
      <c r="L615" s="255"/>
      <c r="N615" s="293"/>
      <c r="P615" s="41"/>
    </row>
    <row r="616" spans="2:16" ht="16.5" customHeight="1" x14ac:dyDescent="0.35">
      <c r="B616" s="253"/>
      <c r="D616" s="255"/>
      <c r="F616" s="303"/>
      <c r="H616" s="41"/>
      <c r="J616" s="253"/>
      <c r="L616" s="255"/>
      <c r="N616" s="293"/>
      <c r="P616" s="41"/>
    </row>
    <row r="617" spans="2:16" ht="16.5" customHeight="1" x14ac:dyDescent="0.35">
      <c r="B617" s="253"/>
      <c r="D617" s="255"/>
      <c r="F617" s="303"/>
      <c r="H617" s="41"/>
      <c r="J617" s="253"/>
      <c r="L617" s="255"/>
      <c r="N617" s="293"/>
      <c r="P617" s="41"/>
    </row>
    <row r="618" spans="2:16" ht="16.5" customHeight="1" x14ac:dyDescent="0.35">
      <c r="B618" s="253"/>
      <c r="D618" s="255"/>
      <c r="F618" s="303"/>
      <c r="H618" s="41"/>
      <c r="J618" s="253"/>
      <c r="L618" s="255"/>
      <c r="N618" s="293"/>
      <c r="P618" s="41"/>
    </row>
    <row r="619" spans="2:16" ht="16.5" customHeight="1" x14ac:dyDescent="0.35">
      <c r="B619" s="253"/>
      <c r="D619" s="255"/>
      <c r="F619" s="303"/>
      <c r="H619" s="41"/>
      <c r="J619" s="253"/>
      <c r="L619" s="255"/>
      <c r="N619" s="293"/>
      <c r="P619" s="41"/>
    </row>
    <row r="620" spans="2:16" ht="16.5" customHeight="1" x14ac:dyDescent="0.35">
      <c r="B620" s="253"/>
      <c r="D620" s="255"/>
      <c r="F620" s="303"/>
      <c r="H620" s="41"/>
      <c r="J620" s="253"/>
      <c r="L620" s="255"/>
      <c r="N620" s="293"/>
      <c r="P620" s="41"/>
    </row>
    <row r="621" spans="2:16" ht="16.5" customHeight="1" x14ac:dyDescent="0.35">
      <c r="B621" s="253"/>
      <c r="D621" s="255"/>
      <c r="F621" s="303"/>
      <c r="H621" s="41"/>
      <c r="J621" s="253"/>
      <c r="L621" s="255"/>
      <c r="N621" s="293"/>
      <c r="P621" s="41"/>
    </row>
    <row r="622" spans="2:16" ht="16.5" customHeight="1" x14ac:dyDescent="0.35">
      <c r="B622" s="253"/>
      <c r="D622" s="255"/>
      <c r="F622" s="303"/>
      <c r="H622" s="41"/>
      <c r="J622" s="253"/>
      <c r="L622" s="255"/>
      <c r="N622" s="293"/>
      <c r="P622" s="41"/>
    </row>
    <row r="623" spans="2:16" ht="16.5" customHeight="1" x14ac:dyDescent="0.35">
      <c r="B623" s="253"/>
      <c r="D623" s="255"/>
      <c r="F623" s="303"/>
      <c r="H623" s="41"/>
      <c r="J623" s="253"/>
      <c r="L623" s="255"/>
      <c r="N623" s="293"/>
      <c r="P623" s="41"/>
    </row>
    <row r="624" spans="2:16" ht="16.5" customHeight="1" x14ac:dyDescent="0.35">
      <c r="B624" s="253"/>
      <c r="D624" s="255"/>
      <c r="F624" s="303"/>
      <c r="H624" s="41"/>
      <c r="J624" s="253"/>
      <c r="L624" s="255"/>
      <c r="N624" s="293"/>
      <c r="P624" s="41"/>
    </row>
    <row r="625" spans="2:16" ht="16.5" customHeight="1" x14ac:dyDescent="0.35">
      <c r="B625" s="253"/>
      <c r="D625" s="255"/>
      <c r="F625" s="303"/>
      <c r="H625" s="41"/>
      <c r="J625" s="253"/>
      <c r="L625" s="255"/>
      <c r="N625" s="293"/>
      <c r="P625" s="41"/>
    </row>
    <row r="626" spans="2:16" ht="16.5" customHeight="1" x14ac:dyDescent="0.35">
      <c r="B626" s="253"/>
      <c r="D626" s="255"/>
      <c r="F626" s="303"/>
      <c r="H626" s="41"/>
      <c r="J626" s="253"/>
      <c r="L626" s="255"/>
      <c r="N626" s="293"/>
      <c r="P626" s="41"/>
    </row>
    <row r="627" spans="2:16" ht="16.5" customHeight="1" x14ac:dyDescent="0.35">
      <c r="B627" s="253"/>
      <c r="D627" s="255"/>
      <c r="F627" s="303"/>
      <c r="H627" s="41"/>
      <c r="J627" s="253"/>
      <c r="L627" s="255"/>
      <c r="N627" s="293"/>
      <c r="P627" s="41"/>
    </row>
    <row r="628" spans="2:16" ht="16.5" customHeight="1" x14ac:dyDescent="0.35">
      <c r="B628" s="253"/>
      <c r="D628" s="255"/>
      <c r="F628" s="303"/>
      <c r="H628" s="41"/>
      <c r="J628" s="253"/>
      <c r="L628" s="255"/>
      <c r="N628" s="293"/>
      <c r="P628" s="41"/>
    </row>
    <row r="629" spans="2:16" ht="16.5" customHeight="1" x14ac:dyDescent="0.35">
      <c r="B629" s="253"/>
      <c r="D629" s="255"/>
      <c r="F629" s="303"/>
      <c r="H629" s="41"/>
      <c r="J629" s="253"/>
      <c r="L629" s="255"/>
      <c r="N629" s="293"/>
      <c r="P629" s="41"/>
    </row>
    <row r="630" spans="2:16" ht="16.5" customHeight="1" x14ac:dyDescent="0.35">
      <c r="B630" s="253"/>
      <c r="D630" s="255"/>
      <c r="F630" s="303"/>
      <c r="H630" s="41"/>
      <c r="J630" s="253"/>
      <c r="L630" s="255"/>
      <c r="N630" s="293"/>
      <c r="P630" s="41"/>
    </row>
    <row r="631" spans="2:16" ht="16.5" customHeight="1" x14ac:dyDescent="0.35">
      <c r="B631" s="253"/>
      <c r="D631" s="255"/>
      <c r="F631" s="303"/>
      <c r="H631" s="41"/>
      <c r="J631" s="253"/>
      <c r="L631" s="255"/>
      <c r="N631" s="293"/>
      <c r="P631" s="41"/>
    </row>
    <row r="632" spans="2:16" ht="16.5" customHeight="1" x14ac:dyDescent="0.35">
      <c r="B632" s="253"/>
      <c r="D632" s="255"/>
      <c r="F632" s="303"/>
      <c r="H632" s="41"/>
      <c r="J632" s="253"/>
      <c r="L632" s="255"/>
      <c r="N632" s="293"/>
      <c r="P632" s="41"/>
    </row>
    <row r="633" spans="2:16" ht="16.5" customHeight="1" x14ac:dyDescent="0.35">
      <c r="B633" s="253"/>
      <c r="D633" s="255"/>
      <c r="F633" s="303"/>
      <c r="H633" s="41"/>
      <c r="J633" s="253"/>
      <c r="L633" s="255"/>
      <c r="N633" s="293"/>
      <c r="P633" s="41"/>
    </row>
    <row r="634" spans="2:16" ht="16.5" customHeight="1" x14ac:dyDescent="0.35">
      <c r="B634" s="253"/>
      <c r="D634" s="255"/>
      <c r="F634" s="303"/>
      <c r="H634" s="41"/>
      <c r="J634" s="253"/>
      <c r="L634" s="255"/>
      <c r="N634" s="293"/>
      <c r="P634" s="41"/>
    </row>
    <row r="635" spans="2:16" ht="16.5" customHeight="1" x14ac:dyDescent="0.35">
      <c r="B635" s="253"/>
      <c r="D635" s="255"/>
      <c r="F635" s="303"/>
      <c r="H635" s="41"/>
      <c r="J635" s="253"/>
      <c r="L635" s="255"/>
      <c r="N635" s="293"/>
      <c r="P635" s="41"/>
    </row>
    <row r="636" spans="2:16" ht="16.5" customHeight="1" x14ac:dyDescent="0.35">
      <c r="B636" s="253"/>
      <c r="D636" s="255"/>
      <c r="F636" s="303"/>
      <c r="H636" s="41"/>
      <c r="J636" s="253"/>
      <c r="L636" s="255"/>
      <c r="N636" s="293"/>
      <c r="P636" s="41"/>
    </row>
    <row r="637" spans="2:16" ht="16.5" customHeight="1" x14ac:dyDescent="0.35">
      <c r="B637" s="253"/>
      <c r="D637" s="255"/>
      <c r="F637" s="303"/>
      <c r="H637" s="41"/>
      <c r="J637" s="253"/>
      <c r="L637" s="255"/>
      <c r="N637" s="293"/>
      <c r="P637" s="41"/>
    </row>
    <row r="638" spans="2:16" ht="16.5" customHeight="1" x14ac:dyDescent="0.35">
      <c r="B638" s="253"/>
      <c r="D638" s="255"/>
      <c r="F638" s="303"/>
      <c r="H638" s="41"/>
      <c r="J638" s="253"/>
      <c r="L638" s="255"/>
      <c r="N638" s="293"/>
      <c r="P638" s="41"/>
    </row>
    <row r="639" spans="2:16" ht="16.5" customHeight="1" x14ac:dyDescent="0.35">
      <c r="B639" s="253"/>
      <c r="D639" s="255"/>
      <c r="F639" s="303"/>
      <c r="H639" s="41"/>
      <c r="J639" s="253"/>
      <c r="L639" s="255"/>
      <c r="N639" s="293"/>
      <c r="P639" s="41"/>
    </row>
    <row r="640" spans="2:16" ht="16.5" customHeight="1" x14ac:dyDescent="0.35">
      <c r="B640" s="253"/>
      <c r="D640" s="255"/>
      <c r="F640" s="303"/>
      <c r="H640" s="41"/>
      <c r="J640" s="253"/>
      <c r="L640" s="255"/>
      <c r="N640" s="293"/>
      <c r="P640" s="41"/>
    </row>
    <row r="641" spans="2:16" ht="16.5" customHeight="1" x14ac:dyDescent="0.35">
      <c r="B641" s="253"/>
      <c r="D641" s="255"/>
      <c r="F641" s="303"/>
      <c r="H641" s="41"/>
      <c r="J641" s="253"/>
      <c r="L641" s="255"/>
      <c r="N641" s="293"/>
      <c r="P641" s="41"/>
    </row>
    <row r="642" spans="2:16" ht="16.5" customHeight="1" x14ac:dyDescent="0.35">
      <c r="B642" s="253"/>
      <c r="D642" s="255"/>
      <c r="F642" s="303"/>
      <c r="H642" s="41"/>
      <c r="J642" s="253"/>
      <c r="L642" s="255"/>
      <c r="N642" s="293"/>
      <c r="P642" s="41"/>
    </row>
    <row r="643" spans="2:16" ht="16.5" customHeight="1" x14ac:dyDescent="0.35">
      <c r="B643" s="253"/>
      <c r="D643" s="255"/>
      <c r="F643" s="303"/>
      <c r="H643" s="41"/>
      <c r="J643" s="253"/>
      <c r="L643" s="255"/>
      <c r="N643" s="293"/>
      <c r="P643" s="41"/>
    </row>
    <row r="644" spans="2:16" ht="16.5" customHeight="1" x14ac:dyDescent="0.35">
      <c r="B644" s="253"/>
      <c r="D644" s="255"/>
      <c r="F644" s="303"/>
      <c r="H644" s="41"/>
      <c r="J644" s="253"/>
      <c r="L644" s="255"/>
      <c r="N644" s="293"/>
      <c r="P644" s="41"/>
    </row>
    <row r="645" spans="2:16" ht="16.5" customHeight="1" x14ac:dyDescent="0.35">
      <c r="B645" s="253"/>
      <c r="D645" s="255"/>
      <c r="F645" s="303"/>
      <c r="H645" s="41"/>
      <c r="J645" s="253"/>
      <c r="L645" s="255"/>
      <c r="N645" s="293"/>
      <c r="P645" s="41"/>
    </row>
    <row r="646" spans="2:16" ht="16.5" customHeight="1" x14ac:dyDescent="0.35">
      <c r="B646" s="253"/>
      <c r="D646" s="255"/>
      <c r="F646" s="303"/>
      <c r="H646" s="41"/>
      <c r="J646" s="253"/>
      <c r="L646" s="255"/>
      <c r="N646" s="293"/>
      <c r="P646" s="41"/>
    </row>
    <row r="647" spans="2:16" ht="16.5" customHeight="1" x14ac:dyDescent="0.35">
      <c r="B647" s="253"/>
      <c r="D647" s="255"/>
      <c r="F647" s="303"/>
      <c r="H647" s="41"/>
      <c r="J647" s="253"/>
      <c r="L647" s="255"/>
      <c r="N647" s="293"/>
      <c r="P647" s="41"/>
    </row>
    <row r="648" spans="2:16" ht="16.5" customHeight="1" x14ac:dyDescent="0.35">
      <c r="B648" s="253"/>
      <c r="D648" s="255"/>
      <c r="F648" s="303"/>
      <c r="H648" s="41"/>
      <c r="J648" s="253"/>
      <c r="L648" s="255"/>
      <c r="N648" s="293"/>
      <c r="P648" s="41"/>
    </row>
    <row r="649" spans="2:16" ht="16.5" customHeight="1" x14ac:dyDescent="0.35">
      <c r="B649" s="253"/>
      <c r="D649" s="255"/>
      <c r="F649" s="303"/>
      <c r="H649" s="41"/>
      <c r="J649" s="253"/>
      <c r="L649" s="255"/>
      <c r="N649" s="293"/>
      <c r="P649" s="41"/>
    </row>
    <row r="650" spans="2:16" ht="16.5" customHeight="1" x14ac:dyDescent="0.35">
      <c r="B650" s="253"/>
      <c r="D650" s="255"/>
      <c r="F650" s="303"/>
      <c r="H650" s="41"/>
      <c r="J650" s="253"/>
      <c r="L650" s="255"/>
      <c r="N650" s="293"/>
      <c r="P650" s="41"/>
    </row>
    <row r="651" spans="2:16" ht="16.5" customHeight="1" x14ac:dyDescent="0.35">
      <c r="B651" s="253"/>
      <c r="D651" s="255"/>
      <c r="F651" s="303"/>
      <c r="H651" s="41"/>
      <c r="J651" s="253"/>
      <c r="L651" s="255"/>
      <c r="N651" s="293"/>
      <c r="P651" s="41"/>
    </row>
    <row r="652" spans="2:16" ht="16.5" customHeight="1" x14ac:dyDescent="0.35">
      <c r="B652" s="253"/>
      <c r="D652" s="255"/>
      <c r="F652" s="303"/>
      <c r="H652" s="41"/>
      <c r="J652" s="253"/>
      <c r="L652" s="255"/>
      <c r="N652" s="293"/>
      <c r="P652" s="41"/>
    </row>
    <row r="653" spans="2:16" ht="16.5" customHeight="1" x14ac:dyDescent="0.35">
      <c r="B653" s="253"/>
      <c r="D653" s="255"/>
      <c r="F653" s="303"/>
      <c r="H653" s="41"/>
      <c r="J653" s="253"/>
      <c r="L653" s="255"/>
      <c r="N653" s="293"/>
      <c r="P653" s="41"/>
    </row>
    <row r="654" spans="2:16" ht="16.5" customHeight="1" x14ac:dyDescent="0.35">
      <c r="B654" s="253"/>
      <c r="D654" s="255"/>
      <c r="F654" s="303"/>
      <c r="H654" s="41"/>
      <c r="J654" s="253"/>
      <c r="L654" s="255"/>
      <c r="N654" s="293"/>
      <c r="P654" s="41"/>
    </row>
    <row r="655" spans="2:16" ht="16.5" customHeight="1" x14ac:dyDescent="0.35">
      <c r="B655" s="253"/>
      <c r="D655" s="255"/>
      <c r="F655" s="303"/>
      <c r="H655" s="41"/>
      <c r="J655" s="253"/>
      <c r="L655" s="255"/>
      <c r="N655" s="293"/>
      <c r="P655" s="41"/>
    </row>
    <row r="656" spans="2:16" ht="16.5" customHeight="1" x14ac:dyDescent="0.35">
      <c r="B656" s="253"/>
      <c r="D656" s="255"/>
      <c r="F656" s="303"/>
      <c r="H656" s="41"/>
      <c r="J656" s="253"/>
      <c r="L656" s="255"/>
      <c r="N656" s="293"/>
      <c r="P656" s="41"/>
    </row>
    <row r="657" spans="2:16" ht="16.5" customHeight="1" x14ac:dyDescent="0.35">
      <c r="B657" s="253"/>
      <c r="D657" s="255"/>
      <c r="F657" s="303"/>
      <c r="H657" s="41"/>
      <c r="J657" s="253"/>
      <c r="L657" s="255"/>
      <c r="N657" s="293"/>
      <c r="P657" s="41"/>
    </row>
    <row r="658" spans="2:16" ht="16.5" customHeight="1" x14ac:dyDescent="0.35">
      <c r="B658" s="253"/>
      <c r="D658" s="255"/>
      <c r="F658" s="303"/>
      <c r="H658" s="41"/>
      <c r="J658" s="253"/>
      <c r="L658" s="255"/>
      <c r="N658" s="293"/>
      <c r="P658" s="41"/>
    </row>
    <row r="659" spans="2:16" ht="16.5" customHeight="1" x14ac:dyDescent="0.35">
      <c r="B659" s="253"/>
      <c r="D659" s="255"/>
      <c r="F659" s="303"/>
      <c r="H659" s="41"/>
      <c r="J659" s="253"/>
      <c r="L659" s="255"/>
      <c r="N659" s="293"/>
      <c r="P659" s="41"/>
    </row>
    <row r="660" spans="2:16" ht="16.5" customHeight="1" x14ac:dyDescent="0.35">
      <c r="B660" s="253"/>
      <c r="D660" s="255"/>
      <c r="F660" s="303"/>
      <c r="H660" s="41"/>
      <c r="J660" s="253"/>
      <c r="L660" s="255"/>
      <c r="N660" s="293"/>
      <c r="P660" s="41"/>
    </row>
    <row r="661" spans="2:16" ht="16.5" customHeight="1" x14ac:dyDescent="0.35">
      <c r="B661" s="253"/>
      <c r="D661" s="255"/>
      <c r="F661" s="303"/>
      <c r="H661" s="41"/>
      <c r="J661" s="253"/>
      <c r="L661" s="255"/>
      <c r="N661" s="293"/>
      <c r="P661" s="41"/>
    </row>
    <row r="662" spans="2:16" ht="16.5" customHeight="1" x14ac:dyDescent="0.35">
      <c r="B662" s="253"/>
      <c r="D662" s="255"/>
      <c r="F662" s="303"/>
      <c r="H662" s="41"/>
      <c r="J662" s="253"/>
      <c r="L662" s="255"/>
      <c r="N662" s="293"/>
      <c r="P662" s="41"/>
    </row>
    <row r="663" spans="2:16" ht="16.5" customHeight="1" x14ac:dyDescent="0.35">
      <c r="B663" s="253"/>
      <c r="D663" s="255"/>
      <c r="F663" s="303"/>
      <c r="H663" s="41"/>
      <c r="J663" s="253"/>
      <c r="L663" s="255"/>
      <c r="N663" s="293"/>
      <c r="P663" s="41"/>
    </row>
    <row r="664" spans="2:16" ht="16.5" customHeight="1" x14ac:dyDescent="0.35">
      <c r="B664" s="253"/>
      <c r="D664" s="255"/>
      <c r="F664" s="303"/>
      <c r="H664" s="41"/>
      <c r="J664" s="253"/>
      <c r="L664" s="255"/>
      <c r="N664" s="293"/>
      <c r="P664" s="41"/>
    </row>
    <row r="665" spans="2:16" ht="16.5" customHeight="1" x14ac:dyDescent="0.35">
      <c r="B665" s="253"/>
      <c r="D665" s="255"/>
      <c r="F665" s="303"/>
      <c r="H665" s="41"/>
      <c r="J665" s="253"/>
      <c r="L665" s="255"/>
      <c r="N665" s="293"/>
      <c r="P665" s="41"/>
    </row>
    <row r="666" spans="2:16" ht="16.5" customHeight="1" x14ac:dyDescent="0.35">
      <c r="B666" s="253"/>
      <c r="D666" s="255"/>
      <c r="F666" s="303"/>
      <c r="H666" s="41"/>
      <c r="J666" s="253"/>
      <c r="L666" s="255"/>
      <c r="N666" s="293"/>
      <c r="P666" s="41"/>
    </row>
    <row r="667" spans="2:16" ht="16.5" customHeight="1" x14ac:dyDescent="0.35">
      <c r="B667" s="253"/>
      <c r="D667" s="255"/>
      <c r="F667" s="303"/>
      <c r="H667" s="41"/>
      <c r="J667" s="253"/>
      <c r="L667" s="255"/>
      <c r="N667" s="293"/>
      <c r="P667" s="41"/>
    </row>
    <row r="668" spans="2:16" ht="16.5" customHeight="1" x14ac:dyDescent="0.35">
      <c r="B668" s="253"/>
      <c r="D668" s="255"/>
      <c r="F668" s="303"/>
      <c r="H668" s="41"/>
      <c r="J668" s="253"/>
      <c r="L668" s="255"/>
      <c r="N668" s="293"/>
      <c r="P668" s="41"/>
    </row>
    <row r="669" spans="2:16" ht="16.5" customHeight="1" x14ac:dyDescent="0.35">
      <c r="B669" s="253"/>
      <c r="D669" s="255"/>
      <c r="F669" s="303"/>
      <c r="H669" s="41"/>
      <c r="J669" s="253"/>
      <c r="L669" s="255"/>
      <c r="N669" s="293"/>
      <c r="P669" s="41"/>
    </row>
    <row r="670" spans="2:16" ht="16.5" customHeight="1" x14ac:dyDescent="0.35">
      <c r="B670" s="253"/>
      <c r="D670" s="255"/>
      <c r="F670" s="303"/>
      <c r="H670" s="41"/>
      <c r="J670" s="253"/>
      <c r="L670" s="255"/>
      <c r="N670" s="293"/>
      <c r="P670" s="41"/>
    </row>
    <row r="671" spans="2:16" ht="16.5" customHeight="1" x14ac:dyDescent="0.35">
      <c r="B671" s="253"/>
      <c r="D671" s="255"/>
      <c r="F671" s="303"/>
      <c r="H671" s="41"/>
      <c r="J671" s="253"/>
      <c r="L671" s="255"/>
      <c r="N671" s="293"/>
      <c r="P671" s="41"/>
    </row>
    <row r="672" spans="2:16" ht="16.5" customHeight="1" x14ac:dyDescent="0.35">
      <c r="B672" s="253"/>
      <c r="D672" s="255"/>
      <c r="F672" s="303"/>
      <c r="H672" s="41"/>
      <c r="J672" s="253"/>
      <c r="L672" s="255"/>
      <c r="N672" s="293"/>
      <c r="P672" s="41"/>
    </row>
    <row r="673" spans="2:16" ht="16.5" customHeight="1" x14ac:dyDescent="0.35">
      <c r="B673" s="253"/>
      <c r="D673" s="255"/>
      <c r="F673" s="303"/>
      <c r="H673" s="41"/>
      <c r="J673" s="253"/>
      <c r="L673" s="255"/>
      <c r="N673" s="293"/>
      <c r="P673" s="41"/>
    </row>
    <row r="674" spans="2:16" ht="16.5" customHeight="1" x14ac:dyDescent="0.35">
      <c r="B674" s="253"/>
      <c r="D674" s="255"/>
      <c r="F674" s="303"/>
      <c r="H674" s="41"/>
      <c r="J674" s="253"/>
      <c r="L674" s="255"/>
      <c r="N674" s="293"/>
      <c r="P674" s="41"/>
    </row>
    <row r="675" spans="2:16" ht="16.5" customHeight="1" x14ac:dyDescent="0.35">
      <c r="B675" s="253"/>
      <c r="D675" s="255"/>
      <c r="F675" s="303"/>
      <c r="H675" s="41"/>
      <c r="J675" s="253"/>
      <c r="L675" s="255"/>
      <c r="N675" s="293"/>
      <c r="P675" s="41"/>
    </row>
    <row r="676" spans="2:16" ht="16.5" customHeight="1" x14ac:dyDescent="0.35">
      <c r="B676" s="253"/>
      <c r="D676" s="255"/>
      <c r="F676" s="303"/>
      <c r="H676" s="41"/>
      <c r="J676" s="253"/>
      <c r="L676" s="255"/>
      <c r="N676" s="293"/>
      <c r="P676" s="41"/>
    </row>
    <row r="677" spans="2:16" ht="16.5" customHeight="1" x14ac:dyDescent="0.35">
      <c r="B677" s="253"/>
      <c r="D677" s="255"/>
      <c r="F677" s="303"/>
      <c r="H677" s="41"/>
      <c r="J677" s="253"/>
      <c r="L677" s="255"/>
      <c r="N677" s="293"/>
      <c r="P677" s="41"/>
    </row>
    <row r="678" spans="2:16" ht="16.5" customHeight="1" x14ac:dyDescent="0.35">
      <c r="B678" s="253"/>
      <c r="D678" s="255"/>
      <c r="F678" s="303"/>
      <c r="H678" s="41"/>
      <c r="J678" s="253"/>
      <c r="L678" s="255"/>
      <c r="N678" s="293"/>
      <c r="P678" s="41"/>
    </row>
    <row r="679" spans="2:16" ht="16.5" customHeight="1" x14ac:dyDescent="0.35">
      <c r="B679" s="253"/>
      <c r="D679" s="255"/>
      <c r="F679" s="303"/>
      <c r="H679" s="41"/>
      <c r="J679" s="253"/>
      <c r="L679" s="255"/>
      <c r="N679" s="293"/>
      <c r="P679" s="41"/>
    </row>
    <row r="680" spans="2:16" ht="16.5" customHeight="1" x14ac:dyDescent="0.35">
      <c r="B680" s="253"/>
      <c r="D680" s="255"/>
      <c r="F680" s="303"/>
      <c r="H680" s="41"/>
      <c r="J680" s="253"/>
      <c r="L680" s="255"/>
      <c r="N680" s="293"/>
      <c r="P680" s="41"/>
    </row>
    <row r="681" spans="2:16" ht="16.5" customHeight="1" x14ac:dyDescent="0.35">
      <c r="B681" s="253"/>
      <c r="D681" s="255"/>
      <c r="F681" s="303"/>
      <c r="H681" s="41"/>
      <c r="J681" s="253"/>
      <c r="L681" s="255"/>
      <c r="N681" s="293"/>
      <c r="P681" s="41"/>
    </row>
    <row r="682" spans="2:16" ht="16.5" customHeight="1" x14ac:dyDescent="0.35">
      <c r="B682" s="253"/>
      <c r="D682" s="255"/>
      <c r="F682" s="303"/>
      <c r="H682" s="41"/>
      <c r="J682" s="253"/>
      <c r="L682" s="255"/>
      <c r="N682" s="293"/>
      <c r="P682" s="41"/>
    </row>
    <row r="683" spans="2:16" ht="16.5" customHeight="1" x14ac:dyDescent="0.35">
      <c r="B683" s="253"/>
      <c r="D683" s="255"/>
      <c r="F683" s="303"/>
      <c r="H683" s="41"/>
      <c r="J683" s="253"/>
      <c r="L683" s="255"/>
      <c r="N683" s="293"/>
      <c r="P683" s="41"/>
    </row>
    <row r="684" spans="2:16" ht="16.5" customHeight="1" x14ac:dyDescent="0.35">
      <c r="B684" s="253"/>
      <c r="D684" s="255"/>
      <c r="F684" s="303"/>
      <c r="H684" s="41"/>
      <c r="J684" s="253"/>
      <c r="L684" s="255"/>
      <c r="N684" s="293"/>
      <c r="P684" s="41"/>
    </row>
    <row r="685" spans="2:16" ht="16.5" customHeight="1" x14ac:dyDescent="0.35">
      <c r="B685" s="253"/>
      <c r="D685" s="255"/>
      <c r="F685" s="303"/>
      <c r="H685" s="41"/>
      <c r="J685" s="253"/>
      <c r="L685" s="255"/>
      <c r="N685" s="293"/>
      <c r="P685" s="41"/>
    </row>
    <row r="686" spans="2:16" ht="16.5" customHeight="1" x14ac:dyDescent="0.35">
      <c r="B686" s="253"/>
      <c r="D686" s="255"/>
      <c r="F686" s="303"/>
      <c r="H686" s="41"/>
      <c r="J686" s="253"/>
      <c r="L686" s="255"/>
      <c r="N686" s="293"/>
      <c r="P686" s="41"/>
    </row>
    <row r="687" spans="2:16" ht="16.5" customHeight="1" x14ac:dyDescent="0.35">
      <c r="B687" s="253"/>
      <c r="D687" s="255"/>
      <c r="F687" s="303"/>
      <c r="H687" s="41"/>
      <c r="J687" s="253"/>
      <c r="L687" s="255"/>
      <c r="N687" s="293"/>
      <c r="P687" s="41"/>
    </row>
    <row r="688" spans="2:16" ht="16.5" customHeight="1" x14ac:dyDescent="0.35">
      <c r="B688" s="253"/>
      <c r="D688" s="255"/>
      <c r="F688" s="303"/>
      <c r="H688" s="41"/>
      <c r="J688" s="253"/>
      <c r="L688" s="255"/>
      <c r="N688" s="293"/>
      <c r="P688" s="41"/>
    </row>
    <row r="689" spans="2:16" ht="16.5" customHeight="1" x14ac:dyDescent="0.35">
      <c r="B689" s="253"/>
      <c r="D689" s="255"/>
      <c r="F689" s="303"/>
      <c r="H689" s="41"/>
      <c r="J689" s="253"/>
      <c r="L689" s="255"/>
      <c r="N689" s="293"/>
      <c r="P689" s="41"/>
    </row>
    <row r="690" spans="2:16" ht="16.5" customHeight="1" x14ac:dyDescent="0.35">
      <c r="B690" s="253"/>
      <c r="D690" s="255"/>
      <c r="F690" s="303"/>
      <c r="H690" s="41"/>
      <c r="J690" s="253"/>
      <c r="L690" s="255"/>
      <c r="N690" s="293"/>
      <c r="P690" s="41"/>
    </row>
    <row r="691" spans="2:16" ht="16.5" customHeight="1" x14ac:dyDescent="0.35">
      <c r="B691" s="253"/>
      <c r="D691" s="255"/>
      <c r="F691" s="303"/>
      <c r="H691" s="41"/>
      <c r="J691" s="253"/>
      <c r="L691" s="255"/>
      <c r="N691" s="293"/>
      <c r="P691" s="41"/>
    </row>
    <row r="692" spans="2:16" ht="16.5" customHeight="1" x14ac:dyDescent="0.35">
      <c r="B692" s="253"/>
      <c r="D692" s="255"/>
      <c r="F692" s="303"/>
      <c r="H692" s="41"/>
      <c r="J692" s="253"/>
      <c r="L692" s="255"/>
      <c r="N692" s="293"/>
      <c r="P692" s="41"/>
    </row>
    <row r="693" spans="2:16" ht="16.5" customHeight="1" x14ac:dyDescent="0.35">
      <c r="B693" s="253"/>
      <c r="D693" s="255"/>
      <c r="F693" s="303"/>
      <c r="H693" s="41"/>
      <c r="J693" s="253"/>
      <c r="L693" s="255"/>
      <c r="N693" s="293"/>
      <c r="P693" s="41"/>
    </row>
    <row r="694" spans="2:16" ht="16.5" customHeight="1" x14ac:dyDescent="0.35">
      <c r="B694" s="253"/>
      <c r="D694" s="255"/>
      <c r="F694" s="303"/>
      <c r="H694" s="41"/>
      <c r="J694" s="253"/>
      <c r="L694" s="255"/>
      <c r="N694" s="293"/>
      <c r="P694" s="41"/>
    </row>
    <row r="695" spans="2:16" ht="16.5" customHeight="1" x14ac:dyDescent="0.35">
      <c r="B695" s="253"/>
      <c r="D695" s="255"/>
      <c r="F695" s="303"/>
      <c r="H695" s="41"/>
      <c r="J695" s="253"/>
      <c r="L695" s="255"/>
      <c r="N695" s="293"/>
      <c r="P695" s="41"/>
    </row>
    <row r="696" spans="2:16" ht="16.5" customHeight="1" x14ac:dyDescent="0.35">
      <c r="B696" s="253"/>
      <c r="D696" s="255"/>
      <c r="F696" s="303"/>
      <c r="H696" s="41"/>
      <c r="J696" s="253"/>
      <c r="L696" s="255"/>
      <c r="N696" s="293"/>
      <c r="P696" s="41"/>
    </row>
    <row r="697" spans="2:16" ht="16.5" customHeight="1" x14ac:dyDescent="0.35">
      <c r="B697" s="253"/>
      <c r="D697" s="255"/>
      <c r="F697" s="303"/>
      <c r="H697" s="41"/>
      <c r="J697" s="253"/>
      <c r="L697" s="255"/>
      <c r="N697" s="293"/>
      <c r="P697" s="41"/>
    </row>
    <row r="698" spans="2:16" ht="16.5" customHeight="1" x14ac:dyDescent="0.35">
      <c r="B698" s="253"/>
      <c r="D698" s="255"/>
      <c r="F698" s="303"/>
      <c r="H698" s="41"/>
      <c r="J698" s="253"/>
      <c r="L698" s="255"/>
      <c r="N698" s="293"/>
      <c r="P698" s="41"/>
    </row>
    <row r="699" spans="2:16" ht="16.5" customHeight="1" x14ac:dyDescent="0.35">
      <c r="B699" s="253"/>
      <c r="D699" s="255"/>
      <c r="F699" s="303"/>
      <c r="H699" s="41"/>
      <c r="J699" s="253"/>
      <c r="L699" s="255"/>
      <c r="N699" s="293"/>
      <c r="P699" s="41"/>
    </row>
    <row r="700" spans="2:16" ht="16.5" customHeight="1" x14ac:dyDescent="0.35">
      <c r="B700" s="253"/>
      <c r="D700" s="255"/>
      <c r="F700" s="303"/>
      <c r="H700" s="41"/>
      <c r="J700" s="253"/>
      <c r="L700" s="255"/>
      <c r="N700" s="293"/>
      <c r="P700" s="41"/>
    </row>
    <row r="701" spans="2:16" ht="16.5" customHeight="1" x14ac:dyDescent="0.35">
      <c r="B701" s="253"/>
      <c r="D701" s="255"/>
      <c r="F701" s="303"/>
      <c r="H701" s="41"/>
      <c r="J701" s="253"/>
      <c r="L701" s="255"/>
      <c r="N701" s="293"/>
      <c r="P701" s="41"/>
    </row>
    <row r="702" spans="2:16" ht="16.5" customHeight="1" x14ac:dyDescent="0.35">
      <c r="B702" s="253"/>
      <c r="D702" s="255"/>
      <c r="F702" s="303"/>
      <c r="H702" s="41"/>
      <c r="J702" s="253"/>
      <c r="L702" s="255"/>
      <c r="N702" s="293"/>
      <c r="P702" s="41"/>
    </row>
    <row r="703" spans="2:16" ht="16.5" customHeight="1" x14ac:dyDescent="0.35">
      <c r="B703" s="253"/>
      <c r="D703" s="255"/>
      <c r="F703" s="303"/>
      <c r="H703" s="41"/>
      <c r="J703" s="253"/>
      <c r="L703" s="255"/>
      <c r="N703" s="293"/>
      <c r="P703" s="41"/>
    </row>
    <row r="704" spans="2:16" ht="16.5" customHeight="1" x14ac:dyDescent="0.35">
      <c r="B704" s="253"/>
      <c r="D704" s="255"/>
      <c r="F704" s="303"/>
      <c r="H704" s="41"/>
      <c r="J704" s="253"/>
      <c r="L704" s="255"/>
      <c r="N704" s="293"/>
      <c r="P704" s="41"/>
    </row>
    <row r="705" spans="2:16" ht="16.5" customHeight="1" x14ac:dyDescent="0.35">
      <c r="B705" s="253"/>
      <c r="D705" s="255"/>
      <c r="F705" s="303"/>
      <c r="H705" s="41"/>
      <c r="J705" s="253"/>
      <c r="L705" s="255"/>
      <c r="N705" s="293"/>
      <c r="P705" s="41"/>
    </row>
    <row r="706" spans="2:16" ht="16.5" customHeight="1" x14ac:dyDescent="0.35">
      <c r="B706" s="253"/>
      <c r="D706" s="255"/>
      <c r="F706" s="303"/>
      <c r="H706" s="41"/>
      <c r="J706" s="253"/>
      <c r="L706" s="255"/>
      <c r="N706" s="293"/>
      <c r="P706" s="41"/>
    </row>
    <row r="707" spans="2:16" ht="16.5" customHeight="1" x14ac:dyDescent="0.35">
      <c r="B707" s="253"/>
      <c r="D707" s="255"/>
      <c r="F707" s="303"/>
      <c r="H707" s="41"/>
      <c r="J707" s="253"/>
      <c r="L707" s="255"/>
      <c r="N707" s="293"/>
      <c r="P707" s="41"/>
    </row>
    <row r="708" spans="2:16" ht="16.5" customHeight="1" x14ac:dyDescent="0.35">
      <c r="B708" s="253"/>
      <c r="D708" s="255"/>
      <c r="F708" s="303"/>
      <c r="H708" s="41"/>
      <c r="J708" s="253"/>
      <c r="L708" s="255"/>
      <c r="N708" s="293"/>
      <c r="P708" s="41"/>
    </row>
    <row r="709" spans="2:16" ht="16.5" customHeight="1" x14ac:dyDescent="0.35">
      <c r="B709" s="253"/>
      <c r="D709" s="255"/>
      <c r="F709" s="303"/>
      <c r="H709" s="41"/>
      <c r="J709" s="253"/>
      <c r="L709" s="255"/>
      <c r="N709" s="293"/>
      <c r="P709" s="41"/>
    </row>
    <row r="710" spans="2:16" ht="16.5" customHeight="1" x14ac:dyDescent="0.35">
      <c r="B710" s="253"/>
      <c r="D710" s="255"/>
      <c r="F710" s="303"/>
      <c r="H710" s="41"/>
      <c r="J710" s="253"/>
      <c r="L710" s="255"/>
      <c r="N710" s="293"/>
      <c r="P710" s="41"/>
    </row>
    <row r="711" spans="2:16" ht="16.5" customHeight="1" x14ac:dyDescent="0.35">
      <c r="B711" s="253"/>
      <c r="D711" s="255"/>
      <c r="F711" s="303"/>
      <c r="H711" s="41"/>
      <c r="J711" s="253"/>
      <c r="L711" s="255"/>
      <c r="N711" s="293"/>
      <c r="P711" s="41"/>
    </row>
    <row r="712" spans="2:16" ht="16.5" customHeight="1" x14ac:dyDescent="0.35">
      <c r="B712" s="253"/>
      <c r="D712" s="255"/>
      <c r="F712" s="303"/>
      <c r="H712" s="41"/>
      <c r="J712" s="253"/>
      <c r="L712" s="255"/>
      <c r="N712" s="293"/>
      <c r="P712" s="41"/>
    </row>
    <row r="713" spans="2:16" ht="16.5" customHeight="1" x14ac:dyDescent="0.35">
      <c r="B713" s="253"/>
      <c r="D713" s="255"/>
      <c r="F713" s="303"/>
      <c r="H713" s="41"/>
      <c r="J713" s="253"/>
      <c r="L713" s="255"/>
      <c r="N713" s="293"/>
      <c r="P713" s="41"/>
    </row>
    <row r="714" spans="2:16" ht="16.5" customHeight="1" x14ac:dyDescent="0.35">
      <c r="B714" s="253"/>
      <c r="D714" s="255"/>
      <c r="F714" s="303"/>
      <c r="H714" s="41"/>
      <c r="J714" s="253"/>
      <c r="L714" s="255"/>
      <c r="N714" s="293"/>
      <c r="P714" s="41"/>
    </row>
    <row r="715" spans="2:16" ht="16.5" customHeight="1" x14ac:dyDescent="0.35">
      <c r="B715" s="253"/>
      <c r="D715" s="255"/>
      <c r="F715" s="303"/>
      <c r="H715" s="41"/>
      <c r="J715" s="253"/>
      <c r="L715" s="255"/>
      <c r="N715" s="293"/>
      <c r="P715" s="41"/>
    </row>
    <row r="716" spans="2:16" ht="16.5" customHeight="1" x14ac:dyDescent="0.35">
      <c r="B716" s="253"/>
      <c r="D716" s="255"/>
      <c r="F716" s="303"/>
      <c r="H716" s="41"/>
      <c r="J716" s="253"/>
      <c r="L716" s="255"/>
      <c r="N716" s="293"/>
      <c r="P716" s="41"/>
    </row>
    <row r="717" spans="2:16" ht="16.5" customHeight="1" x14ac:dyDescent="0.35">
      <c r="B717" s="253"/>
      <c r="D717" s="255"/>
      <c r="F717" s="303"/>
      <c r="H717" s="41"/>
      <c r="J717" s="253"/>
      <c r="L717" s="255"/>
      <c r="N717" s="293"/>
      <c r="P717" s="41"/>
    </row>
    <row r="718" spans="2:16" ht="16.5" customHeight="1" x14ac:dyDescent="0.35">
      <c r="B718" s="253"/>
      <c r="D718" s="255"/>
      <c r="F718" s="303"/>
      <c r="H718" s="41"/>
      <c r="J718" s="253"/>
      <c r="L718" s="255"/>
      <c r="N718" s="293"/>
      <c r="P718" s="41"/>
    </row>
    <row r="719" spans="2:16" ht="16.5" customHeight="1" x14ac:dyDescent="0.35">
      <c r="B719" s="253"/>
      <c r="D719" s="255"/>
      <c r="F719" s="303"/>
      <c r="H719" s="41"/>
      <c r="J719" s="253"/>
      <c r="L719" s="255"/>
      <c r="N719" s="293"/>
      <c r="P719" s="41"/>
    </row>
    <row r="720" spans="2:16" ht="16.5" customHeight="1" x14ac:dyDescent="0.35">
      <c r="B720" s="253"/>
      <c r="D720" s="255"/>
      <c r="F720" s="303"/>
      <c r="H720" s="41"/>
      <c r="J720" s="253"/>
      <c r="L720" s="255"/>
      <c r="N720" s="293"/>
      <c r="P720" s="41"/>
    </row>
    <row r="721" spans="2:16" ht="16.5" customHeight="1" x14ac:dyDescent="0.35">
      <c r="B721" s="253"/>
      <c r="D721" s="255"/>
      <c r="F721" s="303"/>
      <c r="H721" s="41"/>
      <c r="J721" s="253"/>
      <c r="L721" s="255"/>
      <c r="N721" s="293"/>
      <c r="P721" s="41"/>
    </row>
    <row r="722" spans="2:16" ht="16.5" customHeight="1" x14ac:dyDescent="0.35">
      <c r="B722" s="253"/>
      <c r="D722" s="255"/>
      <c r="F722" s="303"/>
      <c r="H722" s="41"/>
      <c r="J722" s="253"/>
      <c r="L722" s="255"/>
      <c r="N722" s="293"/>
      <c r="P722" s="41"/>
    </row>
    <row r="723" spans="2:16" ht="16.5" customHeight="1" x14ac:dyDescent="0.35">
      <c r="B723" s="253"/>
      <c r="D723" s="255"/>
      <c r="F723" s="303"/>
      <c r="H723" s="41"/>
      <c r="J723" s="253"/>
      <c r="L723" s="255"/>
      <c r="N723" s="293"/>
      <c r="P723" s="41"/>
    </row>
    <row r="724" spans="2:16" ht="16.5" customHeight="1" x14ac:dyDescent="0.35">
      <c r="B724" s="253"/>
      <c r="D724" s="255"/>
      <c r="F724" s="303"/>
      <c r="H724" s="41"/>
      <c r="J724" s="253"/>
      <c r="L724" s="255"/>
      <c r="N724" s="293"/>
      <c r="P724" s="41"/>
    </row>
    <row r="725" spans="2:16" ht="16.5" customHeight="1" x14ac:dyDescent="0.35">
      <c r="B725" s="253"/>
      <c r="D725" s="255"/>
      <c r="F725" s="303"/>
      <c r="H725" s="41"/>
      <c r="J725" s="253"/>
      <c r="L725" s="255"/>
      <c r="N725" s="293"/>
      <c r="P725" s="41"/>
    </row>
    <row r="726" spans="2:16" ht="16.5" customHeight="1" x14ac:dyDescent="0.35">
      <c r="B726" s="253"/>
      <c r="D726" s="255"/>
      <c r="F726" s="303"/>
      <c r="H726" s="41"/>
      <c r="J726" s="253"/>
      <c r="L726" s="255"/>
      <c r="N726" s="293"/>
      <c r="P726" s="41"/>
    </row>
    <row r="727" spans="2:16" ht="16.5" customHeight="1" x14ac:dyDescent="0.35">
      <c r="B727" s="253"/>
      <c r="D727" s="255"/>
      <c r="F727" s="303"/>
      <c r="H727" s="41"/>
      <c r="J727" s="253"/>
      <c r="L727" s="255"/>
      <c r="N727" s="293"/>
      <c r="P727" s="41"/>
    </row>
    <row r="728" spans="2:16" ht="16.5" customHeight="1" x14ac:dyDescent="0.35">
      <c r="B728" s="253"/>
      <c r="D728" s="255"/>
      <c r="F728" s="303"/>
      <c r="H728" s="41"/>
      <c r="J728" s="253"/>
      <c r="L728" s="255"/>
      <c r="N728" s="293"/>
      <c r="P728" s="41"/>
    </row>
    <row r="729" spans="2:16" ht="16.5" customHeight="1" x14ac:dyDescent="0.35">
      <c r="B729" s="253"/>
      <c r="D729" s="255"/>
      <c r="F729" s="303"/>
      <c r="H729" s="41"/>
      <c r="J729" s="253"/>
      <c r="L729" s="255"/>
      <c r="N729" s="293"/>
      <c r="P729" s="41"/>
    </row>
    <row r="730" spans="2:16" ht="16.5" customHeight="1" x14ac:dyDescent="0.35">
      <c r="B730" s="253"/>
      <c r="D730" s="255"/>
      <c r="F730" s="303"/>
      <c r="H730" s="41"/>
      <c r="J730" s="253"/>
      <c r="L730" s="255"/>
      <c r="N730" s="293"/>
      <c r="P730" s="41"/>
    </row>
    <row r="731" spans="2:16" ht="16.5" customHeight="1" x14ac:dyDescent="0.35">
      <c r="B731" s="253"/>
      <c r="D731" s="255"/>
      <c r="F731" s="303"/>
      <c r="H731" s="41"/>
      <c r="J731" s="253"/>
      <c r="L731" s="255"/>
      <c r="N731" s="293"/>
      <c r="P731" s="41"/>
    </row>
    <row r="732" spans="2:16" ht="16.5" customHeight="1" x14ac:dyDescent="0.35">
      <c r="B732" s="253"/>
      <c r="D732" s="255"/>
      <c r="F732" s="303"/>
      <c r="H732" s="41"/>
      <c r="J732" s="253"/>
      <c r="L732" s="255"/>
      <c r="N732" s="293"/>
      <c r="P732" s="41"/>
    </row>
    <row r="733" spans="2:16" ht="16.5" customHeight="1" x14ac:dyDescent="0.35">
      <c r="B733" s="253"/>
      <c r="D733" s="255"/>
      <c r="F733" s="303"/>
      <c r="H733" s="41"/>
      <c r="J733" s="253"/>
      <c r="L733" s="255"/>
      <c r="N733" s="293"/>
      <c r="P733" s="41"/>
    </row>
    <row r="734" spans="2:16" ht="16.5" customHeight="1" x14ac:dyDescent="0.35">
      <c r="B734" s="253"/>
      <c r="D734" s="255"/>
      <c r="F734" s="303"/>
      <c r="H734" s="41"/>
      <c r="J734" s="253"/>
      <c r="L734" s="255"/>
      <c r="N734" s="293"/>
      <c r="P734" s="41"/>
    </row>
    <row r="735" spans="2:16" ht="16.5" customHeight="1" x14ac:dyDescent="0.35">
      <c r="B735" s="253"/>
      <c r="D735" s="255"/>
      <c r="F735" s="303"/>
      <c r="H735" s="41"/>
      <c r="J735" s="253"/>
      <c r="L735" s="255"/>
      <c r="N735" s="293"/>
      <c r="P735" s="41"/>
    </row>
    <row r="736" spans="2:16" ht="16.5" customHeight="1" x14ac:dyDescent="0.35">
      <c r="B736" s="253"/>
      <c r="D736" s="255"/>
      <c r="F736" s="303"/>
      <c r="H736" s="41"/>
      <c r="J736" s="253"/>
      <c r="L736" s="255"/>
      <c r="N736" s="293"/>
      <c r="P736" s="41"/>
    </row>
    <row r="737" spans="2:16" ht="16.5" customHeight="1" x14ac:dyDescent="0.35">
      <c r="B737" s="253"/>
      <c r="D737" s="255"/>
      <c r="F737" s="303"/>
      <c r="H737" s="41"/>
      <c r="J737" s="253"/>
      <c r="L737" s="255"/>
      <c r="N737" s="293"/>
      <c r="P737" s="41"/>
    </row>
    <row r="738" spans="2:16" ht="16.5" customHeight="1" x14ac:dyDescent="0.35">
      <c r="B738" s="253"/>
      <c r="D738" s="255"/>
      <c r="F738" s="303"/>
      <c r="H738" s="41"/>
      <c r="J738" s="253"/>
      <c r="L738" s="255"/>
      <c r="N738" s="293"/>
      <c r="P738" s="41"/>
    </row>
    <row r="739" spans="2:16" ht="16.5" customHeight="1" x14ac:dyDescent="0.35">
      <c r="B739" s="253"/>
      <c r="D739" s="255"/>
      <c r="F739" s="303"/>
      <c r="H739" s="41"/>
      <c r="J739" s="253"/>
      <c r="L739" s="255"/>
      <c r="N739" s="293"/>
      <c r="P739" s="41"/>
    </row>
    <row r="740" spans="2:16" ht="16.5" customHeight="1" x14ac:dyDescent="0.35">
      <c r="B740" s="253"/>
      <c r="D740" s="255"/>
      <c r="F740" s="303"/>
      <c r="H740" s="41"/>
      <c r="J740" s="253"/>
      <c r="L740" s="255"/>
      <c r="N740" s="293"/>
      <c r="P740" s="41"/>
    </row>
    <row r="741" spans="2:16" ht="16.5" customHeight="1" x14ac:dyDescent="0.35">
      <c r="B741" s="253"/>
      <c r="D741" s="255"/>
      <c r="F741" s="303"/>
      <c r="H741" s="41"/>
      <c r="J741" s="253"/>
      <c r="L741" s="255"/>
      <c r="N741" s="293"/>
      <c r="P741" s="41"/>
    </row>
    <row r="742" spans="2:16" ht="16.5" customHeight="1" x14ac:dyDescent="0.35">
      <c r="B742" s="253"/>
      <c r="D742" s="255"/>
      <c r="F742" s="303"/>
      <c r="H742" s="41"/>
      <c r="J742" s="253"/>
      <c r="L742" s="255"/>
      <c r="N742" s="293"/>
      <c r="P742" s="41"/>
    </row>
    <row r="743" spans="2:16" ht="16.5" customHeight="1" x14ac:dyDescent="0.35">
      <c r="B743" s="253"/>
      <c r="D743" s="255"/>
      <c r="F743" s="303"/>
      <c r="H743" s="41"/>
      <c r="J743" s="253"/>
      <c r="L743" s="255"/>
      <c r="N743" s="293"/>
      <c r="P743" s="41"/>
    </row>
    <row r="744" spans="2:16" ht="16.5" customHeight="1" x14ac:dyDescent="0.35">
      <c r="B744" s="253"/>
      <c r="D744" s="255"/>
      <c r="F744" s="303"/>
      <c r="H744" s="41"/>
      <c r="J744" s="253"/>
      <c r="L744" s="255"/>
      <c r="N744" s="293"/>
      <c r="P744" s="41"/>
    </row>
    <row r="745" spans="2:16" ht="16.5" customHeight="1" x14ac:dyDescent="0.35">
      <c r="B745" s="253"/>
      <c r="D745" s="255"/>
      <c r="F745" s="303"/>
      <c r="H745" s="41"/>
      <c r="J745" s="253"/>
      <c r="L745" s="255"/>
      <c r="N745" s="293"/>
      <c r="P745" s="41"/>
    </row>
    <row r="746" spans="2:16" ht="16.5" customHeight="1" x14ac:dyDescent="0.35">
      <c r="B746" s="253"/>
      <c r="D746" s="255"/>
      <c r="F746" s="303"/>
      <c r="H746" s="41"/>
      <c r="J746" s="253"/>
      <c r="L746" s="255"/>
      <c r="N746" s="293"/>
      <c r="P746" s="41"/>
    </row>
    <row r="747" spans="2:16" ht="16.5" customHeight="1" x14ac:dyDescent="0.35">
      <c r="B747" s="253"/>
      <c r="D747" s="255"/>
      <c r="F747" s="303"/>
      <c r="H747" s="41"/>
      <c r="J747" s="253"/>
      <c r="L747" s="255"/>
      <c r="N747" s="293"/>
      <c r="P747" s="41"/>
    </row>
    <row r="748" spans="2:16" ht="16.5" customHeight="1" x14ac:dyDescent="0.35">
      <c r="B748" s="253"/>
      <c r="D748" s="255"/>
      <c r="F748" s="303"/>
      <c r="H748" s="41"/>
      <c r="J748" s="253"/>
      <c r="L748" s="255"/>
      <c r="N748" s="293"/>
      <c r="P748" s="41"/>
    </row>
    <row r="749" spans="2:16" ht="16.5" customHeight="1" x14ac:dyDescent="0.35">
      <c r="B749" s="253"/>
      <c r="D749" s="255"/>
      <c r="F749" s="303"/>
      <c r="H749" s="41"/>
      <c r="J749" s="253"/>
      <c r="L749" s="255"/>
      <c r="N749" s="293"/>
      <c r="P749" s="41"/>
    </row>
    <row r="750" spans="2:16" ht="16.5" customHeight="1" x14ac:dyDescent="0.35">
      <c r="B750" s="253"/>
      <c r="D750" s="255"/>
      <c r="F750" s="303"/>
      <c r="H750" s="41"/>
      <c r="J750" s="253"/>
      <c r="L750" s="255"/>
      <c r="N750" s="293"/>
      <c r="P750" s="41"/>
    </row>
    <row r="751" spans="2:16" ht="16.5" customHeight="1" x14ac:dyDescent="0.35">
      <c r="B751" s="253"/>
      <c r="D751" s="255"/>
      <c r="F751" s="303"/>
      <c r="H751" s="41"/>
      <c r="J751" s="253"/>
      <c r="L751" s="255"/>
      <c r="N751" s="293"/>
      <c r="P751" s="41"/>
    </row>
    <row r="752" spans="2:16" ht="16.5" customHeight="1" x14ac:dyDescent="0.35">
      <c r="B752" s="253"/>
      <c r="D752" s="255"/>
      <c r="F752" s="303"/>
      <c r="H752" s="41"/>
      <c r="J752" s="253"/>
      <c r="L752" s="255"/>
      <c r="N752" s="293"/>
      <c r="P752" s="41"/>
    </row>
    <row r="753" spans="2:16" ht="16.5" customHeight="1" x14ac:dyDescent="0.35">
      <c r="B753" s="253"/>
      <c r="D753" s="255"/>
      <c r="F753" s="303"/>
      <c r="H753" s="41"/>
      <c r="J753" s="253"/>
      <c r="L753" s="255"/>
      <c r="N753" s="293"/>
      <c r="P753" s="41"/>
    </row>
    <row r="754" spans="2:16" ht="16.5" customHeight="1" x14ac:dyDescent="0.35">
      <c r="B754" s="253"/>
      <c r="D754" s="255"/>
      <c r="F754" s="303"/>
      <c r="H754" s="41"/>
      <c r="J754" s="253"/>
      <c r="L754" s="255"/>
      <c r="N754" s="293"/>
      <c r="P754" s="41"/>
    </row>
    <row r="755" spans="2:16" ht="16.5" customHeight="1" x14ac:dyDescent="0.35">
      <c r="B755" s="253"/>
      <c r="D755" s="255"/>
      <c r="F755" s="303"/>
      <c r="H755" s="41"/>
      <c r="J755" s="253"/>
      <c r="L755" s="255"/>
      <c r="N755" s="293"/>
      <c r="P755" s="41"/>
    </row>
    <row r="756" spans="2:16" ht="16.5" customHeight="1" x14ac:dyDescent="0.35">
      <c r="B756" s="253"/>
      <c r="D756" s="255"/>
      <c r="F756" s="303"/>
      <c r="H756" s="41"/>
      <c r="J756" s="253"/>
      <c r="L756" s="255"/>
      <c r="N756" s="293"/>
      <c r="P756" s="41"/>
    </row>
    <row r="757" spans="2:16" ht="16.5" customHeight="1" x14ac:dyDescent="0.35">
      <c r="B757" s="253"/>
      <c r="D757" s="255"/>
      <c r="F757" s="303"/>
      <c r="H757" s="41"/>
      <c r="J757" s="253"/>
      <c r="L757" s="255"/>
      <c r="N757" s="293"/>
      <c r="P757" s="41"/>
    </row>
    <row r="758" spans="2:16" ht="16.5" customHeight="1" x14ac:dyDescent="0.35">
      <c r="B758" s="253"/>
      <c r="D758" s="255"/>
      <c r="F758" s="303"/>
      <c r="H758" s="41"/>
      <c r="J758" s="253"/>
      <c r="L758" s="255"/>
      <c r="N758" s="293"/>
      <c r="P758" s="41"/>
    </row>
    <row r="759" spans="2:16" ht="16.5" customHeight="1" x14ac:dyDescent="0.35">
      <c r="B759" s="253"/>
      <c r="D759" s="255"/>
      <c r="F759" s="303"/>
      <c r="H759" s="41"/>
      <c r="J759" s="253"/>
      <c r="L759" s="255"/>
      <c r="N759" s="293"/>
      <c r="P759" s="41"/>
    </row>
    <row r="760" spans="2:16" ht="16.5" customHeight="1" x14ac:dyDescent="0.35">
      <c r="B760" s="253"/>
      <c r="D760" s="255"/>
      <c r="F760" s="303"/>
      <c r="H760" s="41"/>
      <c r="J760" s="253"/>
      <c r="L760" s="255"/>
      <c r="N760" s="293"/>
      <c r="P760" s="41"/>
    </row>
    <row r="761" spans="2:16" ht="16.5" customHeight="1" x14ac:dyDescent="0.35">
      <c r="B761" s="253"/>
      <c r="D761" s="255"/>
      <c r="F761" s="303"/>
      <c r="H761" s="41"/>
      <c r="J761" s="253"/>
      <c r="L761" s="255"/>
      <c r="N761" s="293"/>
      <c r="P761" s="41"/>
    </row>
    <row r="762" spans="2:16" ht="16.5" customHeight="1" x14ac:dyDescent="0.35">
      <c r="B762" s="253"/>
      <c r="D762" s="255"/>
      <c r="F762" s="303"/>
      <c r="H762" s="41"/>
      <c r="J762" s="253"/>
      <c r="L762" s="255"/>
      <c r="N762" s="293"/>
      <c r="P762" s="41"/>
    </row>
    <row r="763" spans="2:16" ht="16.5" customHeight="1" x14ac:dyDescent="0.35">
      <c r="B763" s="253"/>
      <c r="D763" s="255"/>
      <c r="F763" s="303"/>
      <c r="H763" s="41"/>
      <c r="J763" s="253"/>
      <c r="L763" s="255"/>
      <c r="N763" s="293"/>
      <c r="P763" s="41"/>
    </row>
    <row r="764" spans="2:16" ht="16.5" customHeight="1" x14ac:dyDescent="0.35">
      <c r="B764" s="253"/>
      <c r="D764" s="255"/>
      <c r="F764" s="303"/>
      <c r="H764" s="41"/>
      <c r="J764" s="253"/>
      <c r="L764" s="255"/>
      <c r="N764" s="293"/>
      <c r="P764" s="41"/>
    </row>
    <row r="765" spans="2:16" ht="16.5" customHeight="1" x14ac:dyDescent="0.35">
      <c r="B765" s="253"/>
      <c r="D765" s="255"/>
      <c r="F765" s="303"/>
      <c r="H765" s="41"/>
      <c r="J765" s="253"/>
      <c r="L765" s="255"/>
      <c r="N765" s="293"/>
      <c r="P765" s="41"/>
    </row>
    <row r="766" spans="2:16" ht="16.5" customHeight="1" x14ac:dyDescent="0.35">
      <c r="B766" s="253"/>
      <c r="D766" s="255"/>
      <c r="F766" s="303"/>
      <c r="H766" s="41"/>
      <c r="J766" s="253"/>
      <c r="L766" s="255"/>
      <c r="N766" s="293"/>
      <c r="P766" s="41"/>
    </row>
    <row r="767" spans="2:16" ht="16.5" customHeight="1" x14ac:dyDescent="0.35">
      <c r="B767" s="253"/>
      <c r="D767" s="255"/>
      <c r="F767" s="303"/>
      <c r="H767" s="41"/>
      <c r="J767" s="253"/>
      <c r="L767" s="255"/>
      <c r="N767" s="293"/>
      <c r="P767" s="41"/>
    </row>
    <row r="768" spans="2:16" ht="16.5" customHeight="1" x14ac:dyDescent="0.35">
      <c r="B768" s="253"/>
      <c r="D768" s="255"/>
      <c r="F768" s="303"/>
      <c r="H768" s="41"/>
      <c r="J768" s="253"/>
      <c r="L768" s="255"/>
      <c r="N768" s="293"/>
      <c r="P768" s="41"/>
    </row>
    <row r="769" spans="2:16" ht="16.5" customHeight="1" x14ac:dyDescent="0.35">
      <c r="B769" s="253"/>
      <c r="D769" s="255"/>
      <c r="F769" s="303"/>
      <c r="H769" s="41"/>
      <c r="J769" s="253"/>
      <c r="L769" s="255"/>
      <c r="N769" s="293"/>
      <c r="P769" s="41"/>
    </row>
    <row r="770" spans="2:16" ht="16.5" customHeight="1" x14ac:dyDescent="0.35">
      <c r="B770" s="253"/>
      <c r="D770" s="255"/>
      <c r="F770" s="303"/>
      <c r="H770" s="41"/>
      <c r="J770" s="253"/>
      <c r="L770" s="255"/>
      <c r="N770" s="293"/>
      <c r="P770" s="41"/>
    </row>
    <row r="771" spans="2:16" ht="16.5" customHeight="1" x14ac:dyDescent="0.35">
      <c r="B771" s="253"/>
      <c r="D771" s="255"/>
      <c r="F771" s="303"/>
      <c r="H771" s="41"/>
      <c r="J771" s="253"/>
      <c r="L771" s="255"/>
      <c r="N771" s="293"/>
      <c r="P771" s="41"/>
    </row>
    <row r="772" spans="2:16" ht="16.5" customHeight="1" x14ac:dyDescent="0.35">
      <c r="B772" s="253"/>
      <c r="D772" s="255"/>
      <c r="F772" s="303"/>
      <c r="H772" s="41"/>
      <c r="J772" s="253"/>
      <c r="L772" s="255"/>
      <c r="N772" s="293"/>
      <c r="P772" s="41"/>
    </row>
    <row r="773" spans="2:16" ht="16.5" customHeight="1" x14ac:dyDescent="0.35">
      <c r="B773" s="253"/>
      <c r="D773" s="255"/>
      <c r="F773" s="303"/>
      <c r="H773" s="41"/>
      <c r="J773" s="253"/>
      <c r="L773" s="255"/>
      <c r="N773" s="293"/>
      <c r="P773" s="41"/>
    </row>
    <row r="774" spans="2:16" ht="16.5" customHeight="1" x14ac:dyDescent="0.35">
      <c r="B774" s="253"/>
      <c r="D774" s="255"/>
      <c r="F774" s="303"/>
      <c r="H774" s="41"/>
      <c r="J774" s="253"/>
      <c r="L774" s="255"/>
      <c r="N774" s="293"/>
      <c r="P774" s="41"/>
    </row>
    <row r="775" spans="2:16" ht="16.5" customHeight="1" x14ac:dyDescent="0.35">
      <c r="B775" s="253"/>
      <c r="D775" s="255"/>
      <c r="F775" s="303"/>
      <c r="H775" s="41"/>
      <c r="J775" s="253"/>
      <c r="L775" s="255"/>
      <c r="N775" s="293"/>
      <c r="P775" s="41"/>
    </row>
    <row r="776" spans="2:16" ht="16.5" customHeight="1" x14ac:dyDescent="0.35">
      <c r="B776" s="253"/>
      <c r="D776" s="255"/>
      <c r="F776" s="303"/>
      <c r="H776" s="41"/>
      <c r="J776" s="253"/>
      <c r="L776" s="255"/>
      <c r="N776" s="293"/>
      <c r="P776" s="41"/>
    </row>
    <row r="777" spans="2:16" ht="16.5" customHeight="1" x14ac:dyDescent="0.35">
      <c r="B777" s="253"/>
      <c r="D777" s="255"/>
      <c r="F777" s="303"/>
      <c r="H777" s="41"/>
      <c r="J777" s="253"/>
      <c r="L777" s="255"/>
      <c r="N777" s="293"/>
      <c r="P777" s="41"/>
    </row>
    <row r="778" spans="2:16" ht="16.5" customHeight="1" x14ac:dyDescent="0.35">
      <c r="B778" s="253"/>
      <c r="D778" s="255"/>
      <c r="F778" s="303"/>
      <c r="H778" s="41"/>
      <c r="J778" s="253"/>
      <c r="L778" s="255"/>
      <c r="N778" s="293"/>
      <c r="P778" s="41"/>
    </row>
    <row r="779" spans="2:16" ht="16.5" customHeight="1" x14ac:dyDescent="0.35">
      <c r="B779" s="253"/>
      <c r="D779" s="255"/>
      <c r="F779" s="303"/>
      <c r="H779" s="41"/>
      <c r="J779" s="253"/>
      <c r="L779" s="255"/>
      <c r="N779" s="293"/>
      <c r="P779" s="41"/>
    </row>
    <row r="780" spans="2:16" ht="16.5" customHeight="1" x14ac:dyDescent="0.35">
      <c r="B780" s="253"/>
      <c r="D780" s="255"/>
      <c r="F780" s="303"/>
      <c r="H780" s="41"/>
      <c r="J780" s="253"/>
      <c r="L780" s="255"/>
      <c r="N780" s="293"/>
      <c r="P780" s="41"/>
    </row>
    <row r="781" spans="2:16" ht="16.5" customHeight="1" x14ac:dyDescent="0.35">
      <c r="B781" s="253"/>
      <c r="D781" s="255"/>
      <c r="F781" s="303"/>
      <c r="H781" s="41"/>
      <c r="J781" s="253"/>
      <c r="L781" s="255"/>
      <c r="N781" s="293"/>
      <c r="P781" s="41"/>
    </row>
    <row r="782" spans="2:16" ht="16.5" customHeight="1" x14ac:dyDescent="0.35">
      <c r="B782" s="253"/>
      <c r="D782" s="255"/>
      <c r="F782" s="303"/>
      <c r="H782" s="41"/>
      <c r="J782" s="253"/>
      <c r="L782" s="255"/>
      <c r="N782" s="293"/>
      <c r="P782" s="41"/>
    </row>
    <row r="783" spans="2:16" ht="16.5" customHeight="1" x14ac:dyDescent="0.35">
      <c r="B783" s="253"/>
      <c r="D783" s="255"/>
      <c r="F783" s="303"/>
      <c r="H783" s="41"/>
      <c r="J783" s="253"/>
      <c r="L783" s="255"/>
      <c r="N783" s="293"/>
      <c r="P783" s="41"/>
    </row>
    <row r="784" spans="2:16" ht="16.5" customHeight="1" x14ac:dyDescent="0.35">
      <c r="B784" s="253"/>
      <c r="D784" s="255"/>
      <c r="F784" s="303"/>
      <c r="H784" s="41"/>
      <c r="J784" s="253"/>
      <c r="L784" s="255"/>
      <c r="N784" s="293"/>
      <c r="P784" s="41"/>
    </row>
    <row r="785" spans="2:16" ht="16.5" customHeight="1" x14ac:dyDescent="0.35">
      <c r="B785" s="253"/>
      <c r="D785" s="255"/>
      <c r="F785" s="303"/>
      <c r="H785" s="41"/>
      <c r="J785" s="253"/>
      <c r="L785" s="255"/>
      <c r="N785" s="293"/>
      <c r="P785" s="41"/>
    </row>
    <row r="786" spans="2:16" ht="16.5" customHeight="1" x14ac:dyDescent="0.35">
      <c r="B786" s="253"/>
      <c r="D786" s="255"/>
      <c r="F786" s="303"/>
      <c r="H786" s="41"/>
      <c r="J786" s="253"/>
      <c r="L786" s="255"/>
      <c r="N786" s="293"/>
      <c r="P786" s="41"/>
    </row>
    <row r="787" spans="2:16" ht="16.5" customHeight="1" x14ac:dyDescent="0.35">
      <c r="B787" s="253"/>
      <c r="D787" s="255"/>
      <c r="F787" s="303"/>
      <c r="H787" s="41"/>
      <c r="J787" s="253"/>
      <c r="L787" s="255"/>
      <c r="N787" s="293"/>
      <c r="P787" s="41"/>
    </row>
    <row r="788" spans="2:16" ht="16.5" customHeight="1" x14ac:dyDescent="0.35">
      <c r="B788" s="253"/>
      <c r="D788" s="255"/>
      <c r="F788" s="303"/>
      <c r="H788" s="41"/>
      <c r="J788" s="253"/>
      <c r="L788" s="255"/>
      <c r="N788" s="293"/>
      <c r="P788" s="41"/>
    </row>
    <row r="789" spans="2:16" ht="16.5" customHeight="1" x14ac:dyDescent="0.35">
      <c r="B789" s="253"/>
      <c r="D789" s="255"/>
      <c r="F789" s="303"/>
      <c r="H789" s="41"/>
      <c r="J789" s="253"/>
      <c r="L789" s="255"/>
      <c r="N789" s="293"/>
      <c r="P789" s="41"/>
    </row>
    <row r="790" spans="2:16" ht="16.5" customHeight="1" x14ac:dyDescent="0.35">
      <c r="B790" s="253"/>
      <c r="D790" s="255"/>
      <c r="F790" s="303"/>
      <c r="H790" s="41"/>
      <c r="J790" s="253"/>
      <c r="L790" s="255"/>
      <c r="N790" s="293"/>
      <c r="P790" s="41"/>
    </row>
    <row r="791" spans="2:16" ht="16.5" customHeight="1" x14ac:dyDescent="0.35">
      <c r="B791" s="253"/>
      <c r="D791" s="255"/>
      <c r="F791" s="303"/>
      <c r="H791" s="41"/>
      <c r="J791" s="253"/>
      <c r="L791" s="255"/>
      <c r="N791" s="293"/>
      <c r="P791" s="41"/>
    </row>
    <row r="792" spans="2:16" ht="16.5" customHeight="1" x14ac:dyDescent="0.35">
      <c r="B792" s="253"/>
      <c r="D792" s="255"/>
      <c r="F792" s="303"/>
      <c r="H792" s="41"/>
      <c r="J792" s="253"/>
      <c r="L792" s="255"/>
      <c r="N792" s="293"/>
      <c r="P792" s="41"/>
    </row>
    <row r="793" spans="2:16" ht="16.5" customHeight="1" x14ac:dyDescent="0.35">
      <c r="B793" s="253"/>
      <c r="D793" s="255"/>
      <c r="F793" s="303"/>
      <c r="H793" s="41"/>
      <c r="J793" s="253"/>
      <c r="L793" s="255"/>
      <c r="N793" s="293"/>
      <c r="P793" s="41"/>
    </row>
    <row r="794" spans="2:16" ht="16.5" customHeight="1" x14ac:dyDescent="0.35">
      <c r="B794" s="253"/>
      <c r="D794" s="255"/>
      <c r="F794" s="303"/>
      <c r="H794" s="41"/>
      <c r="J794" s="253"/>
      <c r="L794" s="255"/>
      <c r="N794" s="293"/>
      <c r="P794" s="41"/>
    </row>
    <row r="795" spans="2:16" ht="16.5" customHeight="1" x14ac:dyDescent="0.35">
      <c r="B795" s="253"/>
      <c r="D795" s="255"/>
      <c r="F795" s="303"/>
      <c r="H795" s="41"/>
      <c r="J795" s="253"/>
      <c r="L795" s="255"/>
      <c r="N795" s="293"/>
      <c r="P795" s="41"/>
    </row>
    <row r="796" spans="2:16" ht="16.5" customHeight="1" x14ac:dyDescent="0.35">
      <c r="B796" s="253"/>
      <c r="D796" s="255"/>
      <c r="F796" s="303"/>
      <c r="H796" s="41"/>
      <c r="J796" s="253"/>
      <c r="L796" s="255"/>
      <c r="N796" s="293"/>
      <c r="P796" s="41"/>
    </row>
    <row r="797" spans="2:16" ht="16.5" customHeight="1" x14ac:dyDescent="0.35">
      <c r="B797" s="253"/>
      <c r="D797" s="255"/>
      <c r="F797" s="303"/>
      <c r="H797" s="41"/>
      <c r="J797" s="253"/>
      <c r="L797" s="255"/>
      <c r="N797" s="293"/>
      <c r="P797" s="41"/>
    </row>
    <row r="798" spans="2:16" ht="16.5" customHeight="1" x14ac:dyDescent="0.35">
      <c r="B798" s="253"/>
      <c r="D798" s="255"/>
      <c r="F798" s="303"/>
      <c r="H798" s="41"/>
      <c r="J798" s="253"/>
      <c r="L798" s="255"/>
      <c r="N798" s="293"/>
      <c r="P798" s="41"/>
    </row>
    <row r="799" spans="2:16" ht="16.5" customHeight="1" x14ac:dyDescent="0.35">
      <c r="B799" s="253"/>
      <c r="D799" s="255"/>
      <c r="F799" s="303"/>
      <c r="H799" s="41"/>
      <c r="J799" s="253"/>
      <c r="L799" s="255"/>
      <c r="N799" s="293"/>
      <c r="P799" s="41"/>
    </row>
    <row r="800" spans="2:16" ht="16.5" customHeight="1" x14ac:dyDescent="0.35">
      <c r="B800" s="253"/>
      <c r="D800" s="255"/>
      <c r="F800" s="303"/>
      <c r="H800" s="41"/>
      <c r="J800" s="253"/>
      <c r="L800" s="255"/>
      <c r="N800" s="293"/>
      <c r="P800" s="41"/>
    </row>
    <row r="801" spans="2:16" ht="16.5" customHeight="1" x14ac:dyDescent="0.35">
      <c r="B801" s="253"/>
      <c r="D801" s="255"/>
      <c r="F801" s="303"/>
      <c r="H801" s="41"/>
      <c r="J801" s="253"/>
      <c r="L801" s="255"/>
      <c r="N801" s="293"/>
      <c r="P801" s="41"/>
    </row>
    <row r="802" spans="2:16" ht="16.5" customHeight="1" x14ac:dyDescent="0.35">
      <c r="B802" s="253"/>
      <c r="D802" s="255"/>
      <c r="F802" s="303"/>
      <c r="H802" s="41"/>
      <c r="J802" s="253"/>
      <c r="L802" s="255"/>
      <c r="N802" s="293"/>
      <c r="P802" s="41"/>
    </row>
    <row r="803" spans="2:16" ht="16.5" customHeight="1" x14ac:dyDescent="0.35">
      <c r="B803" s="253"/>
      <c r="D803" s="255"/>
      <c r="F803" s="303"/>
      <c r="H803" s="41"/>
      <c r="J803" s="253"/>
      <c r="L803" s="255"/>
      <c r="N803" s="293"/>
      <c r="P803" s="41"/>
    </row>
    <row r="804" spans="2:16" ht="16.5" customHeight="1" x14ac:dyDescent="0.35">
      <c r="B804" s="253"/>
      <c r="D804" s="255"/>
      <c r="F804" s="303"/>
      <c r="H804" s="41"/>
      <c r="J804" s="253"/>
      <c r="L804" s="255"/>
      <c r="N804" s="293"/>
      <c r="P804" s="41"/>
    </row>
    <row r="805" spans="2:16" ht="16.5" customHeight="1" x14ac:dyDescent="0.35">
      <c r="B805" s="253"/>
      <c r="D805" s="255"/>
      <c r="F805" s="303"/>
      <c r="H805" s="41"/>
      <c r="J805" s="253"/>
      <c r="L805" s="255"/>
      <c r="N805" s="293"/>
      <c r="P805" s="41"/>
    </row>
    <row r="806" spans="2:16" ht="16.5" customHeight="1" x14ac:dyDescent="0.35">
      <c r="B806" s="253"/>
      <c r="D806" s="255"/>
      <c r="F806" s="303"/>
      <c r="H806" s="41"/>
      <c r="J806" s="253"/>
      <c r="L806" s="255"/>
      <c r="N806" s="293"/>
      <c r="P806" s="41"/>
    </row>
    <row r="807" spans="2:16" ht="16.5" customHeight="1" x14ac:dyDescent="0.35">
      <c r="B807" s="253"/>
      <c r="D807" s="255"/>
      <c r="F807" s="303"/>
      <c r="H807" s="41"/>
      <c r="J807" s="253"/>
      <c r="L807" s="255"/>
      <c r="N807" s="293"/>
      <c r="P807" s="41"/>
    </row>
    <row r="808" spans="2:16" ht="16.5" customHeight="1" x14ac:dyDescent="0.35">
      <c r="B808" s="253"/>
      <c r="D808" s="255"/>
      <c r="F808" s="303"/>
      <c r="H808" s="41"/>
      <c r="J808" s="253"/>
      <c r="L808" s="255"/>
      <c r="N808" s="293"/>
      <c r="P808" s="41"/>
    </row>
    <row r="809" spans="2:16" ht="16.5" customHeight="1" x14ac:dyDescent="0.35">
      <c r="B809" s="253"/>
      <c r="D809" s="255"/>
      <c r="F809" s="303"/>
      <c r="H809" s="41"/>
      <c r="J809" s="253"/>
      <c r="L809" s="255"/>
      <c r="N809" s="293"/>
      <c r="P809" s="41"/>
    </row>
    <row r="810" spans="2:16" ht="16.5" customHeight="1" x14ac:dyDescent="0.35">
      <c r="B810" s="253"/>
      <c r="D810" s="255"/>
      <c r="F810" s="303"/>
      <c r="H810" s="41"/>
      <c r="J810" s="253"/>
      <c r="L810" s="255"/>
      <c r="N810" s="293"/>
      <c r="P810" s="41"/>
    </row>
    <row r="811" spans="2:16" ht="16.5" customHeight="1" x14ac:dyDescent="0.35">
      <c r="B811" s="253"/>
      <c r="D811" s="255"/>
      <c r="F811" s="303"/>
      <c r="H811" s="41"/>
      <c r="J811" s="253"/>
      <c r="L811" s="255"/>
      <c r="N811" s="293"/>
      <c r="P811" s="41"/>
    </row>
    <row r="812" spans="2:16" ht="16.5" customHeight="1" x14ac:dyDescent="0.35">
      <c r="B812" s="253"/>
      <c r="D812" s="255"/>
      <c r="F812" s="303"/>
      <c r="H812" s="41"/>
      <c r="J812" s="253"/>
      <c r="L812" s="255"/>
      <c r="N812" s="293"/>
      <c r="P812" s="41"/>
    </row>
    <row r="813" spans="2:16" ht="16.5" customHeight="1" x14ac:dyDescent="0.35">
      <c r="B813" s="253"/>
      <c r="D813" s="255"/>
      <c r="F813" s="303"/>
      <c r="H813" s="41"/>
      <c r="J813" s="253"/>
      <c r="L813" s="255"/>
      <c r="N813" s="293"/>
      <c r="P813" s="41"/>
    </row>
    <row r="814" spans="2:16" ht="16.5" customHeight="1" x14ac:dyDescent="0.35">
      <c r="B814" s="253"/>
      <c r="D814" s="255"/>
      <c r="F814" s="303"/>
      <c r="H814" s="41"/>
      <c r="J814" s="253"/>
      <c r="L814" s="255"/>
      <c r="N814" s="293"/>
      <c r="P814" s="41"/>
    </row>
    <row r="815" spans="2:16" ht="16.5" customHeight="1" x14ac:dyDescent="0.35">
      <c r="B815" s="253"/>
      <c r="D815" s="255"/>
      <c r="F815" s="303"/>
      <c r="H815" s="41"/>
      <c r="J815" s="253"/>
      <c r="L815" s="255"/>
      <c r="N815" s="293"/>
      <c r="P815" s="41"/>
    </row>
    <row r="816" spans="2:16" ht="16.5" customHeight="1" x14ac:dyDescent="0.35">
      <c r="B816" s="253"/>
      <c r="D816" s="255"/>
      <c r="F816" s="303"/>
      <c r="H816" s="41"/>
      <c r="J816" s="253"/>
      <c r="L816" s="255"/>
      <c r="N816" s="293"/>
      <c r="P816" s="41"/>
    </row>
    <row r="817" spans="2:16" ht="16.5" customHeight="1" x14ac:dyDescent="0.35">
      <c r="B817" s="253"/>
      <c r="D817" s="255"/>
      <c r="F817" s="303"/>
      <c r="H817" s="41"/>
      <c r="J817" s="253"/>
      <c r="L817" s="255"/>
      <c r="N817" s="293"/>
      <c r="P817" s="41"/>
    </row>
    <row r="818" spans="2:16" ht="16.5" customHeight="1" x14ac:dyDescent="0.35">
      <c r="B818" s="253"/>
      <c r="D818" s="255"/>
      <c r="F818" s="303"/>
      <c r="H818" s="41"/>
      <c r="J818" s="253"/>
      <c r="L818" s="255"/>
      <c r="N818" s="293"/>
      <c r="P818" s="41"/>
    </row>
    <row r="819" spans="2:16" ht="16.5" customHeight="1" x14ac:dyDescent="0.35">
      <c r="B819" s="253"/>
      <c r="D819" s="255"/>
      <c r="F819" s="303"/>
      <c r="H819" s="41"/>
      <c r="J819" s="253"/>
      <c r="L819" s="255"/>
      <c r="N819" s="293"/>
      <c r="P819" s="41"/>
    </row>
    <row r="820" spans="2:16" ht="16.5" customHeight="1" x14ac:dyDescent="0.35">
      <c r="B820" s="253"/>
      <c r="D820" s="255"/>
      <c r="F820" s="303"/>
      <c r="H820" s="41"/>
      <c r="J820" s="253"/>
      <c r="L820" s="255"/>
      <c r="N820" s="293"/>
      <c r="P820" s="41"/>
    </row>
    <row r="821" spans="2:16" ht="16.5" customHeight="1" x14ac:dyDescent="0.35">
      <c r="B821" s="253"/>
      <c r="D821" s="255"/>
      <c r="F821" s="303"/>
      <c r="H821" s="41"/>
      <c r="J821" s="253"/>
      <c r="L821" s="255"/>
      <c r="N821" s="293"/>
      <c r="P821" s="41"/>
    </row>
    <row r="822" spans="2:16" ht="16.5" customHeight="1" x14ac:dyDescent="0.35">
      <c r="B822" s="253"/>
      <c r="D822" s="255"/>
      <c r="F822" s="303"/>
      <c r="H822" s="41"/>
      <c r="J822" s="253"/>
      <c r="L822" s="255"/>
      <c r="N822" s="293"/>
      <c r="P822" s="41"/>
    </row>
    <row r="823" spans="2:16" ht="16.5" customHeight="1" x14ac:dyDescent="0.35">
      <c r="B823" s="253"/>
      <c r="D823" s="255"/>
      <c r="F823" s="303"/>
      <c r="H823" s="41"/>
      <c r="J823" s="253"/>
      <c r="L823" s="255"/>
      <c r="N823" s="293"/>
      <c r="P823" s="41"/>
    </row>
    <row r="824" spans="2:16" ht="16.5" customHeight="1" x14ac:dyDescent="0.35">
      <c r="B824" s="253"/>
      <c r="D824" s="255"/>
      <c r="F824" s="303"/>
      <c r="H824" s="41"/>
      <c r="J824" s="253"/>
      <c r="L824" s="255"/>
      <c r="N824" s="293"/>
      <c r="P824" s="41"/>
    </row>
    <row r="825" spans="2:16" ht="16.5" customHeight="1" x14ac:dyDescent="0.35">
      <c r="B825" s="253"/>
      <c r="D825" s="255"/>
      <c r="F825" s="303"/>
      <c r="H825" s="41"/>
      <c r="J825" s="253"/>
      <c r="L825" s="255"/>
      <c r="N825" s="293"/>
      <c r="P825" s="41"/>
    </row>
    <row r="826" spans="2:16" ht="16.5" customHeight="1" x14ac:dyDescent="0.35">
      <c r="B826" s="253"/>
      <c r="D826" s="255"/>
      <c r="F826" s="303"/>
      <c r="H826" s="41"/>
      <c r="J826" s="253"/>
      <c r="L826" s="255"/>
      <c r="N826" s="293"/>
      <c r="P826" s="41"/>
    </row>
    <row r="827" spans="2:16" ht="16.5" customHeight="1" x14ac:dyDescent="0.35">
      <c r="B827" s="253"/>
      <c r="D827" s="255"/>
      <c r="F827" s="303"/>
      <c r="H827" s="41"/>
      <c r="J827" s="253"/>
      <c r="L827" s="255"/>
      <c r="N827" s="293"/>
      <c r="P827" s="41"/>
    </row>
    <row r="828" spans="2:16" ht="16.5" customHeight="1" x14ac:dyDescent="0.35">
      <c r="B828" s="253"/>
      <c r="D828" s="255"/>
      <c r="F828" s="303"/>
      <c r="H828" s="41"/>
      <c r="J828" s="253"/>
      <c r="L828" s="255"/>
      <c r="N828" s="293"/>
      <c r="P828" s="41"/>
    </row>
    <row r="829" spans="2:16" ht="16.5" customHeight="1" x14ac:dyDescent="0.35">
      <c r="B829" s="253"/>
      <c r="D829" s="255"/>
      <c r="F829" s="303"/>
      <c r="H829" s="41"/>
      <c r="J829" s="253"/>
      <c r="L829" s="255"/>
      <c r="N829" s="293"/>
      <c r="P829" s="41"/>
    </row>
    <row r="830" spans="2:16" ht="16.5" customHeight="1" x14ac:dyDescent="0.35">
      <c r="B830" s="253"/>
      <c r="D830" s="255"/>
      <c r="F830" s="303"/>
      <c r="H830" s="41"/>
      <c r="J830" s="253"/>
      <c r="L830" s="255"/>
      <c r="N830" s="293"/>
      <c r="P830" s="41"/>
    </row>
    <row r="831" spans="2:16" ht="16.5" customHeight="1" x14ac:dyDescent="0.35">
      <c r="B831" s="253"/>
      <c r="D831" s="255"/>
      <c r="F831" s="303"/>
      <c r="H831" s="41"/>
      <c r="J831" s="253"/>
      <c r="L831" s="255"/>
      <c r="N831" s="293"/>
      <c r="P831" s="41"/>
    </row>
    <row r="832" spans="2:16" ht="16.5" customHeight="1" x14ac:dyDescent="0.35">
      <c r="B832" s="253"/>
      <c r="D832" s="255"/>
      <c r="F832" s="303"/>
      <c r="H832" s="41"/>
      <c r="J832" s="253"/>
      <c r="L832" s="255"/>
      <c r="N832" s="293"/>
      <c r="P832" s="41"/>
    </row>
    <row r="833" spans="2:16" ht="16.5" customHeight="1" x14ac:dyDescent="0.35">
      <c r="B833" s="253"/>
      <c r="D833" s="255"/>
      <c r="F833" s="303"/>
      <c r="H833" s="41"/>
      <c r="J833" s="253"/>
      <c r="L833" s="255"/>
      <c r="N833" s="293"/>
      <c r="P833" s="41"/>
    </row>
    <row r="834" spans="2:16" ht="16.5" customHeight="1" x14ac:dyDescent="0.35">
      <c r="B834" s="253"/>
      <c r="D834" s="255"/>
      <c r="F834" s="303"/>
      <c r="H834" s="41"/>
      <c r="J834" s="253"/>
      <c r="L834" s="255"/>
      <c r="N834" s="293"/>
      <c r="P834" s="41"/>
    </row>
    <row r="835" spans="2:16" ht="16.5" customHeight="1" x14ac:dyDescent="0.35">
      <c r="B835" s="253"/>
      <c r="D835" s="255"/>
      <c r="F835" s="303"/>
      <c r="H835" s="41"/>
      <c r="J835" s="253"/>
      <c r="L835" s="255"/>
      <c r="N835" s="293"/>
      <c r="P835" s="41"/>
    </row>
    <row r="836" spans="2:16" ht="16.5" customHeight="1" x14ac:dyDescent="0.35">
      <c r="B836" s="253"/>
      <c r="D836" s="255"/>
      <c r="F836" s="303"/>
      <c r="H836" s="41"/>
      <c r="J836" s="253"/>
      <c r="L836" s="255"/>
      <c r="N836" s="293"/>
      <c r="P836" s="41"/>
    </row>
    <row r="837" spans="2:16" ht="16.5" customHeight="1" x14ac:dyDescent="0.35">
      <c r="B837" s="253"/>
      <c r="D837" s="255"/>
      <c r="F837" s="303"/>
      <c r="H837" s="41"/>
      <c r="J837" s="253"/>
      <c r="L837" s="255"/>
      <c r="N837" s="293"/>
      <c r="P837" s="41"/>
    </row>
    <row r="838" spans="2:16" ht="16.5" customHeight="1" x14ac:dyDescent="0.35">
      <c r="B838" s="253"/>
      <c r="D838" s="255"/>
      <c r="F838" s="303"/>
      <c r="H838" s="41"/>
      <c r="J838" s="253"/>
      <c r="L838" s="255"/>
      <c r="N838" s="293"/>
      <c r="P838" s="41"/>
    </row>
    <row r="839" spans="2:16" ht="16.5" customHeight="1" x14ac:dyDescent="0.35">
      <c r="B839" s="253"/>
      <c r="D839" s="255"/>
      <c r="F839" s="303"/>
      <c r="H839" s="41"/>
      <c r="J839" s="253"/>
      <c r="L839" s="255"/>
      <c r="N839" s="293"/>
      <c r="P839" s="41"/>
    </row>
    <row r="840" spans="2:16" ht="16.5" customHeight="1" x14ac:dyDescent="0.35">
      <c r="B840" s="253"/>
      <c r="D840" s="255"/>
      <c r="F840" s="303"/>
      <c r="H840" s="41"/>
      <c r="J840" s="253"/>
      <c r="L840" s="255"/>
      <c r="N840" s="293"/>
      <c r="P840" s="41"/>
    </row>
    <row r="841" spans="2:16" ht="16.5" customHeight="1" x14ac:dyDescent="0.35">
      <c r="B841" s="253"/>
      <c r="D841" s="255"/>
      <c r="F841" s="303"/>
      <c r="H841" s="41"/>
      <c r="J841" s="253"/>
      <c r="L841" s="255"/>
      <c r="N841" s="293"/>
      <c r="P841" s="41"/>
    </row>
    <row r="842" spans="2:16" ht="16.5" customHeight="1" x14ac:dyDescent="0.35">
      <c r="B842" s="253"/>
      <c r="D842" s="255"/>
      <c r="F842" s="303"/>
      <c r="H842" s="41"/>
      <c r="J842" s="253"/>
      <c r="L842" s="255"/>
      <c r="N842" s="293"/>
      <c r="P842" s="41"/>
    </row>
    <row r="843" spans="2:16" ht="16.5" customHeight="1" x14ac:dyDescent="0.35">
      <c r="B843" s="253"/>
      <c r="D843" s="255"/>
      <c r="F843" s="303"/>
      <c r="H843" s="41"/>
      <c r="J843" s="253"/>
      <c r="L843" s="255"/>
      <c r="N843" s="293"/>
      <c r="P843" s="41"/>
    </row>
    <row r="844" spans="2:16" ht="16.5" customHeight="1" x14ac:dyDescent="0.35">
      <c r="B844" s="253"/>
      <c r="D844" s="255"/>
      <c r="F844" s="303"/>
      <c r="H844" s="41"/>
      <c r="J844" s="253"/>
      <c r="L844" s="255"/>
      <c r="N844" s="293"/>
      <c r="P844" s="41"/>
    </row>
    <row r="845" spans="2:16" ht="16.5" customHeight="1" x14ac:dyDescent="0.35">
      <c r="B845" s="253"/>
      <c r="D845" s="255"/>
      <c r="F845" s="303"/>
      <c r="H845" s="41"/>
      <c r="J845" s="253"/>
      <c r="L845" s="255"/>
      <c r="N845" s="293"/>
      <c r="P845" s="41"/>
    </row>
    <row r="846" spans="2:16" ht="16.5" customHeight="1" x14ac:dyDescent="0.35">
      <c r="B846" s="253"/>
      <c r="D846" s="255"/>
      <c r="F846" s="303"/>
      <c r="H846" s="41"/>
      <c r="J846" s="253"/>
      <c r="L846" s="255"/>
      <c r="N846" s="293"/>
      <c r="P846" s="41"/>
    </row>
    <row r="847" spans="2:16" ht="16.5" customHeight="1" x14ac:dyDescent="0.35">
      <c r="B847" s="253"/>
      <c r="D847" s="255"/>
      <c r="F847" s="303"/>
      <c r="H847" s="41"/>
      <c r="J847" s="253"/>
      <c r="L847" s="255"/>
      <c r="N847" s="293"/>
      <c r="P847" s="41"/>
    </row>
    <row r="848" spans="2:16" ht="16.5" customHeight="1" x14ac:dyDescent="0.35">
      <c r="B848" s="253"/>
      <c r="D848" s="255"/>
      <c r="F848" s="303"/>
      <c r="H848" s="41"/>
      <c r="J848" s="253"/>
      <c r="L848" s="255"/>
      <c r="N848" s="293"/>
      <c r="P848" s="41"/>
    </row>
    <row r="849" spans="2:16" ht="16.5" customHeight="1" x14ac:dyDescent="0.35">
      <c r="B849" s="253"/>
      <c r="D849" s="255"/>
      <c r="F849" s="303"/>
      <c r="H849" s="41"/>
      <c r="J849" s="253"/>
      <c r="L849" s="255"/>
      <c r="N849" s="293"/>
      <c r="P849" s="41"/>
    </row>
    <row r="850" spans="2:16" ht="16.5" customHeight="1" x14ac:dyDescent="0.35">
      <c r="B850" s="253"/>
      <c r="D850" s="255"/>
      <c r="F850" s="303"/>
      <c r="H850" s="41"/>
      <c r="J850" s="253"/>
      <c r="L850" s="255"/>
      <c r="N850" s="293"/>
      <c r="P850" s="41"/>
    </row>
    <row r="851" spans="2:16" ht="16.5" customHeight="1" x14ac:dyDescent="0.35">
      <c r="B851" s="253"/>
      <c r="D851" s="255"/>
      <c r="F851" s="303"/>
      <c r="H851" s="41"/>
      <c r="J851" s="253"/>
      <c r="L851" s="255"/>
      <c r="N851" s="293"/>
      <c r="P851" s="41"/>
    </row>
    <row r="852" spans="2:16" ht="16.5" customHeight="1" x14ac:dyDescent="0.35">
      <c r="B852" s="253"/>
      <c r="D852" s="255"/>
      <c r="F852" s="303"/>
      <c r="H852" s="41"/>
      <c r="J852" s="253"/>
      <c r="L852" s="255"/>
      <c r="N852" s="293"/>
      <c r="P852" s="41"/>
    </row>
    <row r="853" spans="2:16" ht="16.5" customHeight="1" x14ac:dyDescent="0.35">
      <c r="B853" s="253"/>
      <c r="D853" s="255"/>
      <c r="F853" s="303"/>
      <c r="H853" s="41"/>
      <c r="J853" s="253"/>
      <c r="L853" s="255"/>
      <c r="N853" s="293"/>
      <c r="P853" s="41"/>
    </row>
    <row r="854" spans="2:16" ht="16.5" customHeight="1" x14ac:dyDescent="0.35">
      <c r="B854" s="253"/>
      <c r="D854" s="255"/>
      <c r="F854" s="303"/>
      <c r="H854" s="41"/>
      <c r="J854" s="253"/>
      <c r="L854" s="255"/>
      <c r="N854" s="293"/>
      <c r="P854" s="41"/>
    </row>
    <row r="855" spans="2:16" ht="16.5" customHeight="1" x14ac:dyDescent="0.35">
      <c r="B855" s="253"/>
      <c r="D855" s="255"/>
      <c r="F855" s="303"/>
      <c r="H855" s="41"/>
      <c r="J855" s="253"/>
      <c r="L855" s="255"/>
      <c r="N855" s="293"/>
      <c r="P855" s="41"/>
    </row>
    <row r="856" spans="2:16" ht="16.5" customHeight="1" x14ac:dyDescent="0.35">
      <c r="B856" s="253"/>
      <c r="D856" s="255"/>
      <c r="F856" s="303"/>
      <c r="H856" s="41"/>
      <c r="J856" s="253"/>
      <c r="L856" s="255"/>
      <c r="N856" s="293"/>
      <c r="P856" s="41"/>
    </row>
    <row r="857" spans="2:16" ht="16.5" customHeight="1" x14ac:dyDescent="0.35">
      <c r="B857" s="253"/>
      <c r="D857" s="255"/>
      <c r="F857" s="303"/>
      <c r="H857" s="41"/>
      <c r="J857" s="253"/>
      <c r="L857" s="255"/>
      <c r="N857" s="293"/>
      <c r="P857" s="41"/>
    </row>
    <row r="858" spans="2:16" ht="16.5" customHeight="1" x14ac:dyDescent="0.35">
      <c r="B858" s="253"/>
      <c r="D858" s="255"/>
      <c r="F858" s="303"/>
      <c r="H858" s="41"/>
      <c r="J858" s="253"/>
      <c r="L858" s="255"/>
      <c r="N858" s="293"/>
      <c r="P858" s="41"/>
    </row>
    <row r="859" spans="2:16" ht="16.5" customHeight="1" x14ac:dyDescent="0.35">
      <c r="B859" s="253"/>
      <c r="D859" s="255"/>
      <c r="F859" s="303"/>
      <c r="H859" s="41"/>
      <c r="J859" s="253"/>
      <c r="L859" s="255"/>
      <c r="N859" s="293"/>
      <c r="P859" s="41"/>
    </row>
    <row r="860" spans="2:16" ht="16.5" customHeight="1" x14ac:dyDescent="0.35">
      <c r="B860" s="253"/>
      <c r="D860" s="255"/>
      <c r="F860" s="303"/>
      <c r="H860" s="41"/>
      <c r="J860" s="253"/>
      <c r="L860" s="255"/>
      <c r="N860" s="293"/>
      <c r="P860" s="41"/>
    </row>
    <row r="861" spans="2:16" ht="16.5" customHeight="1" x14ac:dyDescent="0.35">
      <c r="B861" s="253"/>
      <c r="D861" s="255"/>
      <c r="F861" s="303"/>
      <c r="H861" s="41"/>
      <c r="J861" s="253"/>
      <c r="L861" s="255"/>
      <c r="N861" s="293"/>
      <c r="P861" s="41"/>
    </row>
    <row r="862" spans="2:16" ht="16.5" customHeight="1" x14ac:dyDescent="0.35">
      <c r="B862" s="253"/>
      <c r="D862" s="255"/>
      <c r="F862" s="303"/>
      <c r="H862" s="41"/>
      <c r="J862" s="253"/>
      <c r="L862" s="255"/>
      <c r="N862" s="293"/>
      <c r="P862" s="41"/>
    </row>
    <row r="863" spans="2:16" ht="16.5" customHeight="1" x14ac:dyDescent="0.35">
      <c r="B863" s="253"/>
      <c r="D863" s="255"/>
      <c r="F863" s="303"/>
      <c r="H863" s="41"/>
      <c r="J863" s="253"/>
      <c r="L863" s="255"/>
      <c r="N863" s="293"/>
      <c r="P863" s="41"/>
    </row>
    <row r="864" spans="2:16" ht="16.5" customHeight="1" x14ac:dyDescent="0.35">
      <c r="B864" s="253"/>
      <c r="D864" s="255"/>
      <c r="F864" s="303"/>
      <c r="H864" s="41"/>
      <c r="J864" s="253"/>
      <c r="L864" s="255"/>
      <c r="N864" s="293"/>
      <c r="P864" s="41"/>
    </row>
    <row r="865" spans="2:16" ht="16.5" customHeight="1" x14ac:dyDescent="0.35">
      <c r="B865" s="253"/>
      <c r="D865" s="255"/>
      <c r="F865" s="303"/>
      <c r="H865" s="41"/>
      <c r="J865" s="253"/>
      <c r="L865" s="255"/>
      <c r="N865" s="293"/>
      <c r="P865" s="41"/>
    </row>
    <row r="866" spans="2:16" ht="16.5" customHeight="1" x14ac:dyDescent="0.35">
      <c r="B866" s="253"/>
      <c r="D866" s="255"/>
      <c r="F866" s="303"/>
      <c r="H866" s="41"/>
      <c r="J866" s="253"/>
      <c r="L866" s="255"/>
      <c r="N866" s="293"/>
      <c r="P866" s="41"/>
    </row>
    <row r="867" spans="2:16" ht="16.5" customHeight="1" x14ac:dyDescent="0.35">
      <c r="B867" s="253"/>
      <c r="D867" s="255"/>
      <c r="F867" s="303"/>
      <c r="H867" s="41"/>
      <c r="J867" s="253"/>
      <c r="L867" s="255"/>
      <c r="N867" s="293"/>
      <c r="P867" s="41"/>
    </row>
    <row r="868" spans="2:16" ht="16.5" customHeight="1" x14ac:dyDescent="0.35">
      <c r="B868" s="253"/>
      <c r="D868" s="255"/>
      <c r="F868" s="303"/>
      <c r="H868" s="41"/>
      <c r="J868" s="253"/>
      <c r="L868" s="255"/>
      <c r="N868" s="293"/>
      <c r="P868" s="41"/>
    </row>
    <row r="869" spans="2:16" ht="16.5" customHeight="1" x14ac:dyDescent="0.35">
      <c r="B869" s="253"/>
      <c r="D869" s="255"/>
      <c r="F869" s="303"/>
      <c r="H869" s="41"/>
      <c r="J869" s="253"/>
      <c r="L869" s="255"/>
      <c r="N869" s="293"/>
      <c r="P869" s="41"/>
    </row>
    <row r="870" spans="2:16" ht="16.5" customHeight="1" x14ac:dyDescent="0.35">
      <c r="B870" s="253"/>
      <c r="D870" s="255"/>
      <c r="F870" s="303"/>
      <c r="H870" s="41"/>
      <c r="J870" s="253"/>
      <c r="L870" s="255"/>
      <c r="N870" s="293"/>
      <c r="P870" s="41"/>
    </row>
    <row r="871" spans="2:16" ht="16.5" customHeight="1" x14ac:dyDescent="0.35">
      <c r="B871" s="253"/>
      <c r="D871" s="255"/>
      <c r="F871" s="303"/>
      <c r="H871" s="41"/>
      <c r="J871" s="253"/>
      <c r="L871" s="255"/>
      <c r="N871" s="293"/>
      <c r="P871" s="41"/>
    </row>
    <row r="872" spans="2:16" ht="16.5" customHeight="1" x14ac:dyDescent="0.35">
      <c r="B872" s="253"/>
      <c r="D872" s="255"/>
      <c r="F872" s="303"/>
      <c r="H872" s="41"/>
      <c r="J872" s="253"/>
      <c r="L872" s="255"/>
      <c r="N872" s="293"/>
      <c r="P872" s="41"/>
    </row>
    <row r="873" spans="2:16" ht="16.5" customHeight="1" x14ac:dyDescent="0.35">
      <c r="B873" s="253"/>
      <c r="D873" s="255"/>
      <c r="F873" s="303"/>
      <c r="H873" s="41"/>
      <c r="J873" s="253"/>
      <c r="L873" s="255"/>
      <c r="N873" s="293"/>
      <c r="P873" s="41"/>
    </row>
    <row r="874" spans="2:16" ht="16.5" customHeight="1" x14ac:dyDescent="0.35">
      <c r="B874" s="253"/>
      <c r="D874" s="255"/>
      <c r="F874" s="303"/>
      <c r="H874" s="41"/>
      <c r="J874" s="253"/>
      <c r="L874" s="255"/>
      <c r="N874" s="293"/>
      <c r="P874" s="41"/>
    </row>
    <row r="875" spans="2:16" ht="16.5" customHeight="1" x14ac:dyDescent="0.35">
      <c r="B875" s="253"/>
      <c r="D875" s="255"/>
      <c r="F875" s="303"/>
      <c r="H875" s="41"/>
      <c r="J875" s="253"/>
      <c r="L875" s="255"/>
      <c r="N875" s="293"/>
      <c r="P875" s="41"/>
    </row>
    <row r="876" spans="2:16" ht="16.5" customHeight="1" x14ac:dyDescent="0.35">
      <c r="B876" s="253"/>
      <c r="D876" s="255"/>
      <c r="F876" s="303"/>
      <c r="H876" s="41"/>
      <c r="J876" s="253"/>
      <c r="L876" s="255"/>
      <c r="N876" s="293"/>
      <c r="P876" s="41"/>
    </row>
    <row r="877" spans="2:16" ht="16.5" customHeight="1" x14ac:dyDescent="0.35">
      <c r="B877" s="253"/>
      <c r="D877" s="255"/>
      <c r="F877" s="303"/>
      <c r="H877" s="41"/>
      <c r="J877" s="253"/>
      <c r="L877" s="255"/>
      <c r="N877" s="293"/>
      <c r="P877" s="41"/>
    </row>
    <row r="878" spans="2:16" ht="16.5" customHeight="1" x14ac:dyDescent="0.35">
      <c r="B878" s="253"/>
      <c r="D878" s="255"/>
      <c r="F878" s="303"/>
      <c r="H878" s="41"/>
      <c r="J878" s="253"/>
      <c r="L878" s="255"/>
      <c r="N878" s="293"/>
      <c r="P878" s="41"/>
    </row>
    <row r="879" spans="2:16" ht="16.5" customHeight="1" x14ac:dyDescent="0.35">
      <c r="B879" s="253"/>
      <c r="D879" s="255"/>
      <c r="F879" s="303"/>
      <c r="H879" s="41"/>
      <c r="J879" s="253"/>
      <c r="L879" s="255"/>
      <c r="N879" s="293"/>
      <c r="P879" s="41"/>
    </row>
    <row r="880" spans="2:16" ht="16.5" customHeight="1" x14ac:dyDescent="0.35">
      <c r="B880" s="253"/>
      <c r="D880" s="255"/>
      <c r="F880" s="303"/>
      <c r="H880" s="41"/>
      <c r="J880" s="253"/>
      <c r="L880" s="255"/>
      <c r="N880" s="293"/>
      <c r="P880" s="41"/>
    </row>
    <row r="881" spans="2:16" ht="16.5" customHeight="1" x14ac:dyDescent="0.35">
      <c r="B881" s="253"/>
      <c r="D881" s="255"/>
      <c r="F881" s="303"/>
      <c r="H881" s="41"/>
      <c r="J881" s="253"/>
      <c r="L881" s="255"/>
      <c r="N881" s="293"/>
      <c r="P881" s="41"/>
    </row>
    <row r="882" spans="2:16" ht="16.5" customHeight="1" x14ac:dyDescent="0.35">
      <c r="B882" s="253"/>
      <c r="D882" s="255"/>
      <c r="F882" s="303"/>
      <c r="H882" s="41"/>
      <c r="J882" s="253"/>
      <c r="L882" s="255"/>
      <c r="N882" s="293"/>
      <c r="P882" s="41"/>
    </row>
    <row r="883" spans="2:16" ht="16.5" customHeight="1" x14ac:dyDescent="0.35">
      <c r="B883" s="253"/>
      <c r="D883" s="255"/>
      <c r="F883" s="303"/>
      <c r="H883" s="41"/>
      <c r="J883" s="253"/>
      <c r="L883" s="255"/>
      <c r="N883" s="293"/>
      <c r="P883" s="41"/>
    </row>
    <row r="884" spans="2:16" ht="16.5" customHeight="1" x14ac:dyDescent="0.35">
      <c r="B884" s="253"/>
      <c r="D884" s="255"/>
      <c r="F884" s="303"/>
      <c r="H884" s="41"/>
      <c r="J884" s="253"/>
      <c r="L884" s="255"/>
      <c r="N884" s="293"/>
      <c r="P884" s="41"/>
    </row>
    <row r="885" spans="2:16" ht="16.5" customHeight="1" x14ac:dyDescent="0.35">
      <c r="B885" s="253"/>
      <c r="D885" s="255"/>
      <c r="F885" s="303"/>
      <c r="H885" s="41"/>
      <c r="J885" s="253"/>
      <c r="L885" s="255"/>
      <c r="N885" s="293"/>
      <c r="P885" s="41"/>
    </row>
    <row r="886" spans="2:16" ht="16.5" customHeight="1" x14ac:dyDescent="0.35">
      <c r="B886" s="253"/>
      <c r="D886" s="255"/>
      <c r="F886" s="303"/>
      <c r="H886" s="41"/>
      <c r="J886" s="253"/>
      <c r="L886" s="255"/>
      <c r="N886" s="293"/>
      <c r="P886" s="41"/>
    </row>
    <row r="887" spans="2:16" ht="16.5" customHeight="1" x14ac:dyDescent="0.35">
      <c r="B887" s="253"/>
      <c r="D887" s="255"/>
      <c r="F887" s="303"/>
      <c r="H887" s="41"/>
      <c r="J887" s="253"/>
      <c r="L887" s="255"/>
      <c r="N887" s="293"/>
      <c r="P887" s="41"/>
    </row>
    <row r="888" spans="2:16" ht="16.5" customHeight="1" x14ac:dyDescent="0.35">
      <c r="B888" s="253"/>
      <c r="D888" s="255"/>
      <c r="F888" s="303"/>
      <c r="H888" s="41"/>
      <c r="J888" s="253"/>
      <c r="L888" s="255"/>
      <c r="N888" s="293"/>
      <c r="P888" s="41"/>
    </row>
    <row r="889" spans="2:16" ht="16.5" customHeight="1" x14ac:dyDescent="0.35">
      <c r="B889" s="253"/>
      <c r="D889" s="255"/>
      <c r="F889" s="303"/>
      <c r="H889" s="41"/>
      <c r="J889" s="253"/>
      <c r="L889" s="255"/>
      <c r="N889" s="293"/>
      <c r="P889" s="41"/>
    </row>
    <row r="890" spans="2:16" ht="16.5" customHeight="1" x14ac:dyDescent="0.35">
      <c r="B890" s="253"/>
      <c r="D890" s="255"/>
      <c r="F890" s="303"/>
      <c r="H890" s="41"/>
      <c r="J890" s="253"/>
      <c r="L890" s="255"/>
      <c r="N890" s="293"/>
      <c r="P890" s="41"/>
    </row>
    <row r="891" spans="2:16" ht="16.5" customHeight="1" x14ac:dyDescent="0.35">
      <c r="B891" s="253"/>
      <c r="D891" s="255"/>
      <c r="F891" s="303"/>
      <c r="H891" s="41"/>
      <c r="J891" s="253"/>
      <c r="L891" s="255"/>
      <c r="N891" s="293"/>
      <c r="P891" s="41"/>
    </row>
    <row r="892" spans="2:16" ht="16.5" customHeight="1" x14ac:dyDescent="0.35">
      <c r="B892" s="253"/>
      <c r="D892" s="255"/>
      <c r="F892" s="303"/>
      <c r="H892" s="41"/>
      <c r="J892" s="253"/>
      <c r="L892" s="255"/>
      <c r="N892" s="293"/>
      <c r="P892" s="41"/>
    </row>
    <row r="893" spans="2:16" ht="16.5" customHeight="1" x14ac:dyDescent="0.35">
      <c r="B893" s="253"/>
      <c r="D893" s="255"/>
      <c r="F893" s="303"/>
      <c r="H893" s="41"/>
      <c r="J893" s="253"/>
      <c r="L893" s="255"/>
      <c r="N893" s="293"/>
      <c r="P893" s="41"/>
    </row>
    <row r="894" spans="2:16" ht="16.5" customHeight="1" x14ac:dyDescent="0.35">
      <c r="B894" s="253"/>
      <c r="D894" s="255"/>
      <c r="F894" s="303"/>
      <c r="H894" s="41"/>
      <c r="J894" s="253"/>
      <c r="L894" s="255"/>
      <c r="N894" s="293"/>
      <c r="P894" s="41"/>
    </row>
    <row r="895" spans="2:16" ht="16.5" customHeight="1" x14ac:dyDescent="0.35">
      <c r="B895" s="253"/>
      <c r="D895" s="255"/>
      <c r="F895" s="303"/>
      <c r="H895" s="41"/>
      <c r="J895" s="253"/>
      <c r="L895" s="255"/>
      <c r="N895" s="293"/>
      <c r="P895" s="41"/>
    </row>
    <row r="896" spans="2:16" ht="16.5" customHeight="1" x14ac:dyDescent="0.35">
      <c r="B896" s="253"/>
      <c r="D896" s="255"/>
      <c r="F896" s="303"/>
      <c r="H896" s="41"/>
      <c r="J896" s="253"/>
      <c r="L896" s="255"/>
      <c r="N896" s="293"/>
      <c r="P896" s="41"/>
    </row>
    <row r="897" spans="2:16" ht="16.5" customHeight="1" x14ac:dyDescent="0.35">
      <c r="B897" s="253"/>
      <c r="D897" s="255"/>
      <c r="F897" s="303"/>
      <c r="H897" s="41"/>
      <c r="J897" s="253"/>
      <c r="L897" s="255"/>
      <c r="N897" s="293"/>
      <c r="P897" s="41"/>
    </row>
    <row r="898" spans="2:16" ht="16.5" customHeight="1" x14ac:dyDescent="0.35">
      <c r="B898" s="253"/>
      <c r="D898" s="255"/>
      <c r="F898" s="303"/>
      <c r="H898" s="41"/>
      <c r="J898" s="253"/>
      <c r="L898" s="255"/>
      <c r="N898" s="293"/>
      <c r="P898" s="41"/>
    </row>
    <row r="899" spans="2:16" ht="16.5" customHeight="1" x14ac:dyDescent="0.35">
      <c r="B899" s="253"/>
      <c r="D899" s="255"/>
      <c r="F899" s="303"/>
      <c r="H899" s="41"/>
      <c r="J899" s="253"/>
      <c r="L899" s="255"/>
      <c r="N899" s="293"/>
      <c r="P899" s="41"/>
    </row>
    <row r="900" spans="2:16" ht="16.5" customHeight="1" x14ac:dyDescent="0.35">
      <c r="B900" s="253"/>
      <c r="D900" s="255"/>
      <c r="F900" s="303"/>
      <c r="H900" s="41"/>
      <c r="J900" s="253"/>
      <c r="L900" s="255"/>
      <c r="N900" s="293"/>
      <c r="P900" s="41"/>
    </row>
    <row r="901" spans="2:16" ht="16.5" customHeight="1" x14ac:dyDescent="0.35">
      <c r="B901" s="253"/>
      <c r="D901" s="255"/>
      <c r="F901" s="303"/>
      <c r="H901" s="41"/>
      <c r="J901" s="253"/>
      <c r="L901" s="255"/>
      <c r="N901" s="293"/>
      <c r="P901" s="41"/>
    </row>
    <row r="902" spans="2:16" ht="16.5" customHeight="1" x14ac:dyDescent="0.35">
      <c r="B902" s="253"/>
      <c r="D902" s="255"/>
      <c r="F902" s="303"/>
      <c r="H902" s="41"/>
      <c r="J902" s="253"/>
      <c r="L902" s="255"/>
      <c r="N902" s="293"/>
      <c r="P902" s="41"/>
    </row>
    <row r="903" spans="2:16" ht="16.5" customHeight="1" x14ac:dyDescent="0.35">
      <c r="B903" s="253"/>
      <c r="D903" s="255"/>
      <c r="F903" s="303"/>
      <c r="H903" s="41"/>
      <c r="J903" s="253"/>
      <c r="L903" s="255"/>
      <c r="N903" s="293"/>
      <c r="P903" s="41"/>
    </row>
    <row r="904" spans="2:16" ht="16.5" customHeight="1" x14ac:dyDescent="0.35">
      <c r="B904" s="253"/>
      <c r="D904" s="255"/>
      <c r="F904" s="303"/>
      <c r="H904" s="41"/>
      <c r="J904" s="253"/>
      <c r="L904" s="255"/>
      <c r="N904" s="293"/>
      <c r="P904" s="41"/>
    </row>
    <row r="905" spans="2:16" ht="16.5" customHeight="1" x14ac:dyDescent="0.35">
      <c r="B905" s="253"/>
      <c r="D905" s="255"/>
      <c r="F905" s="303"/>
      <c r="H905" s="41"/>
      <c r="J905" s="253"/>
      <c r="L905" s="255"/>
      <c r="N905" s="293"/>
      <c r="P905" s="41"/>
    </row>
    <row r="906" spans="2:16" ht="16.5" customHeight="1" x14ac:dyDescent="0.35">
      <c r="B906" s="253"/>
      <c r="D906" s="255"/>
      <c r="F906" s="303"/>
      <c r="H906" s="41"/>
      <c r="J906" s="253"/>
      <c r="L906" s="255"/>
      <c r="N906" s="293"/>
      <c r="P906" s="41"/>
    </row>
    <row r="907" spans="2:16" ht="16.5" customHeight="1" x14ac:dyDescent="0.35">
      <c r="B907" s="253"/>
      <c r="D907" s="255"/>
      <c r="F907" s="303"/>
      <c r="H907" s="41"/>
      <c r="J907" s="253"/>
      <c r="L907" s="255"/>
      <c r="N907" s="293"/>
      <c r="P907" s="41"/>
    </row>
    <row r="908" spans="2:16" ht="16.5" customHeight="1" x14ac:dyDescent="0.35">
      <c r="B908" s="253"/>
      <c r="D908" s="255"/>
      <c r="F908" s="303"/>
      <c r="H908" s="41"/>
      <c r="J908" s="253"/>
      <c r="L908" s="255"/>
      <c r="N908" s="293"/>
      <c r="P908" s="41"/>
    </row>
    <row r="909" spans="2:16" ht="16.5" customHeight="1" x14ac:dyDescent="0.35">
      <c r="B909" s="253"/>
      <c r="D909" s="255"/>
      <c r="F909" s="303"/>
      <c r="H909" s="41"/>
      <c r="J909" s="253"/>
      <c r="L909" s="255"/>
      <c r="N909" s="293"/>
      <c r="P909" s="41"/>
    </row>
    <row r="910" spans="2:16" ht="16.5" customHeight="1" x14ac:dyDescent="0.35">
      <c r="B910" s="253"/>
      <c r="D910" s="255"/>
      <c r="F910" s="303"/>
      <c r="H910" s="41"/>
      <c r="J910" s="253"/>
      <c r="L910" s="255"/>
      <c r="N910" s="293"/>
      <c r="P910" s="41"/>
    </row>
    <row r="911" spans="2:16" ht="16.5" customHeight="1" x14ac:dyDescent="0.35">
      <c r="B911" s="253"/>
      <c r="D911" s="255"/>
      <c r="F911" s="303"/>
      <c r="H911" s="41"/>
      <c r="J911" s="253"/>
      <c r="L911" s="255"/>
      <c r="N911" s="293"/>
      <c r="P911" s="41"/>
    </row>
    <row r="912" spans="2:16" ht="16.5" customHeight="1" x14ac:dyDescent="0.35">
      <c r="B912" s="253"/>
      <c r="D912" s="255"/>
      <c r="F912" s="303"/>
      <c r="H912" s="41"/>
      <c r="J912" s="253"/>
      <c r="L912" s="255"/>
      <c r="N912" s="293"/>
      <c r="P912" s="41"/>
    </row>
    <row r="913" spans="2:16" ht="16.5" customHeight="1" x14ac:dyDescent="0.35">
      <c r="B913" s="253"/>
      <c r="D913" s="255"/>
      <c r="F913" s="303"/>
      <c r="H913" s="41"/>
      <c r="J913" s="253"/>
      <c r="L913" s="255"/>
      <c r="N913" s="293"/>
      <c r="P913" s="41"/>
    </row>
    <row r="914" spans="2:16" ht="16.5" customHeight="1" x14ac:dyDescent="0.35">
      <c r="B914" s="253"/>
      <c r="D914" s="255"/>
      <c r="F914" s="303"/>
      <c r="H914" s="41"/>
      <c r="J914" s="253"/>
      <c r="L914" s="255"/>
      <c r="N914" s="293"/>
      <c r="P914" s="41"/>
    </row>
    <row r="915" spans="2:16" ht="16.5" customHeight="1" x14ac:dyDescent="0.35">
      <c r="B915" s="253"/>
      <c r="D915" s="255"/>
      <c r="F915" s="303"/>
      <c r="H915" s="41"/>
      <c r="J915" s="253"/>
      <c r="L915" s="255"/>
      <c r="N915" s="293"/>
      <c r="P915" s="41"/>
    </row>
    <row r="916" spans="2:16" ht="16.5" customHeight="1" x14ac:dyDescent="0.35">
      <c r="B916" s="253"/>
      <c r="D916" s="255"/>
      <c r="F916" s="303"/>
      <c r="H916" s="41"/>
      <c r="J916" s="253"/>
      <c r="L916" s="255"/>
      <c r="N916" s="293"/>
      <c r="P916" s="41"/>
    </row>
    <row r="917" spans="2:16" ht="16.5" customHeight="1" x14ac:dyDescent="0.35">
      <c r="B917" s="253"/>
      <c r="D917" s="255"/>
      <c r="F917" s="303"/>
      <c r="H917" s="41"/>
      <c r="J917" s="253"/>
      <c r="L917" s="255"/>
      <c r="N917" s="293"/>
      <c r="P917" s="41"/>
    </row>
    <row r="918" spans="2:16" ht="16.5" customHeight="1" x14ac:dyDescent="0.35">
      <c r="B918" s="253"/>
      <c r="D918" s="255"/>
      <c r="F918" s="303"/>
      <c r="H918" s="41"/>
      <c r="J918" s="253"/>
      <c r="L918" s="255"/>
      <c r="N918" s="293"/>
      <c r="P918" s="41"/>
    </row>
    <row r="919" spans="2:16" ht="16.5" customHeight="1" x14ac:dyDescent="0.35">
      <c r="B919" s="253"/>
      <c r="D919" s="255"/>
      <c r="F919" s="303"/>
      <c r="H919" s="41"/>
      <c r="J919" s="253"/>
      <c r="L919" s="255"/>
      <c r="N919" s="293"/>
      <c r="P919" s="41"/>
    </row>
    <row r="920" spans="2:16" ht="16.5" customHeight="1" x14ac:dyDescent="0.35">
      <c r="B920" s="253"/>
      <c r="D920" s="255"/>
      <c r="F920" s="303"/>
      <c r="H920" s="41"/>
      <c r="J920" s="253"/>
      <c r="L920" s="255"/>
      <c r="N920" s="293"/>
      <c r="P920" s="41"/>
    </row>
    <row r="921" spans="2:16" ht="16.5" customHeight="1" x14ac:dyDescent="0.35">
      <c r="B921" s="253"/>
      <c r="D921" s="255"/>
      <c r="F921" s="303"/>
      <c r="H921" s="41"/>
      <c r="J921" s="253"/>
      <c r="L921" s="255"/>
      <c r="N921" s="293"/>
      <c r="P921" s="41"/>
    </row>
    <row r="922" spans="2:16" ht="16.5" customHeight="1" x14ac:dyDescent="0.35">
      <c r="B922" s="253"/>
      <c r="D922" s="255"/>
      <c r="F922" s="303"/>
      <c r="H922" s="41"/>
      <c r="J922" s="253"/>
      <c r="L922" s="255"/>
      <c r="N922" s="293"/>
      <c r="P922" s="41"/>
    </row>
    <row r="923" spans="2:16" ht="16.5" customHeight="1" x14ac:dyDescent="0.35">
      <c r="B923" s="253"/>
      <c r="D923" s="255"/>
      <c r="F923" s="303"/>
      <c r="H923" s="41"/>
      <c r="J923" s="253"/>
      <c r="L923" s="255"/>
      <c r="N923" s="293"/>
      <c r="P923" s="41"/>
    </row>
    <row r="924" spans="2:16" ht="16.5" customHeight="1" x14ac:dyDescent="0.35">
      <c r="B924" s="253"/>
      <c r="D924" s="255"/>
      <c r="F924" s="303"/>
      <c r="H924" s="41"/>
      <c r="J924" s="253"/>
      <c r="L924" s="255"/>
      <c r="N924" s="293"/>
      <c r="P924" s="41"/>
    </row>
    <row r="925" spans="2:16" ht="16.5" customHeight="1" x14ac:dyDescent="0.35">
      <c r="B925" s="253"/>
      <c r="D925" s="255"/>
      <c r="F925" s="303"/>
      <c r="H925" s="41"/>
      <c r="J925" s="253"/>
      <c r="L925" s="255"/>
      <c r="N925" s="293"/>
      <c r="P925" s="41"/>
    </row>
    <row r="926" spans="2:16" ht="16.5" customHeight="1" x14ac:dyDescent="0.35">
      <c r="B926" s="253"/>
      <c r="D926" s="255"/>
      <c r="F926" s="303"/>
      <c r="H926" s="41"/>
      <c r="J926" s="253"/>
      <c r="L926" s="255"/>
      <c r="N926" s="293"/>
      <c r="P926" s="41"/>
    </row>
    <row r="927" spans="2:16" ht="16.5" customHeight="1" x14ac:dyDescent="0.35">
      <c r="B927" s="253"/>
      <c r="D927" s="255"/>
      <c r="F927" s="303"/>
      <c r="H927" s="41"/>
      <c r="J927" s="253"/>
      <c r="L927" s="255"/>
      <c r="N927" s="293"/>
      <c r="P927" s="41"/>
    </row>
    <row r="928" spans="2:16" ht="16.5" customHeight="1" x14ac:dyDescent="0.35">
      <c r="B928" s="253"/>
      <c r="D928" s="255"/>
      <c r="F928" s="303"/>
      <c r="H928" s="41"/>
      <c r="J928" s="253"/>
      <c r="L928" s="255"/>
      <c r="N928" s="293"/>
      <c r="P928" s="41"/>
    </row>
    <row r="929" spans="2:16" ht="16.5" customHeight="1" x14ac:dyDescent="0.35">
      <c r="B929" s="253"/>
      <c r="D929" s="255"/>
      <c r="F929" s="303"/>
      <c r="H929" s="41"/>
      <c r="J929" s="253"/>
      <c r="L929" s="255"/>
      <c r="N929" s="293"/>
      <c r="P929" s="41"/>
    </row>
    <row r="930" spans="2:16" ht="16.5" customHeight="1" x14ac:dyDescent="0.35">
      <c r="B930" s="253"/>
      <c r="D930" s="255"/>
      <c r="F930" s="303"/>
      <c r="H930" s="41"/>
      <c r="J930" s="253"/>
      <c r="L930" s="255"/>
      <c r="N930" s="293"/>
      <c r="P930" s="41"/>
    </row>
    <row r="931" spans="2:16" ht="16.5" customHeight="1" x14ac:dyDescent="0.35">
      <c r="B931" s="253"/>
      <c r="D931" s="255"/>
      <c r="F931" s="303"/>
      <c r="H931" s="41"/>
      <c r="J931" s="253"/>
      <c r="L931" s="255"/>
      <c r="N931" s="293"/>
      <c r="P931" s="41"/>
    </row>
    <row r="932" spans="2:16" ht="16.5" customHeight="1" x14ac:dyDescent="0.35">
      <c r="B932" s="253"/>
      <c r="D932" s="255"/>
      <c r="F932" s="303"/>
      <c r="H932" s="41"/>
      <c r="J932" s="253"/>
      <c r="L932" s="255"/>
      <c r="N932" s="293"/>
      <c r="P932" s="41"/>
    </row>
    <row r="933" spans="2:16" ht="16.5" customHeight="1" x14ac:dyDescent="0.35">
      <c r="B933" s="253"/>
      <c r="D933" s="255"/>
      <c r="F933" s="303"/>
      <c r="H933" s="41"/>
      <c r="J933" s="253"/>
      <c r="L933" s="255"/>
      <c r="N933" s="293"/>
      <c r="P933" s="41"/>
    </row>
    <row r="934" spans="2:16" ht="16.5" customHeight="1" x14ac:dyDescent="0.35">
      <c r="B934" s="253"/>
      <c r="D934" s="255"/>
      <c r="F934" s="303"/>
      <c r="H934" s="41"/>
      <c r="J934" s="253"/>
      <c r="L934" s="255"/>
      <c r="N934" s="293"/>
      <c r="P934" s="41"/>
    </row>
    <row r="935" spans="2:16" ht="16.5" customHeight="1" x14ac:dyDescent="0.35">
      <c r="B935" s="253"/>
      <c r="D935" s="255"/>
      <c r="F935" s="303"/>
      <c r="H935" s="41"/>
      <c r="J935" s="253"/>
      <c r="L935" s="255"/>
      <c r="N935" s="293"/>
      <c r="P935" s="41"/>
    </row>
    <row r="936" spans="2:16" ht="16.5" customHeight="1" x14ac:dyDescent="0.35">
      <c r="B936" s="253"/>
      <c r="D936" s="255"/>
      <c r="F936" s="303"/>
      <c r="H936" s="41"/>
      <c r="J936" s="253"/>
      <c r="L936" s="255"/>
      <c r="N936" s="293"/>
      <c r="P936" s="41"/>
    </row>
    <row r="937" spans="2:16" ht="16.5" customHeight="1" x14ac:dyDescent="0.35">
      <c r="B937" s="253"/>
      <c r="D937" s="255"/>
      <c r="F937" s="303"/>
      <c r="H937" s="41"/>
      <c r="J937" s="253"/>
      <c r="L937" s="255"/>
      <c r="N937" s="293"/>
      <c r="P937" s="41"/>
    </row>
    <row r="938" spans="2:16" ht="16.5" customHeight="1" x14ac:dyDescent="0.35">
      <c r="B938" s="253"/>
      <c r="D938" s="255"/>
      <c r="F938" s="303"/>
      <c r="H938" s="41"/>
      <c r="J938" s="253"/>
      <c r="L938" s="255"/>
      <c r="N938" s="293"/>
      <c r="P938" s="41"/>
    </row>
    <row r="939" spans="2:16" ht="16.5" customHeight="1" x14ac:dyDescent="0.35">
      <c r="B939" s="253"/>
      <c r="D939" s="255"/>
      <c r="F939" s="303"/>
      <c r="H939" s="41"/>
      <c r="J939" s="253"/>
      <c r="L939" s="255"/>
      <c r="N939" s="293"/>
      <c r="P939" s="41"/>
    </row>
    <row r="940" spans="2:16" ht="16.5" customHeight="1" x14ac:dyDescent="0.35">
      <c r="B940" s="253"/>
      <c r="D940" s="255"/>
      <c r="F940" s="303"/>
      <c r="H940" s="41"/>
      <c r="J940" s="253"/>
      <c r="L940" s="255"/>
      <c r="N940" s="293"/>
      <c r="P940" s="41"/>
    </row>
    <row r="941" spans="2:16" ht="16.5" customHeight="1" x14ac:dyDescent="0.35">
      <c r="B941" s="253"/>
      <c r="D941" s="255"/>
      <c r="F941" s="303"/>
      <c r="H941" s="41"/>
      <c r="J941" s="253"/>
      <c r="L941" s="255"/>
      <c r="N941" s="293"/>
      <c r="P941" s="41"/>
    </row>
    <row r="942" spans="2:16" ht="16.5" customHeight="1" x14ac:dyDescent="0.35">
      <c r="B942" s="253"/>
      <c r="D942" s="255"/>
      <c r="F942" s="303"/>
      <c r="H942" s="41"/>
      <c r="J942" s="253"/>
      <c r="L942" s="255"/>
      <c r="N942" s="293"/>
      <c r="P942" s="41"/>
    </row>
    <row r="943" spans="2:16" ht="16.5" customHeight="1" x14ac:dyDescent="0.35">
      <c r="B943" s="253"/>
      <c r="D943" s="255"/>
      <c r="F943" s="303"/>
      <c r="H943" s="41"/>
      <c r="J943" s="253"/>
      <c r="L943" s="255"/>
      <c r="N943" s="293"/>
      <c r="P943" s="41"/>
    </row>
    <row r="944" spans="2:16" ht="16.5" customHeight="1" x14ac:dyDescent="0.35">
      <c r="B944" s="253"/>
      <c r="D944" s="255"/>
      <c r="F944" s="303"/>
      <c r="H944" s="41"/>
      <c r="J944" s="253"/>
      <c r="L944" s="255"/>
      <c r="N944" s="293"/>
      <c r="P944" s="41"/>
    </row>
    <row r="945" spans="2:16" ht="16.5" customHeight="1" x14ac:dyDescent="0.35">
      <c r="B945" s="253"/>
      <c r="D945" s="255"/>
      <c r="F945" s="303"/>
      <c r="H945" s="41"/>
      <c r="J945" s="253"/>
      <c r="L945" s="255"/>
      <c r="N945" s="293"/>
      <c r="P945" s="41"/>
    </row>
    <row r="946" spans="2:16" ht="16.5" customHeight="1" x14ac:dyDescent="0.35">
      <c r="B946" s="253"/>
      <c r="D946" s="255"/>
      <c r="F946" s="303"/>
      <c r="H946" s="41"/>
      <c r="J946" s="253"/>
      <c r="L946" s="255"/>
      <c r="N946" s="293"/>
      <c r="P946" s="41"/>
    </row>
    <row r="947" spans="2:16" ht="16.5" customHeight="1" x14ac:dyDescent="0.35">
      <c r="B947" s="253"/>
      <c r="D947" s="255"/>
      <c r="F947" s="303"/>
      <c r="H947" s="41"/>
      <c r="J947" s="253"/>
      <c r="L947" s="255"/>
      <c r="N947" s="293"/>
      <c r="P947" s="41"/>
    </row>
    <row r="948" spans="2:16" ht="16.5" customHeight="1" x14ac:dyDescent="0.35">
      <c r="B948" s="253"/>
      <c r="D948" s="255"/>
      <c r="F948" s="303"/>
      <c r="H948" s="41"/>
      <c r="J948" s="253"/>
      <c r="L948" s="255"/>
      <c r="N948" s="293"/>
      <c r="P948" s="41"/>
    </row>
    <row r="949" spans="2:16" ht="16.5" customHeight="1" x14ac:dyDescent="0.35">
      <c r="B949" s="253"/>
      <c r="D949" s="255"/>
      <c r="F949" s="303"/>
      <c r="H949" s="41"/>
      <c r="J949" s="253"/>
      <c r="L949" s="255"/>
      <c r="N949" s="293"/>
      <c r="P949" s="41"/>
    </row>
    <row r="950" spans="2:16" ht="16.5" customHeight="1" x14ac:dyDescent="0.35">
      <c r="B950" s="253"/>
      <c r="D950" s="255"/>
      <c r="F950" s="303"/>
      <c r="H950" s="41"/>
      <c r="J950" s="253"/>
      <c r="L950" s="255"/>
      <c r="N950" s="293"/>
      <c r="P950" s="41"/>
    </row>
    <row r="951" spans="2:16" ht="16.5" customHeight="1" x14ac:dyDescent="0.35">
      <c r="B951" s="253"/>
      <c r="D951" s="255"/>
      <c r="F951" s="303"/>
      <c r="H951" s="41"/>
      <c r="J951" s="253"/>
      <c r="L951" s="255"/>
      <c r="N951" s="293"/>
      <c r="P951" s="41"/>
    </row>
    <row r="952" spans="2:16" ht="16.5" customHeight="1" x14ac:dyDescent="0.35">
      <c r="B952" s="253"/>
      <c r="D952" s="255"/>
      <c r="F952" s="303"/>
      <c r="H952" s="41"/>
      <c r="J952" s="253"/>
      <c r="L952" s="255"/>
      <c r="N952" s="293"/>
      <c r="P952" s="41"/>
    </row>
    <row r="953" spans="2:16" ht="16.5" customHeight="1" x14ac:dyDescent="0.35">
      <c r="B953" s="253"/>
      <c r="D953" s="255"/>
      <c r="F953" s="303"/>
      <c r="H953" s="41"/>
      <c r="J953" s="253"/>
      <c r="L953" s="255"/>
      <c r="N953" s="293"/>
      <c r="P953" s="41"/>
    </row>
    <row r="954" spans="2:16" ht="16.5" customHeight="1" x14ac:dyDescent="0.35">
      <c r="B954" s="253"/>
      <c r="D954" s="255"/>
      <c r="F954" s="303"/>
      <c r="H954" s="41"/>
      <c r="J954" s="253"/>
      <c r="L954" s="255"/>
      <c r="N954" s="293"/>
      <c r="P954" s="41"/>
    </row>
    <row r="955" spans="2:16" ht="16.5" customHeight="1" x14ac:dyDescent="0.35">
      <c r="B955" s="253"/>
      <c r="D955" s="255"/>
      <c r="F955" s="303"/>
      <c r="H955" s="41"/>
      <c r="J955" s="253"/>
      <c r="L955" s="255"/>
      <c r="N955" s="293"/>
      <c r="P955" s="41"/>
    </row>
    <row r="956" spans="2:16" ht="16.5" customHeight="1" x14ac:dyDescent="0.35">
      <c r="B956" s="253"/>
      <c r="D956" s="255"/>
      <c r="F956" s="303"/>
      <c r="H956" s="41"/>
      <c r="J956" s="253"/>
      <c r="L956" s="255"/>
      <c r="N956" s="293"/>
      <c r="P956" s="41"/>
    </row>
    <row r="957" spans="2:16" ht="16.5" customHeight="1" x14ac:dyDescent="0.35">
      <c r="B957" s="253"/>
      <c r="D957" s="255"/>
      <c r="F957" s="303"/>
      <c r="H957" s="41"/>
      <c r="J957" s="253"/>
      <c r="L957" s="255"/>
      <c r="N957" s="293"/>
      <c r="P957" s="41"/>
    </row>
    <row r="958" spans="2:16" ht="16.5" customHeight="1" x14ac:dyDescent="0.35">
      <c r="B958" s="253"/>
      <c r="D958" s="255"/>
      <c r="F958" s="303"/>
      <c r="H958" s="41"/>
      <c r="J958" s="253"/>
      <c r="L958" s="255"/>
      <c r="N958" s="293"/>
      <c r="P958" s="41"/>
    </row>
    <row r="959" spans="2:16" ht="16.5" customHeight="1" x14ac:dyDescent="0.35">
      <c r="B959" s="253"/>
      <c r="D959" s="255"/>
      <c r="F959" s="303"/>
      <c r="H959" s="41"/>
      <c r="J959" s="253"/>
      <c r="L959" s="255"/>
      <c r="N959" s="293"/>
      <c r="P959" s="41"/>
    </row>
    <row r="960" spans="2:16" ht="16.5" customHeight="1" x14ac:dyDescent="0.35">
      <c r="B960" s="253"/>
      <c r="D960" s="255"/>
      <c r="F960" s="303"/>
      <c r="H960" s="41"/>
      <c r="J960" s="253"/>
      <c r="L960" s="255"/>
      <c r="N960" s="293"/>
      <c r="P960" s="41"/>
    </row>
    <row r="961" spans="2:16" ht="16.5" customHeight="1" x14ac:dyDescent="0.35">
      <c r="B961" s="253"/>
      <c r="D961" s="255"/>
      <c r="F961" s="303"/>
      <c r="H961" s="41"/>
      <c r="J961" s="253"/>
      <c r="L961" s="255"/>
      <c r="N961" s="293"/>
      <c r="P961" s="41"/>
    </row>
    <row r="962" spans="2:16" ht="16.5" customHeight="1" x14ac:dyDescent="0.35">
      <c r="B962" s="253"/>
      <c r="D962" s="255"/>
      <c r="F962" s="303"/>
      <c r="H962" s="41"/>
      <c r="J962" s="253"/>
      <c r="L962" s="255"/>
      <c r="N962" s="293"/>
      <c r="P962" s="41"/>
    </row>
    <row r="963" spans="2:16" ht="16.5" customHeight="1" x14ac:dyDescent="0.35">
      <c r="B963" s="253"/>
      <c r="D963" s="255"/>
      <c r="F963" s="303"/>
      <c r="H963" s="41"/>
      <c r="J963" s="253"/>
      <c r="L963" s="255"/>
      <c r="N963" s="293"/>
      <c r="P963" s="41"/>
    </row>
    <row r="964" spans="2:16" ht="16.5" customHeight="1" x14ac:dyDescent="0.35">
      <c r="B964" s="253"/>
      <c r="D964" s="255"/>
      <c r="F964" s="303"/>
      <c r="H964" s="41"/>
      <c r="J964" s="253"/>
      <c r="L964" s="255"/>
      <c r="N964" s="293"/>
      <c r="P964" s="41"/>
    </row>
    <row r="965" spans="2:16" ht="16.5" customHeight="1" x14ac:dyDescent="0.35">
      <c r="B965" s="253"/>
      <c r="D965" s="255"/>
      <c r="F965" s="303"/>
      <c r="H965" s="41"/>
      <c r="J965" s="253"/>
      <c r="L965" s="255"/>
      <c r="N965" s="293"/>
      <c r="P965" s="41"/>
    </row>
    <row r="966" spans="2:16" ht="16.5" customHeight="1" x14ac:dyDescent="0.35">
      <c r="B966" s="253"/>
      <c r="D966" s="255"/>
      <c r="F966" s="303"/>
      <c r="H966" s="41"/>
      <c r="J966" s="253"/>
      <c r="L966" s="255"/>
      <c r="N966" s="293"/>
      <c r="P966" s="41"/>
    </row>
    <row r="967" spans="2:16" ht="16.5" customHeight="1" x14ac:dyDescent="0.35">
      <c r="B967" s="253"/>
      <c r="D967" s="255"/>
      <c r="F967" s="303"/>
      <c r="H967" s="41"/>
      <c r="J967" s="253"/>
      <c r="L967" s="255"/>
      <c r="N967" s="293"/>
      <c r="P967" s="41"/>
    </row>
    <row r="968" spans="2:16" ht="16.5" customHeight="1" x14ac:dyDescent="0.35">
      <c r="B968" s="253"/>
      <c r="D968" s="255"/>
      <c r="F968" s="303"/>
      <c r="H968" s="41"/>
      <c r="J968" s="253"/>
      <c r="L968" s="255"/>
      <c r="N968" s="293"/>
      <c r="P968" s="41"/>
    </row>
    <row r="969" spans="2:16" ht="16.5" customHeight="1" x14ac:dyDescent="0.35">
      <c r="B969" s="253"/>
      <c r="D969" s="255"/>
      <c r="F969" s="303"/>
      <c r="H969" s="41"/>
      <c r="J969" s="253"/>
      <c r="L969" s="255"/>
      <c r="N969" s="293"/>
      <c r="P969" s="41"/>
    </row>
    <row r="970" spans="2:16" ht="16.5" customHeight="1" x14ac:dyDescent="0.35">
      <c r="B970" s="253"/>
      <c r="D970" s="255"/>
      <c r="F970" s="303"/>
      <c r="H970" s="41"/>
      <c r="J970" s="253"/>
      <c r="L970" s="255"/>
      <c r="N970" s="293"/>
      <c r="P970" s="41"/>
    </row>
    <row r="971" spans="2:16" ht="16.5" customHeight="1" x14ac:dyDescent="0.35">
      <c r="B971" s="253"/>
      <c r="D971" s="255"/>
      <c r="F971" s="303"/>
      <c r="H971" s="41"/>
      <c r="J971" s="253"/>
      <c r="L971" s="255"/>
      <c r="N971" s="293"/>
      <c r="P971" s="41"/>
    </row>
    <row r="972" spans="2:16" ht="16.5" customHeight="1" x14ac:dyDescent="0.35">
      <c r="B972" s="253"/>
      <c r="D972" s="255"/>
      <c r="F972" s="303"/>
      <c r="H972" s="41"/>
      <c r="J972" s="253"/>
      <c r="L972" s="255"/>
      <c r="N972" s="293"/>
      <c r="P972" s="41"/>
    </row>
    <row r="973" spans="2:16" ht="16.5" customHeight="1" x14ac:dyDescent="0.35">
      <c r="B973" s="253"/>
      <c r="D973" s="255"/>
      <c r="F973" s="303"/>
      <c r="H973" s="41"/>
      <c r="J973" s="253"/>
      <c r="L973" s="255"/>
      <c r="N973" s="293"/>
      <c r="P973" s="41"/>
    </row>
    <row r="974" spans="2:16" ht="16.5" customHeight="1" x14ac:dyDescent="0.35">
      <c r="B974" s="253"/>
      <c r="D974" s="255"/>
      <c r="F974" s="303"/>
      <c r="H974" s="41"/>
      <c r="J974" s="253"/>
      <c r="L974" s="255"/>
      <c r="N974" s="293"/>
      <c r="P974" s="41"/>
    </row>
    <row r="975" spans="2:16" ht="16.5" customHeight="1" x14ac:dyDescent="0.35">
      <c r="B975" s="253"/>
      <c r="D975" s="255"/>
      <c r="F975" s="303"/>
      <c r="H975" s="41"/>
      <c r="J975" s="253"/>
      <c r="L975" s="255"/>
      <c r="N975" s="293"/>
      <c r="P975" s="41"/>
    </row>
    <row r="976" spans="2:16" ht="16.5" customHeight="1" x14ac:dyDescent="0.35">
      <c r="B976" s="253"/>
      <c r="D976" s="255"/>
      <c r="F976" s="303"/>
      <c r="H976" s="41"/>
      <c r="J976" s="253"/>
      <c r="L976" s="255"/>
      <c r="N976" s="293"/>
      <c r="P976" s="41"/>
    </row>
    <row r="977" spans="2:16" ht="16.5" customHeight="1" x14ac:dyDescent="0.35">
      <c r="B977" s="253"/>
      <c r="D977" s="255"/>
      <c r="F977" s="303"/>
      <c r="H977" s="41"/>
      <c r="J977" s="253"/>
      <c r="L977" s="255"/>
      <c r="N977" s="293"/>
      <c r="P977" s="41"/>
    </row>
    <row r="978" spans="2:16" ht="16.5" customHeight="1" x14ac:dyDescent="0.35">
      <c r="B978" s="253"/>
      <c r="D978" s="255"/>
      <c r="F978" s="303"/>
      <c r="H978" s="41"/>
      <c r="J978" s="253"/>
      <c r="L978" s="255"/>
      <c r="N978" s="293"/>
      <c r="P978" s="41"/>
    </row>
    <row r="979" spans="2:16" ht="16.5" customHeight="1" x14ac:dyDescent="0.35">
      <c r="B979" s="253"/>
      <c r="D979" s="255"/>
      <c r="F979" s="303"/>
      <c r="H979" s="41"/>
      <c r="J979" s="253"/>
      <c r="L979" s="255"/>
      <c r="N979" s="293"/>
      <c r="P979" s="41"/>
    </row>
    <row r="980" spans="2:16" ht="16.5" customHeight="1" x14ac:dyDescent="0.35">
      <c r="B980" s="253"/>
      <c r="D980" s="255"/>
      <c r="F980" s="303"/>
      <c r="H980" s="41"/>
      <c r="J980" s="253"/>
      <c r="L980" s="255"/>
      <c r="N980" s="293"/>
      <c r="P980" s="41"/>
    </row>
    <row r="981" spans="2:16" ht="16.5" customHeight="1" x14ac:dyDescent="0.35">
      <c r="B981" s="253"/>
      <c r="D981" s="255"/>
      <c r="F981" s="303"/>
      <c r="H981" s="41"/>
      <c r="J981" s="253"/>
      <c r="L981" s="255"/>
      <c r="N981" s="293"/>
      <c r="P981" s="41"/>
    </row>
    <row r="982" spans="2:16" ht="16.5" customHeight="1" x14ac:dyDescent="0.35">
      <c r="B982" s="253"/>
      <c r="D982" s="255"/>
      <c r="F982" s="303"/>
      <c r="H982" s="41"/>
      <c r="J982" s="253"/>
      <c r="L982" s="255"/>
      <c r="N982" s="293"/>
      <c r="P982" s="41"/>
    </row>
    <row r="983" spans="2:16" ht="16.5" customHeight="1" x14ac:dyDescent="0.35">
      <c r="B983" s="253"/>
      <c r="D983" s="255"/>
      <c r="F983" s="303"/>
      <c r="H983" s="41"/>
      <c r="J983" s="253"/>
      <c r="L983" s="255"/>
      <c r="N983" s="293"/>
      <c r="P983" s="41"/>
    </row>
    <row r="984" spans="2:16" ht="16.5" customHeight="1" x14ac:dyDescent="0.35">
      <c r="B984" s="253"/>
      <c r="D984" s="255"/>
      <c r="F984" s="303"/>
      <c r="H984" s="41"/>
      <c r="J984" s="253"/>
      <c r="L984" s="255"/>
      <c r="N984" s="293"/>
      <c r="P984" s="41"/>
    </row>
    <row r="985" spans="2:16" ht="16.5" customHeight="1" x14ac:dyDescent="0.35">
      <c r="B985" s="253"/>
      <c r="D985" s="255"/>
      <c r="F985" s="303"/>
      <c r="H985" s="41"/>
      <c r="J985" s="253"/>
      <c r="L985" s="255"/>
      <c r="N985" s="293"/>
      <c r="P985" s="41"/>
    </row>
    <row r="986" spans="2:16" ht="16.5" customHeight="1" x14ac:dyDescent="0.35">
      <c r="B986" s="253"/>
      <c r="D986" s="255"/>
      <c r="F986" s="303"/>
      <c r="H986" s="41"/>
      <c r="J986" s="253"/>
      <c r="L986" s="255"/>
      <c r="N986" s="293"/>
      <c r="P986" s="41"/>
    </row>
    <row r="987" spans="2:16" ht="16.5" customHeight="1" x14ac:dyDescent="0.35">
      <c r="B987" s="253"/>
      <c r="D987" s="255"/>
      <c r="F987" s="303"/>
      <c r="H987" s="41"/>
      <c r="J987" s="253"/>
      <c r="L987" s="255"/>
      <c r="N987" s="293"/>
      <c r="P987" s="41"/>
    </row>
    <row r="988" spans="2:16" ht="16.5" customHeight="1" x14ac:dyDescent="0.35">
      <c r="B988" s="253"/>
      <c r="D988" s="255"/>
      <c r="F988" s="303"/>
      <c r="H988" s="41"/>
      <c r="J988" s="253"/>
      <c r="L988" s="255"/>
      <c r="N988" s="293"/>
      <c r="P988" s="41"/>
    </row>
    <row r="989" spans="2:16" ht="16.5" customHeight="1" x14ac:dyDescent="0.35">
      <c r="B989" s="253"/>
      <c r="D989" s="255"/>
      <c r="F989" s="303"/>
      <c r="H989" s="41"/>
      <c r="J989" s="253"/>
      <c r="L989" s="255"/>
      <c r="N989" s="293"/>
      <c r="P989" s="41"/>
    </row>
    <row r="990" spans="2:16" ht="16.5" customHeight="1" x14ac:dyDescent="0.35">
      <c r="B990" s="253"/>
      <c r="D990" s="255"/>
      <c r="F990" s="303"/>
      <c r="H990" s="41"/>
      <c r="J990" s="253"/>
      <c r="L990" s="255"/>
      <c r="N990" s="293"/>
      <c r="P990" s="41"/>
    </row>
    <row r="991" spans="2:16" ht="16.5" customHeight="1" x14ac:dyDescent="0.35">
      <c r="B991" s="253"/>
      <c r="D991" s="255"/>
      <c r="F991" s="303"/>
      <c r="H991" s="41"/>
      <c r="J991" s="253"/>
      <c r="L991" s="255"/>
      <c r="N991" s="293"/>
      <c r="P991" s="41"/>
    </row>
    <row r="992" spans="2:16" ht="16.5" customHeight="1" x14ac:dyDescent="0.35">
      <c r="B992" s="253"/>
      <c r="D992" s="255"/>
      <c r="F992" s="303"/>
      <c r="H992" s="41"/>
      <c r="J992" s="253"/>
      <c r="L992" s="255"/>
      <c r="N992" s="293"/>
      <c r="P992" s="41"/>
    </row>
    <row r="993" spans="2:16" ht="16.5" customHeight="1" x14ac:dyDescent="0.35">
      <c r="B993" s="253"/>
      <c r="D993" s="255"/>
      <c r="F993" s="303"/>
      <c r="H993" s="41"/>
      <c r="J993" s="253"/>
      <c r="L993" s="255"/>
      <c r="N993" s="293"/>
      <c r="P993" s="41"/>
    </row>
    <row r="994" spans="2:16" ht="16.5" customHeight="1" x14ac:dyDescent="0.35">
      <c r="B994" s="253"/>
      <c r="D994" s="255"/>
      <c r="F994" s="303"/>
      <c r="H994" s="41"/>
      <c r="J994" s="253"/>
      <c r="L994" s="255"/>
      <c r="N994" s="293"/>
      <c r="P994" s="41"/>
    </row>
    <row r="995" spans="2:16" ht="16.5" customHeight="1" x14ac:dyDescent="0.35">
      <c r="B995" s="253"/>
      <c r="D995" s="255"/>
      <c r="F995" s="303"/>
      <c r="H995" s="41"/>
      <c r="J995" s="253"/>
      <c r="L995" s="255"/>
      <c r="N995" s="293"/>
      <c r="P995" s="41"/>
    </row>
    <row r="996" spans="2:16" ht="16.5" customHeight="1" x14ac:dyDescent="0.35">
      <c r="B996" s="253"/>
      <c r="D996" s="255"/>
      <c r="F996" s="303"/>
      <c r="H996" s="41"/>
      <c r="J996" s="253"/>
      <c r="L996" s="255"/>
      <c r="N996" s="293"/>
      <c r="P996" s="41"/>
    </row>
    <row r="997" spans="2:16" ht="16.5" customHeight="1" x14ac:dyDescent="0.35">
      <c r="B997" s="253"/>
      <c r="D997" s="255"/>
      <c r="F997" s="303"/>
      <c r="H997" s="41"/>
      <c r="J997" s="253"/>
      <c r="L997" s="255"/>
      <c r="N997" s="293"/>
      <c r="P997" s="41"/>
    </row>
    <row r="998" spans="2:16" ht="16.5" customHeight="1" x14ac:dyDescent="0.35">
      <c r="B998" s="253"/>
      <c r="D998" s="255"/>
      <c r="F998" s="303"/>
      <c r="H998" s="41"/>
      <c r="J998" s="253"/>
      <c r="L998" s="255"/>
      <c r="N998" s="293"/>
      <c r="P998" s="41"/>
    </row>
    <row r="999" spans="2:16" ht="16.5" customHeight="1" x14ac:dyDescent="0.35">
      <c r="B999" s="253"/>
      <c r="D999" s="255"/>
      <c r="F999" s="303"/>
      <c r="H999" s="41"/>
      <c r="J999" s="253"/>
      <c r="L999" s="255"/>
      <c r="N999" s="293"/>
      <c r="P999" s="41"/>
    </row>
    <row r="1000" spans="2:16" ht="16.5" customHeight="1" x14ac:dyDescent="0.35">
      <c r="B1000" s="253"/>
      <c r="D1000" s="255"/>
      <c r="F1000" s="303"/>
      <c r="H1000" s="41"/>
      <c r="J1000" s="253"/>
      <c r="L1000" s="255"/>
      <c r="N1000" s="293"/>
      <c r="P1000" s="41"/>
    </row>
    <row r="1001" spans="2:16" ht="16.5" customHeight="1" x14ac:dyDescent="0.35">
      <c r="B1001" s="253"/>
      <c r="D1001" s="255"/>
      <c r="F1001" s="303"/>
      <c r="H1001" s="41"/>
      <c r="J1001" s="253"/>
      <c r="L1001" s="255"/>
      <c r="N1001" s="293"/>
      <c r="P1001" s="41"/>
    </row>
    <row r="1002" spans="2:16" ht="16.5" customHeight="1" x14ac:dyDescent="0.35">
      <c r="B1002" s="253"/>
      <c r="D1002" s="255"/>
      <c r="F1002" s="303"/>
      <c r="H1002" s="41"/>
      <c r="J1002" s="253"/>
      <c r="L1002" s="255"/>
      <c r="N1002" s="293"/>
      <c r="P1002" s="41"/>
    </row>
    <row r="1003" spans="2:16" ht="16.5" customHeight="1" x14ac:dyDescent="0.35">
      <c r="B1003" s="253"/>
      <c r="D1003" s="255"/>
      <c r="F1003" s="303"/>
      <c r="H1003" s="41"/>
      <c r="J1003" s="253"/>
      <c r="L1003" s="255"/>
      <c r="N1003" s="293"/>
      <c r="P1003" s="41"/>
    </row>
    <row r="1004" spans="2:16" ht="16.5" customHeight="1" x14ac:dyDescent="0.35">
      <c r="B1004" s="253"/>
      <c r="D1004" s="255"/>
      <c r="F1004" s="303"/>
      <c r="H1004" s="41"/>
      <c r="J1004" s="253"/>
      <c r="L1004" s="255"/>
      <c r="N1004" s="293"/>
      <c r="P1004" s="41"/>
    </row>
    <row r="1005" spans="2:16" ht="16.5" customHeight="1" x14ac:dyDescent="0.35">
      <c r="B1005" s="253"/>
      <c r="D1005" s="255"/>
      <c r="F1005" s="303"/>
      <c r="H1005" s="41"/>
      <c r="J1005" s="253"/>
      <c r="L1005" s="255"/>
      <c r="N1005" s="293"/>
      <c r="P1005" s="41"/>
    </row>
    <row r="1006" spans="2:16" ht="16.5" customHeight="1" x14ac:dyDescent="0.35">
      <c r="B1006" s="253"/>
      <c r="D1006" s="255"/>
      <c r="F1006" s="303"/>
      <c r="H1006" s="41"/>
      <c r="J1006" s="253"/>
      <c r="L1006" s="255"/>
      <c r="N1006" s="293"/>
      <c r="P1006" s="41"/>
    </row>
    <row r="1007" spans="2:16" ht="16.5" customHeight="1" x14ac:dyDescent="0.35">
      <c r="B1007" s="253"/>
      <c r="D1007" s="255"/>
      <c r="F1007" s="303"/>
      <c r="H1007" s="41"/>
      <c r="J1007" s="253"/>
      <c r="L1007" s="255"/>
      <c r="N1007" s="293"/>
      <c r="P1007" s="41"/>
    </row>
    <row r="1008" spans="2:16" ht="16.5" customHeight="1" x14ac:dyDescent="0.35">
      <c r="B1008" s="253"/>
      <c r="D1008" s="255"/>
      <c r="F1008" s="303"/>
      <c r="H1008" s="41"/>
      <c r="J1008" s="253"/>
      <c r="L1008" s="255"/>
      <c r="N1008" s="293"/>
      <c r="P1008" s="41"/>
    </row>
    <row r="1009" spans="2:16" ht="16.5" customHeight="1" x14ac:dyDescent="0.35">
      <c r="B1009" s="253"/>
      <c r="D1009" s="255"/>
      <c r="F1009" s="303"/>
      <c r="H1009" s="41"/>
      <c r="J1009" s="253"/>
      <c r="L1009" s="255"/>
      <c r="N1009" s="293"/>
      <c r="P1009" s="41"/>
    </row>
    <row r="1010" spans="2:16" ht="16.5" customHeight="1" x14ac:dyDescent="0.35">
      <c r="B1010" s="253"/>
      <c r="D1010" s="255"/>
      <c r="F1010" s="303"/>
      <c r="H1010" s="41"/>
      <c r="J1010" s="253"/>
      <c r="L1010" s="255"/>
      <c r="N1010" s="293"/>
      <c r="P1010" s="41"/>
    </row>
    <row r="1011" spans="2:16" ht="16.5" customHeight="1" x14ac:dyDescent="0.35">
      <c r="B1011" s="253"/>
      <c r="D1011" s="255"/>
      <c r="F1011" s="303"/>
      <c r="H1011" s="41"/>
      <c r="J1011" s="253"/>
      <c r="L1011" s="255"/>
      <c r="N1011" s="293"/>
      <c r="P1011" s="41"/>
    </row>
    <row r="1012" spans="2:16" ht="16.5" customHeight="1" x14ac:dyDescent="0.35">
      <c r="B1012" s="253"/>
      <c r="D1012" s="255"/>
      <c r="F1012" s="303"/>
      <c r="H1012" s="41"/>
      <c r="J1012" s="253"/>
      <c r="L1012" s="255"/>
      <c r="N1012" s="293"/>
      <c r="P1012" s="41"/>
    </row>
    <row r="1013" spans="2:16" ht="16.5" customHeight="1" x14ac:dyDescent="0.35">
      <c r="B1013" s="253"/>
      <c r="D1013" s="255"/>
      <c r="F1013" s="303"/>
      <c r="H1013" s="41"/>
      <c r="J1013" s="253"/>
      <c r="L1013" s="255"/>
      <c r="N1013" s="293"/>
      <c r="P1013" s="41"/>
    </row>
    <row r="1014" spans="2:16" ht="16.5" customHeight="1" x14ac:dyDescent="0.35">
      <c r="B1014" s="253"/>
      <c r="D1014" s="255"/>
      <c r="F1014" s="303"/>
      <c r="H1014" s="41"/>
      <c r="J1014" s="253"/>
      <c r="L1014" s="255"/>
      <c r="N1014" s="293"/>
      <c r="P1014" s="41"/>
    </row>
    <row r="1015" spans="2:16" ht="16.5" customHeight="1" x14ac:dyDescent="0.35">
      <c r="B1015" s="253"/>
      <c r="D1015" s="255"/>
      <c r="F1015" s="303"/>
      <c r="H1015" s="41"/>
      <c r="J1015" s="253"/>
      <c r="L1015" s="255"/>
      <c r="N1015" s="293"/>
      <c r="P1015" s="41"/>
    </row>
    <row r="1016" spans="2:16" ht="16.5" customHeight="1" x14ac:dyDescent="0.35">
      <c r="B1016" s="253"/>
      <c r="D1016" s="255"/>
      <c r="F1016" s="303"/>
      <c r="H1016" s="41"/>
      <c r="J1016" s="253"/>
      <c r="L1016" s="255"/>
      <c r="N1016" s="293"/>
      <c r="P1016" s="41"/>
    </row>
    <row r="1017" spans="2:16" ht="16.5" customHeight="1" x14ac:dyDescent="0.35">
      <c r="B1017" s="253"/>
      <c r="D1017" s="255"/>
      <c r="F1017" s="303"/>
      <c r="H1017" s="41"/>
      <c r="J1017" s="253"/>
      <c r="L1017" s="255"/>
      <c r="N1017" s="293"/>
      <c r="P1017" s="41"/>
    </row>
    <row r="1018" spans="2:16" ht="16.5" customHeight="1" x14ac:dyDescent="0.35">
      <c r="B1018" s="253"/>
      <c r="D1018" s="255"/>
      <c r="F1018" s="303"/>
      <c r="H1018" s="41"/>
      <c r="J1018" s="253"/>
      <c r="L1018" s="255"/>
      <c r="N1018" s="293"/>
      <c r="P1018" s="41"/>
    </row>
    <row r="1019" spans="2:16" ht="16.5" customHeight="1" x14ac:dyDescent="0.35">
      <c r="B1019" s="253"/>
      <c r="D1019" s="255"/>
      <c r="F1019" s="303"/>
      <c r="H1019" s="41"/>
      <c r="J1019" s="253"/>
      <c r="L1019" s="255"/>
      <c r="N1019" s="293"/>
      <c r="P1019" s="41"/>
    </row>
    <row r="1020" spans="2:16" ht="16.5" customHeight="1" x14ac:dyDescent="0.35">
      <c r="B1020" s="253"/>
      <c r="D1020" s="255"/>
      <c r="F1020" s="303"/>
      <c r="H1020" s="41"/>
      <c r="J1020" s="253"/>
      <c r="L1020" s="255"/>
      <c r="N1020" s="293"/>
      <c r="P1020" s="41"/>
    </row>
    <row r="1021" spans="2:16" ht="16.5" customHeight="1" x14ac:dyDescent="0.35">
      <c r="B1021" s="253"/>
      <c r="D1021" s="255"/>
      <c r="F1021" s="303"/>
      <c r="H1021" s="41"/>
      <c r="J1021" s="253"/>
      <c r="L1021" s="255"/>
      <c r="N1021" s="293"/>
      <c r="P1021" s="41"/>
    </row>
    <row r="1022" spans="2:16" ht="16.5" customHeight="1" x14ac:dyDescent="0.35">
      <c r="B1022" s="253"/>
      <c r="D1022" s="255"/>
      <c r="F1022" s="303"/>
      <c r="H1022" s="41"/>
      <c r="J1022" s="253"/>
      <c r="L1022" s="255"/>
      <c r="N1022" s="293"/>
      <c r="P1022" s="41"/>
    </row>
    <row r="1023" spans="2:16" ht="16.5" customHeight="1" x14ac:dyDescent="0.35">
      <c r="B1023" s="253"/>
      <c r="D1023" s="255"/>
      <c r="F1023" s="303"/>
      <c r="H1023" s="41"/>
      <c r="J1023" s="253"/>
      <c r="L1023" s="255"/>
      <c r="N1023" s="293"/>
      <c r="P1023" s="41"/>
    </row>
    <row r="1024" spans="2:16" ht="16.5" customHeight="1" x14ac:dyDescent="0.35">
      <c r="B1024" s="253"/>
      <c r="D1024" s="255"/>
      <c r="F1024" s="303"/>
      <c r="H1024" s="41"/>
      <c r="J1024" s="253"/>
      <c r="L1024" s="255"/>
      <c r="N1024" s="293"/>
      <c r="P1024" s="41"/>
    </row>
    <row r="1025" spans="2:16" ht="16.5" customHeight="1" x14ac:dyDescent="0.35">
      <c r="B1025" s="253"/>
      <c r="D1025" s="255"/>
      <c r="F1025" s="303"/>
      <c r="H1025" s="41"/>
      <c r="J1025" s="253"/>
      <c r="L1025" s="255"/>
      <c r="N1025" s="293"/>
      <c r="P1025" s="41"/>
    </row>
    <row r="1026" spans="2:16" ht="16.5" customHeight="1" x14ac:dyDescent="0.35">
      <c r="B1026" s="253"/>
      <c r="D1026" s="255"/>
      <c r="F1026" s="303"/>
      <c r="H1026" s="41"/>
      <c r="J1026" s="253"/>
      <c r="L1026" s="255"/>
      <c r="N1026" s="293"/>
      <c r="P1026" s="41"/>
    </row>
    <row r="1027" spans="2:16" ht="16.5" customHeight="1" x14ac:dyDescent="0.35">
      <c r="B1027" s="253"/>
      <c r="D1027" s="255"/>
      <c r="F1027" s="303"/>
      <c r="H1027" s="41"/>
      <c r="J1027" s="253"/>
      <c r="L1027" s="255"/>
      <c r="N1027" s="293"/>
      <c r="P1027" s="41"/>
    </row>
    <row r="1028" spans="2:16" ht="16.5" customHeight="1" x14ac:dyDescent="0.35">
      <c r="B1028" s="253"/>
      <c r="D1028" s="255"/>
      <c r="F1028" s="303"/>
      <c r="H1028" s="41"/>
      <c r="J1028" s="253"/>
      <c r="L1028" s="255"/>
      <c r="N1028" s="293"/>
      <c r="P1028" s="41"/>
    </row>
    <row r="1029" spans="2:16" ht="16.5" customHeight="1" x14ac:dyDescent="0.35">
      <c r="B1029" s="253"/>
      <c r="D1029" s="255"/>
      <c r="F1029" s="303"/>
      <c r="H1029" s="41"/>
      <c r="J1029" s="253"/>
      <c r="L1029" s="255"/>
      <c r="N1029" s="293"/>
      <c r="P1029" s="41"/>
    </row>
    <row r="1030" spans="2:16" ht="16.5" customHeight="1" x14ac:dyDescent="0.35">
      <c r="B1030" s="253"/>
      <c r="D1030" s="255"/>
      <c r="F1030" s="303"/>
      <c r="H1030" s="41"/>
      <c r="J1030" s="253"/>
      <c r="L1030" s="255"/>
      <c r="N1030" s="293"/>
      <c r="P1030" s="41"/>
    </row>
    <row r="1031" spans="2:16" ht="16.5" customHeight="1" x14ac:dyDescent="0.35">
      <c r="B1031" s="253"/>
      <c r="D1031" s="255"/>
      <c r="F1031" s="303"/>
      <c r="H1031" s="41"/>
      <c r="J1031" s="253"/>
      <c r="L1031" s="255"/>
      <c r="N1031" s="293"/>
      <c r="P1031" s="41"/>
    </row>
    <row r="1032" spans="2:16" ht="16.5" customHeight="1" x14ac:dyDescent="0.35">
      <c r="B1032" s="253"/>
      <c r="D1032" s="255"/>
      <c r="F1032" s="303"/>
      <c r="H1032" s="41"/>
      <c r="J1032" s="253"/>
      <c r="L1032" s="255"/>
      <c r="N1032" s="293"/>
      <c r="P1032" s="41"/>
    </row>
    <row r="1033" spans="2:16" ht="16.5" customHeight="1" x14ac:dyDescent="0.35">
      <c r="B1033" s="253"/>
      <c r="D1033" s="255"/>
      <c r="F1033" s="303"/>
      <c r="H1033" s="41"/>
      <c r="J1033" s="253"/>
      <c r="L1033" s="255"/>
      <c r="N1033" s="293"/>
      <c r="P1033" s="41"/>
    </row>
    <row r="1034" spans="2:16" ht="16.5" customHeight="1" x14ac:dyDescent="0.35">
      <c r="B1034" s="253"/>
      <c r="D1034" s="255"/>
      <c r="F1034" s="303"/>
      <c r="H1034" s="41"/>
      <c r="J1034" s="253"/>
      <c r="L1034" s="255"/>
      <c r="N1034" s="293"/>
      <c r="P1034" s="41"/>
    </row>
    <row r="1035" spans="2:16" ht="16.5" customHeight="1" x14ac:dyDescent="0.35">
      <c r="B1035" s="253"/>
      <c r="D1035" s="255"/>
      <c r="F1035" s="303"/>
      <c r="H1035" s="41"/>
      <c r="J1035" s="253"/>
      <c r="L1035" s="255"/>
      <c r="N1035" s="293"/>
      <c r="P1035" s="41"/>
    </row>
    <row r="1036" spans="2:16" ht="16.5" customHeight="1" x14ac:dyDescent="0.35">
      <c r="B1036" s="253"/>
      <c r="D1036" s="255"/>
      <c r="F1036" s="303"/>
      <c r="H1036" s="41"/>
      <c r="J1036" s="253"/>
      <c r="L1036" s="255"/>
      <c r="N1036" s="293"/>
      <c r="P1036" s="41"/>
    </row>
    <row r="1037" spans="2:16" ht="16.5" customHeight="1" x14ac:dyDescent="0.35">
      <c r="B1037" s="253"/>
      <c r="D1037" s="255"/>
      <c r="F1037" s="303"/>
      <c r="H1037" s="41"/>
      <c r="J1037" s="253"/>
      <c r="L1037" s="255"/>
      <c r="N1037" s="293"/>
      <c r="P1037" s="41"/>
    </row>
    <row r="1038" spans="2:16" ht="16.5" customHeight="1" x14ac:dyDescent="0.35">
      <c r="B1038" s="253"/>
      <c r="D1038" s="255"/>
      <c r="F1038" s="303"/>
      <c r="H1038" s="41"/>
      <c r="J1038" s="253"/>
      <c r="L1038" s="255"/>
      <c r="N1038" s="293"/>
      <c r="P1038" s="41"/>
    </row>
    <row r="1039" spans="2:16" ht="16.5" customHeight="1" x14ac:dyDescent="0.35">
      <c r="B1039" s="253"/>
      <c r="D1039" s="255"/>
      <c r="F1039" s="303"/>
      <c r="H1039" s="41"/>
      <c r="J1039" s="253"/>
      <c r="L1039" s="255"/>
      <c r="N1039" s="293"/>
      <c r="P1039" s="41"/>
    </row>
    <row r="1040" spans="2:16" ht="16.5" customHeight="1" x14ac:dyDescent="0.35">
      <c r="B1040" s="253"/>
      <c r="D1040" s="255"/>
      <c r="F1040" s="303"/>
      <c r="H1040" s="41"/>
      <c r="J1040" s="253"/>
      <c r="L1040" s="255"/>
      <c r="N1040" s="293"/>
      <c r="P1040" s="41"/>
    </row>
    <row r="1041" spans="2:16" ht="16.5" customHeight="1" x14ac:dyDescent="0.35">
      <c r="B1041" s="253"/>
      <c r="D1041" s="255"/>
      <c r="F1041" s="303"/>
      <c r="H1041" s="41"/>
      <c r="J1041" s="253"/>
      <c r="L1041" s="255"/>
      <c r="N1041" s="293"/>
      <c r="P1041" s="41"/>
    </row>
    <row r="1042" spans="2:16" ht="16.5" customHeight="1" x14ac:dyDescent="0.35">
      <c r="B1042" s="253"/>
      <c r="D1042" s="255"/>
      <c r="F1042" s="303"/>
      <c r="H1042" s="41"/>
      <c r="J1042" s="253"/>
      <c r="L1042" s="255"/>
      <c r="N1042" s="293"/>
      <c r="P1042" s="41"/>
    </row>
    <row r="1043" spans="2:16" ht="16.5" customHeight="1" x14ac:dyDescent="0.35">
      <c r="B1043" s="253"/>
      <c r="D1043" s="255"/>
      <c r="F1043" s="303"/>
      <c r="H1043" s="41"/>
      <c r="J1043" s="253"/>
      <c r="L1043" s="255"/>
      <c r="N1043" s="293"/>
      <c r="P1043" s="41"/>
    </row>
    <row r="1044" spans="2:16" ht="16.5" customHeight="1" x14ac:dyDescent="0.35">
      <c r="B1044" s="253"/>
      <c r="D1044" s="255"/>
      <c r="F1044" s="303"/>
      <c r="H1044" s="41"/>
      <c r="J1044" s="253"/>
      <c r="L1044" s="255"/>
      <c r="N1044" s="293"/>
      <c r="P1044" s="41"/>
    </row>
    <row r="1045" spans="2:16" ht="16.5" customHeight="1" x14ac:dyDescent="0.35">
      <c r="B1045" s="253"/>
      <c r="D1045" s="255"/>
      <c r="F1045" s="303"/>
      <c r="H1045" s="41"/>
      <c r="J1045" s="253"/>
      <c r="L1045" s="255"/>
      <c r="N1045" s="293"/>
      <c r="P1045" s="41"/>
    </row>
    <row r="1046" spans="2:16" ht="16.5" customHeight="1" x14ac:dyDescent="0.35">
      <c r="B1046" s="253"/>
      <c r="D1046" s="255"/>
      <c r="F1046" s="303"/>
      <c r="H1046" s="41"/>
      <c r="J1046" s="253"/>
      <c r="L1046" s="255"/>
      <c r="N1046" s="293"/>
      <c r="P1046" s="41"/>
    </row>
    <row r="1047" spans="2:16" ht="16.5" customHeight="1" x14ac:dyDescent="0.35">
      <c r="B1047" s="253"/>
      <c r="D1047" s="255"/>
      <c r="F1047" s="303"/>
      <c r="H1047" s="41"/>
      <c r="J1047" s="253"/>
      <c r="L1047" s="255"/>
      <c r="N1047" s="293"/>
      <c r="P1047" s="41"/>
    </row>
    <row r="1048" spans="2:16" ht="16.5" customHeight="1" x14ac:dyDescent="0.35">
      <c r="B1048" s="253"/>
      <c r="D1048" s="255"/>
      <c r="F1048" s="303"/>
      <c r="H1048" s="41"/>
      <c r="J1048" s="253"/>
      <c r="L1048" s="255"/>
      <c r="N1048" s="293"/>
      <c r="P1048" s="41"/>
    </row>
    <row r="1049" spans="2:16" ht="16.5" customHeight="1" x14ac:dyDescent="0.35">
      <c r="B1049" s="253"/>
      <c r="D1049" s="255"/>
      <c r="F1049" s="303"/>
      <c r="H1049" s="41"/>
      <c r="J1049" s="253"/>
      <c r="L1049" s="255"/>
      <c r="N1049" s="293"/>
      <c r="P1049" s="41"/>
    </row>
    <row r="1050" spans="2:16" ht="16.5" customHeight="1" x14ac:dyDescent="0.35">
      <c r="B1050" s="253"/>
      <c r="D1050" s="255"/>
      <c r="F1050" s="303"/>
      <c r="H1050" s="41"/>
      <c r="J1050" s="253"/>
      <c r="L1050" s="255"/>
      <c r="N1050" s="293"/>
      <c r="P1050" s="41"/>
    </row>
    <row r="1051" spans="2:16" ht="16.5" customHeight="1" x14ac:dyDescent="0.35">
      <c r="B1051" s="253"/>
      <c r="D1051" s="255"/>
      <c r="F1051" s="303"/>
      <c r="H1051" s="41"/>
      <c r="J1051" s="253"/>
      <c r="L1051" s="255"/>
      <c r="N1051" s="293"/>
      <c r="P1051" s="41"/>
    </row>
    <row r="1052" spans="2:16" ht="16.5" customHeight="1" x14ac:dyDescent="0.35">
      <c r="B1052" s="253"/>
      <c r="D1052" s="255"/>
      <c r="F1052" s="303"/>
      <c r="H1052" s="41"/>
      <c r="J1052" s="253"/>
      <c r="L1052" s="255"/>
      <c r="N1052" s="293"/>
      <c r="P1052" s="41"/>
    </row>
    <row r="1053" spans="2:16" ht="16.5" customHeight="1" x14ac:dyDescent="0.35">
      <c r="B1053" s="253"/>
      <c r="D1053" s="255"/>
      <c r="F1053" s="303"/>
      <c r="H1053" s="41"/>
      <c r="J1053" s="253"/>
      <c r="L1053" s="255"/>
      <c r="N1053" s="293"/>
      <c r="P1053" s="41"/>
    </row>
    <row r="1054" spans="2:16" ht="16.5" customHeight="1" x14ac:dyDescent="0.35">
      <c r="B1054" s="253"/>
      <c r="D1054" s="255"/>
      <c r="F1054" s="303"/>
      <c r="H1054" s="41"/>
      <c r="J1054" s="253"/>
      <c r="L1054" s="255"/>
      <c r="N1054" s="293"/>
      <c r="P1054" s="41"/>
    </row>
    <row r="1055" spans="2:16" ht="16.5" customHeight="1" x14ac:dyDescent="0.35">
      <c r="B1055" s="253"/>
      <c r="D1055" s="255"/>
      <c r="F1055" s="303"/>
      <c r="H1055" s="41"/>
      <c r="J1055" s="253"/>
      <c r="L1055" s="255"/>
      <c r="N1055" s="293"/>
      <c r="P1055" s="41"/>
    </row>
    <row r="1056" spans="2:16" ht="16.5" customHeight="1" x14ac:dyDescent="0.35">
      <c r="B1056" s="253"/>
      <c r="D1056" s="255"/>
      <c r="F1056" s="303"/>
      <c r="H1056" s="41"/>
      <c r="J1056" s="253"/>
      <c r="L1056" s="255"/>
      <c r="N1056" s="293"/>
      <c r="P1056" s="41"/>
    </row>
    <row r="1057" spans="2:16" ht="16.5" customHeight="1" x14ac:dyDescent="0.35">
      <c r="B1057" s="253"/>
      <c r="D1057" s="255"/>
      <c r="F1057" s="303"/>
      <c r="H1057" s="41"/>
      <c r="J1057" s="253"/>
      <c r="L1057" s="255"/>
      <c r="N1057" s="293"/>
      <c r="P1057" s="41"/>
    </row>
    <row r="1058" spans="2:16" ht="16.5" customHeight="1" x14ac:dyDescent="0.35">
      <c r="B1058" s="253"/>
      <c r="D1058" s="255"/>
      <c r="F1058" s="303"/>
      <c r="H1058" s="41"/>
      <c r="J1058" s="253"/>
      <c r="L1058" s="255"/>
      <c r="N1058" s="293"/>
      <c r="P1058" s="41"/>
    </row>
    <row r="1059" spans="2:16" ht="16.5" customHeight="1" x14ac:dyDescent="0.35">
      <c r="B1059" s="253"/>
      <c r="D1059" s="255"/>
      <c r="F1059" s="303"/>
      <c r="H1059" s="41"/>
      <c r="J1059" s="253"/>
      <c r="L1059" s="255"/>
      <c r="N1059" s="293"/>
      <c r="P1059" s="41"/>
    </row>
    <row r="1060" spans="2:16" ht="16.5" customHeight="1" x14ac:dyDescent="0.35">
      <c r="B1060" s="253"/>
      <c r="D1060" s="255"/>
      <c r="F1060" s="303"/>
      <c r="H1060" s="41"/>
      <c r="J1060" s="253"/>
      <c r="L1060" s="255"/>
      <c r="N1060" s="293"/>
      <c r="P1060" s="41"/>
    </row>
    <row r="1061" spans="2:16" ht="16.5" customHeight="1" x14ac:dyDescent="0.35">
      <c r="B1061" s="253"/>
      <c r="D1061" s="255"/>
      <c r="F1061" s="303"/>
      <c r="H1061" s="41"/>
      <c r="J1061" s="253"/>
      <c r="L1061" s="255"/>
      <c r="N1061" s="293"/>
      <c r="P1061" s="41"/>
    </row>
    <row r="1062" spans="2:16" ht="16.5" customHeight="1" x14ac:dyDescent="0.35">
      <c r="B1062" s="253"/>
      <c r="D1062" s="255"/>
      <c r="F1062" s="303"/>
      <c r="H1062" s="41"/>
      <c r="J1062" s="253"/>
      <c r="L1062" s="255"/>
      <c r="N1062" s="293"/>
      <c r="P1062" s="41"/>
    </row>
    <row r="1063" spans="2:16" ht="16.5" customHeight="1" x14ac:dyDescent="0.35">
      <c r="B1063" s="253"/>
      <c r="D1063" s="255"/>
      <c r="F1063" s="303"/>
      <c r="H1063" s="41"/>
      <c r="J1063" s="253"/>
      <c r="L1063" s="255"/>
      <c r="N1063" s="293"/>
      <c r="P1063" s="41"/>
    </row>
    <row r="1064" spans="2:16" ht="16.5" customHeight="1" x14ac:dyDescent="0.35">
      <c r="B1064" s="253"/>
      <c r="D1064" s="255"/>
      <c r="F1064" s="303"/>
      <c r="H1064" s="41"/>
      <c r="J1064" s="253"/>
      <c r="L1064" s="255"/>
      <c r="N1064" s="293"/>
      <c r="P1064" s="41"/>
    </row>
    <row r="1065" spans="2:16" ht="16.5" customHeight="1" x14ac:dyDescent="0.35">
      <c r="B1065" s="253"/>
      <c r="D1065" s="255"/>
      <c r="F1065" s="303"/>
      <c r="H1065" s="41"/>
      <c r="J1065" s="253"/>
      <c r="L1065" s="255"/>
      <c r="N1065" s="293"/>
      <c r="P1065" s="41"/>
    </row>
    <row r="1066" spans="2:16" ht="16.5" customHeight="1" x14ac:dyDescent="0.35">
      <c r="B1066" s="253"/>
      <c r="D1066" s="255"/>
      <c r="F1066" s="303"/>
      <c r="H1066" s="41"/>
      <c r="J1066" s="253"/>
      <c r="L1066" s="255"/>
      <c r="N1066" s="293"/>
      <c r="P1066" s="41"/>
    </row>
    <row r="1067" spans="2:16" ht="16.5" customHeight="1" x14ac:dyDescent="0.35">
      <c r="B1067" s="253"/>
      <c r="D1067" s="255"/>
      <c r="F1067" s="303"/>
      <c r="H1067" s="41"/>
      <c r="J1067" s="253"/>
      <c r="L1067" s="255"/>
      <c r="N1067" s="293"/>
      <c r="P1067" s="41"/>
    </row>
    <row r="1068" spans="2:16" ht="16.5" customHeight="1" x14ac:dyDescent="0.35">
      <c r="B1068" s="253"/>
      <c r="D1068" s="255"/>
      <c r="F1068" s="303"/>
      <c r="H1068" s="41"/>
      <c r="J1068" s="253"/>
      <c r="L1068" s="255"/>
      <c r="N1068" s="293"/>
      <c r="P1068" s="41"/>
    </row>
    <row r="1069" spans="2:16" ht="16.5" customHeight="1" x14ac:dyDescent="0.35">
      <c r="B1069" s="253"/>
      <c r="D1069" s="255"/>
      <c r="F1069" s="303"/>
      <c r="H1069" s="41"/>
      <c r="J1069" s="253"/>
      <c r="L1069" s="255"/>
      <c r="N1069" s="293"/>
      <c r="P1069" s="41"/>
    </row>
    <row r="1070" spans="2:16" ht="16.5" customHeight="1" x14ac:dyDescent="0.35">
      <c r="B1070" s="253"/>
      <c r="D1070" s="255"/>
      <c r="F1070" s="303"/>
      <c r="H1070" s="41"/>
      <c r="J1070" s="253"/>
      <c r="L1070" s="255"/>
      <c r="N1070" s="293"/>
      <c r="P1070" s="41"/>
    </row>
    <row r="1071" spans="2:16" ht="16.5" customHeight="1" x14ac:dyDescent="0.35">
      <c r="B1071" s="253"/>
      <c r="D1071" s="255"/>
      <c r="F1071" s="303"/>
      <c r="H1071" s="41"/>
      <c r="J1071" s="253"/>
      <c r="L1071" s="255"/>
      <c r="N1071" s="293"/>
      <c r="P1071" s="41"/>
    </row>
    <row r="1072" spans="2:16" ht="16.5" customHeight="1" x14ac:dyDescent="0.35">
      <c r="B1072" s="253"/>
      <c r="D1072" s="255"/>
      <c r="F1072" s="303"/>
      <c r="H1072" s="41"/>
      <c r="J1072" s="253"/>
      <c r="L1072" s="255"/>
      <c r="N1072" s="293"/>
      <c r="P1072" s="41"/>
    </row>
    <row r="1073" spans="2:16" ht="16.5" customHeight="1" x14ac:dyDescent="0.35">
      <c r="B1073" s="253"/>
      <c r="D1073" s="255"/>
      <c r="F1073" s="303"/>
      <c r="H1073" s="41"/>
      <c r="J1073" s="253"/>
      <c r="L1073" s="255"/>
      <c r="N1073" s="293"/>
      <c r="P1073" s="41"/>
    </row>
    <row r="1074" spans="2:16" ht="16.5" customHeight="1" x14ac:dyDescent="0.35">
      <c r="B1074" s="253"/>
      <c r="D1074" s="255"/>
      <c r="F1074" s="303"/>
      <c r="H1074" s="41"/>
      <c r="J1074" s="253"/>
      <c r="L1074" s="255"/>
      <c r="N1074" s="293"/>
      <c r="P1074" s="41"/>
    </row>
    <row r="1075" spans="2:16" ht="16.5" customHeight="1" x14ac:dyDescent="0.35">
      <c r="B1075" s="253"/>
      <c r="D1075" s="255"/>
      <c r="F1075" s="303"/>
      <c r="H1075" s="41"/>
      <c r="J1075" s="253"/>
      <c r="L1075" s="255"/>
      <c r="N1075" s="293"/>
      <c r="P1075" s="41"/>
    </row>
    <row r="1076" spans="2:16" ht="16.5" customHeight="1" x14ac:dyDescent="0.35">
      <c r="B1076" s="253"/>
      <c r="D1076" s="255"/>
      <c r="F1076" s="303"/>
      <c r="H1076" s="41"/>
      <c r="J1076" s="253"/>
      <c r="L1076" s="255"/>
      <c r="N1076" s="293"/>
      <c r="P1076" s="41"/>
    </row>
    <row r="1077" spans="2:16" ht="16.5" customHeight="1" x14ac:dyDescent="0.35">
      <c r="B1077" s="253"/>
      <c r="D1077" s="255"/>
      <c r="F1077" s="303"/>
      <c r="H1077" s="41"/>
      <c r="J1077" s="253"/>
      <c r="L1077" s="255"/>
      <c r="N1077" s="293"/>
      <c r="P1077" s="41"/>
    </row>
    <row r="1078" spans="2:16" ht="16.5" customHeight="1" x14ac:dyDescent="0.35">
      <c r="B1078" s="253"/>
      <c r="D1078" s="255"/>
      <c r="F1078" s="303"/>
      <c r="H1078" s="41"/>
      <c r="J1078" s="253"/>
      <c r="L1078" s="255"/>
      <c r="N1078" s="293"/>
      <c r="P1078" s="41"/>
    </row>
    <row r="1079" spans="2:16" ht="16.5" customHeight="1" x14ac:dyDescent="0.35">
      <c r="B1079" s="253"/>
      <c r="D1079" s="255"/>
      <c r="F1079" s="303"/>
      <c r="H1079" s="41"/>
      <c r="J1079" s="253"/>
      <c r="L1079" s="255"/>
      <c r="N1079" s="293"/>
      <c r="P1079" s="41"/>
    </row>
    <row r="1080" spans="2:16" ht="16.5" customHeight="1" x14ac:dyDescent="0.35">
      <c r="B1080" s="253"/>
      <c r="D1080" s="255"/>
      <c r="F1080" s="303"/>
      <c r="H1080" s="41"/>
      <c r="J1080" s="253"/>
      <c r="L1080" s="255"/>
      <c r="N1080" s="293"/>
      <c r="P1080" s="41"/>
    </row>
    <row r="1081" spans="2:16" ht="16.5" customHeight="1" x14ac:dyDescent="0.35">
      <c r="B1081" s="253"/>
      <c r="D1081" s="255"/>
      <c r="F1081" s="303"/>
      <c r="H1081" s="41"/>
      <c r="J1081" s="253"/>
      <c r="L1081" s="255"/>
      <c r="N1081" s="293"/>
      <c r="P1081" s="41"/>
    </row>
    <row r="1082" spans="2:16" ht="16.5" customHeight="1" x14ac:dyDescent="0.35">
      <c r="B1082" s="253"/>
      <c r="D1082" s="255"/>
      <c r="F1082" s="303"/>
      <c r="H1082" s="41"/>
      <c r="J1082" s="253"/>
      <c r="L1082" s="255"/>
      <c r="N1082" s="293"/>
      <c r="P1082" s="41"/>
    </row>
    <row r="1083" spans="2:16" ht="16.5" customHeight="1" x14ac:dyDescent="0.35">
      <c r="B1083" s="253"/>
      <c r="D1083" s="255"/>
      <c r="F1083" s="303"/>
      <c r="H1083" s="41"/>
      <c r="J1083" s="253"/>
      <c r="L1083" s="255"/>
      <c r="N1083" s="293"/>
      <c r="P1083" s="41"/>
    </row>
    <row r="1084" spans="2:16" ht="16.5" customHeight="1" x14ac:dyDescent="0.35">
      <c r="B1084" s="253"/>
      <c r="D1084" s="255"/>
      <c r="F1084" s="303"/>
      <c r="H1084" s="41"/>
      <c r="J1084" s="253"/>
      <c r="L1084" s="255"/>
      <c r="N1084" s="293"/>
      <c r="P1084" s="41"/>
    </row>
    <row r="1085" spans="2:16" ht="16.5" customHeight="1" x14ac:dyDescent="0.35">
      <c r="B1085" s="253"/>
      <c r="D1085" s="255"/>
      <c r="F1085" s="303"/>
      <c r="H1085" s="41"/>
      <c r="J1085" s="253"/>
      <c r="L1085" s="255"/>
      <c r="N1085" s="293"/>
      <c r="P1085" s="41"/>
    </row>
    <row r="1086" spans="2:16" ht="16.5" customHeight="1" x14ac:dyDescent="0.35">
      <c r="B1086" s="253"/>
      <c r="D1086" s="255"/>
      <c r="F1086" s="303"/>
      <c r="H1086" s="41"/>
      <c r="J1086" s="253"/>
      <c r="L1086" s="255"/>
      <c r="N1086" s="293"/>
      <c r="P1086" s="41"/>
    </row>
    <row r="1087" spans="2:16" ht="16.5" customHeight="1" x14ac:dyDescent="0.35">
      <c r="B1087" s="253"/>
      <c r="D1087" s="255"/>
      <c r="F1087" s="303"/>
      <c r="H1087" s="41"/>
      <c r="J1087" s="253"/>
      <c r="L1087" s="255"/>
      <c r="N1087" s="293"/>
      <c r="P1087" s="41"/>
    </row>
    <row r="1088" spans="2:16" ht="16.5" customHeight="1" x14ac:dyDescent="0.35">
      <c r="B1088" s="253"/>
      <c r="D1088" s="255"/>
      <c r="F1088" s="303"/>
      <c r="H1088" s="41"/>
      <c r="J1088" s="253"/>
      <c r="L1088" s="255"/>
      <c r="N1088" s="293"/>
      <c r="P1088" s="41"/>
    </row>
    <row r="1089" spans="2:16" ht="16.5" customHeight="1" x14ac:dyDescent="0.35">
      <c r="B1089" s="253"/>
      <c r="D1089" s="255"/>
      <c r="F1089" s="303"/>
      <c r="H1089" s="41"/>
      <c r="J1089" s="253"/>
      <c r="L1089" s="255"/>
      <c r="N1089" s="293"/>
      <c r="P1089" s="41"/>
    </row>
    <row r="1090" spans="2:16" ht="16.5" customHeight="1" x14ac:dyDescent="0.35">
      <c r="B1090" s="253"/>
      <c r="D1090" s="255"/>
      <c r="F1090" s="303"/>
      <c r="H1090" s="41"/>
      <c r="J1090" s="253"/>
      <c r="L1090" s="255"/>
      <c r="N1090" s="293"/>
      <c r="P1090" s="41"/>
    </row>
    <row r="1091" spans="2:16" ht="16.5" customHeight="1" x14ac:dyDescent="0.35">
      <c r="B1091" s="253"/>
      <c r="D1091" s="255"/>
      <c r="F1091" s="303"/>
      <c r="H1091" s="41"/>
      <c r="J1091" s="253"/>
      <c r="L1091" s="255"/>
      <c r="N1091" s="293"/>
      <c r="P1091" s="41"/>
    </row>
    <row r="1092" spans="2:16" ht="16.5" customHeight="1" x14ac:dyDescent="0.35">
      <c r="B1092" s="253"/>
      <c r="D1092" s="255"/>
      <c r="F1092" s="303"/>
      <c r="H1092" s="41"/>
      <c r="J1092" s="253"/>
      <c r="L1092" s="255"/>
      <c r="N1092" s="293"/>
      <c r="P1092" s="41"/>
    </row>
    <row r="1093" spans="2:16" ht="16.5" customHeight="1" x14ac:dyDescent="0.35">
      <c r="B1093" s="253"/>
      <c r="D1093" s="255"/>
      <c r="F1093" s="303"/>
      <c r="H1093" s="41"/>
      <c r="J1093" s="253"/>
      <c r="L1093" s="255"/>
      <c r="N1093" s="293"/>
      <c r="P1093" s="41"/>
    </row>
    <row r="1094" spans="2:16" ht="16.5" customHeight="1" x14ac:dyDescent="0.35">
      <c r="B1094" s="253"/>
      <c r="D1094" s="255"/>
      <c r="F1094" s="303"/>
      <c r="H1094" s="41"/>
      <c r="J1094" s="253"/>
      <c r="L1094" s="255"/>
      <c r="N1094" s="293"/>
      <c r="P1094" s="41"/>
    </row>
    <row r="1095" spans="2:16" ht="16.5" customHeight="1" x14ac:dyDescent="0.35">
      <c r="B1095" s="253"/>
      <c r="D1095" s="255"/>
      <c r="F1095" s="303"/>
      <c r="H1095" s="41"/>
      <c r="J1095" s="253"/>
      <c r="L1095" s="255"/>
      <c r="N1095" s="293"/>
      <c r="P1095" s="41"/>
    </row>
    <row r="1096" spans="2:16" ht="16.5" customHeight="1" x14ac:dyDescent="0.35">
      <c r="B1096" s="253"/>
      <c r="D1096" s="255"/>
      <c r="F1096" s="303"/>
      <c r="H1096" s="41"/>
      <c r="J1096" s="253"/>
      <c r="L1096" s="255"/>
      <c r="N1096" s="293"/>
      <c r="P1096" s="41"/>
    </row>
    <row r="1097" spans="2:16" ht="16.5" customHeight="1" x14ac:dyDescent="0.35">
      <c r="B1097" s="253"/>
      <c r="D1097" s="255"/>
      <c r="F1097" s="303"/>
      <c r="H1097" s="41"/>
      <c r="J1097" s="253"/>
      <c r="L1097" s="255"/>
      <c r="N1097" s="293"/>
      <c r="P1097" s="41"/>
    </row>
    <row r="1098" spans="2:16" ht="16.5" customHeight="1" x14ac:dyDescent="0.35">
      <c r="B1098" s="253"/>
      <c r="D1098" s="255"/>
      <c r="F1098" s="303"/>
      <c r="H1098" s="41"/>
      <c r="J1098" s="253"/>
      <c r="L1098" s="255"/>
      <c r="N1098" s="293"/>
      <c r="P1098" s="41"/>
    </row>
    <row r="1099" spans="2:16" ht="16.5" customHeight="1" x14ac:dyDescent="0.35">
      <c r="B1099" s="253"/>
      <c r="D1099" s="255"/>
      <c r="F1099" s="303"/>
      <c r="H1099" s="41"/>
      <c r="J1099" s="253"/>
      <c r="L1099" s="255"/>
      <c r="N1099" s="293"/>
      <c r="P1099" s="41"/>
    </row>
    <row r="1100" spans="2:16" ht="16.5" customHeight="1" x14ac:dyDescent="0.35">
      <c r="B1100" s="253"/>
      <c r="D1100" s="255"/>
      <c r="F1100" s="303"/>
      <c r="H1100" s="41"/>
      <c r="J1100" s="253"/>
      <c r="L1100" s="255"/>
      <c r="N1100" s="293"/>
      <c r="P1100" s="41"/>
    </row>
    <row r="1101" spans="2:16" ht="16.5" customHeight="1" x14ac:dyDescent="0.35">
      <c r="B1101" s="253"/>
      <c r="D1101" s="255"/>
      <c r="F1101" s="303"/>
      <c r="H1101" s="41"/>
      <c r="J1101" s="253"/>
      <c r="L1101" s="255"/>
      <c r="N1101" s="293"/>
      <c r="P1101" s="41"/>
    </row>
    <row r="1102" spans="2:16" ht="16.5" customHeight="1" x14ac:dyDescent="0.35">
      <c r="B1102" s="253"/>
      <c r="D1102" s="255"/>
      <c r="F1102" s="303"/>
      <c r="H1102" s="41"/>
      <c r="J1102" s="253"/>
      <c r="L1102" s="255"/>
      <c r="N1102" s="293"/>
      <c r="P1102" s="41"/>
    </row>
    <row r="1103" spans="2:16" ht="16.5" customHeight="1" x14ac:dyDescent="0.35">
      <c r="B1103" s="253"/>
      <c r="D1103" s="255"/>
      <c r="F1103" s="303"/>
      <c r="H1103" s="41"/>
      <c r="J1103" s="253"/>
      <c r="L1103" s="255"/>
      <c r="N1103" s="293"/>
      <c r="P1103" s="41"/>
    </row>
    <row r="1104" spans="2:16" ht="16.5" customHeight="1" x14ac:dyDescent="0.35">
      <c r="B1104" s="253"/>
      <c r="D1104" s="255"/>
      <c r="F1104" s="303"/>
      <c r="H1104" s="41"/>
      <c r="J1104" s="253"/>
      <c r="L1104" s="255"/>
      <c r="N1104" s="293"/>
      <c r="P1104" s="41"/>
    </row>
    <row r="1105" spans="2:16" ht="16.5" customHeight="1" x14ac:dyDescent="0.35">
      <c r="B1105" s="253"/>
      <c r="D1105" s="255"/>
      <c r="F1105" s="303"/>
      <c r="H1105" s="41"/>
      <c r="J1105" s="253"/>
      <c r="L1105" s="255"/>
      <c r="N1105" s="293"/>
      <c r="P1105" s="41"/>
    </row>
    <row r="1106" spans="2:16" ht="16.5" customHeight="1" x14ac:dyDescent="0.35">
      <c r="B1106" s="253"/>
      <c r="D1106" s="255"/>
      <c r="F1106" s="303"/>
      <c r="H1106" s="41"/>
      <c r="J1106" s="253"/>
      <c r="L1106" s="255"/>
      <c r="N1106" s="293"/>
      <c r="P1106" s="41"/>
    </row>
    <row r="1107" spans="2:16" ht="16.5" customHeight="1" x14ac:dyDescent="0.35">
      <c r="B1107" s="253"/>
      <c r="D1107" s="255"/>
      <c r="F1107" s="303"/>
      <c r="H1107" s="41"/>
      <c r="J1107" s="253"/>
      <c r="L1107" s="255"/>
      <c r="N1107" s="293"/>
      <c r="P1107" s="41"/>
    </row>
    <row r="1108" spans="2:16" ht="16.5" customHeight="1" x14ac:dyDescent="0.35">
      <c r="B1108" s="253"/>
      <c r="D1108" s="255"/>
      <c r="F1108" s="303"/>
      <c r="H1108" s="41"/>
      <c r="J1108" s="253"/>
      <c r="L1108" s="255"/>
      <c r="N1108" s="293"/>
      <c r="P1108" s="41"/>
    </row>
    <row r="1109" spans="2:16" ht="16.5" customHeight="1" x14ac:dyDescent="0.35">
      <c r="B1109" s="253"/>
      <c r="D1109" s="255"/>
      <c r="F1109" s="303"/>
      <c r="H1109" s="41"/>
      <c r="J1109" s="253"/>
      <c r="L1109" s="255"/>
      <c r="N1109" s="293"/>
      <c r="P1109" s="41"/>
    </row>
    <row r="1110" spans="2:16" ht="16.5" customHeight="1" x14ac:dyDescent="0.35">
      <c r="B1110" s="253"/>
      <c r="D1110" s="255"/>
      <c r="F1110" s="303"/>
      <c r="H1110" s="41"/>
      <c r="J1110" s="253"/>
      <c r="L1110" s="255"/>
      <c r="N1110" s="293"/>
      <c r="P1110" s="41"/>
    </row>
    <row r="1111" spans="2:16" ht="16.5" customHeight="1" x14ac:dyDescent="0.35">
      <c r="B1111" s="253"/>
      <c r="D1111" s="255"/>
      <c r="F1111" s="303"/>
      <c r="H1111" s="41"/>
      <c r="J1111" s="253"/>
      <c r="L1111" s="255"/>
      <c r="N1111" s="293"/>
      <c r="P1111" s="41"/>
    </row>
    <row r="1112" spans="2:16" ht="16.5" customHeight="1" x14ac:dyDescent="0.35">
      <c r="B1112" s="253"/>
      <c r="D1112" s="255"/>
      <c r="F1112" s="303"/>
      <c r="H1112" s="41"/>
      <c r="J1112" s="253"/>
      <c r="L1112" s="255"/>
      <c r="N1112" s="293"/>
      <c r="P1112" s="41"/>
    </row>
    <row r="1113" spans="2:16" ht="16.5" customHeight="1" x14ac:dyDescent="0.35">
      <c r="B1113" s="253"/>
      <c r="D1113" s="255"/>
      <c r="F1113" s="303"/>
      <c r="H1113" s="41"/>
      <c r="J1113" s="253"/>
      <c r="L1113" s="255"/>
      <c r="N1113" s="293"/>
      <c r="P1113" s="41"/>
    </row>
    <row r="1114" spans="2:16" ht="16.5" customHeight="1" x14ac:dyDescent="0.35">
      <c r="B1114" s="253"/>
      <c r="D1114" s="255"/>
      <c r="F1114" s="303"/>
      <c r="H1114" s="41"/>
      <c r="J1114" s="253"/>
      <c r="L1114" s="255"/>
      <c r="N1114" s="293"/>
      <c r="P1114" s="41"/>
    </row>
    <row r="1115" spans="2:16" ht="16.5" customHeight="1" x14ac:dyDescent="0.35">
      <c r="B1115" s="253"/>
      <c r="D1115" s="255"/>
      <c r="F1115" s="303"/>
      <c r="H1115" s="41"/>
      <c r="J1115" s="253"/>
      <c r="L1115" s="255"/>
      <c r="N1115" s="293"/>
      <c r="P1115" s="41"/>
    </row>
    <row r="1116" spans="2:16" ht="16.5" customHeight="1" x14ac:dyDescent="0.35">
      <c r="B1116" s="253"/>
      <c r="D1116" s="255"/>
      <c r="F1116" s="303"/>
      <c r="H1116" s="41"/>
      <c r="J1116" s="253"/>
      <c r="L1116" s="255"/>
      <c r="N1116" s="293"/>
      <c r="P1116" s="41"/>
    </row>
    <row r="1117" spans="2:16" ht="16.5" customHeight="1" x14ac:dyDescent="0.35">
      <c r="B1117" s="253"/>
      <c r="D1117" s="255"/>
      <c r="F1117" s="303"/>
      <c r="H1117" s="41"/>
      <c r="J1117" s="253"/>
      <c r="L1117" s="255"/>
      <c r="N1117" s="293"/>
      <c r="P1117" s="41"/>
    </row>
    <row r="1118" spans="2:16" ht="16.5" customHeight="1" x14ac:dyDescent="0.35">
      <c r="B1118" s="253"/>
      <c r="D1118" s="255"/>
      <c r="F1118" s="303"/>
      <c r="H1118" s="41"/>
      <c r="J1118" s="253"/>
      <c r="L1118" s="255"/>
      <c r="N1118" s="293"/>
      <c r="P1118" s="41"/>
    </row>
    <row r="1119" spans="2:16" ht="16.5" customHeight="1" x14ac:dyDescent="0.35">
      <c r="B1119" s="253"/>
      <c r="D1119" s="255"/>
      <c r="F1119" s="303"/>
      <c r="H1119" s="41"/>
      <c r="J1119" s="253"/>
      <c r="L1119" s="255"/>
      <c r="N1119" s="293"/>
      <c r="P1119" s="41"/>
    </row>
    <row r="1120" spans="2:16" ht="16.5" customHeight="1" x14ac:dyDescent="0.35">
      <c r="B1120" s="253"/>
      <c r="D1120" s="255"/>
      <c r="F1120" s="303"/>
      <c r="H1120" s="41"/>
      <c r="J1120" s="253"/>
      <c r="L1120" s="255"/>
      <c r="N1120" s="293"/>
      <c r="P1120" s="41"/>
    </row>
    <row r="1121" spans="2:16" ht="16.5" customHeight="1" x14ac:dyDescent="0.35">
      <c r="B1121" s="253"/>
      <c r="D1121" s="255"/>
      <c r="F1121" s="303"/>
      <c r="H1121" s="41"/>
      <c r="J1121" s="253"/>
      <c r="L1121" s="255"/>
      <c r="N1121" s="293"/>
      <c r="P1121" s="41"/>
    </row>
    <row r="1122" spans="2:16" ht="16.5" customHeight="1" x14ac:dyDescent="0.35">
      <c r="B1122" s="253"/>
      <c r="D1122" s="255"/>
      <c r="F1122" s="303"/>
      <c r="H1122" s="41"/>
      <c r="J1122" s="253"/>
      <c r="L1122" s="255"/>
      <c r="N1122" s="293"/>
      <c r="P1122" s="41"/>
    </row>
    <row r="1123" spans="2:16" ht="16.5" customHeight="1" x14ac:dyDescent="0.35">
      <c r="B1123" s="253"/>
      <c r="D1123" s="255"/>
      <c r="F1123" s="303"/>
      <c r="H1123" s="41"/>
      <c r="J1123" s="253"/>
      <c r="L1123" s="255"/>
      <c r="N1123" s="293"/>
      <c r="P1123" s="41"/>
    </row>
    <row r="1124" spans="2:16" ht="16.5" customHeight="1" x14ac:dyDescent="0.35">
      <c r="B1124" s="253"/>
      <c r="D1124" s="255"/>
      <c r="F1124" s="303"/>
      <c r="H1124" s="41"/>
      <c r="J1124" s="253"/>
      <c r="L1124" s="255"/>
      <c r="N1124" s="293"/>
      <c r="P1124" s="41"/>
    </row>
    <row r="1125" spans="2:16" ht="16.5" customHeight="1" x14ac:dyDescent="0.35">
      <c r="B1125" s="253"/>
      <c r="D1125" s="255"/>
      <c r="F1125" s="303"/>
      <c r="H1125" s="41"/>
      <c r="J1125" s="253"/>
      <c r="L1125" s="255"/>
      <c r="N1125" s="293"/>
      <c r="P1125" s="41"/>
    </row>
    <row r="1126" spans="2:16" ht="16.5" customHeight="1" x14ac:dyDescent="0.35">
      <c r="B1126" s="253"/>
      <c r="D1126" s="255"/>
      <c r="F1126" s="303"/>
      <c r="H1126" s="41"/>
      <c r="J1126" s="253"/>
      <c r="L1126" s="255"/>
      <c r="N1126" s="293"/>
      <c r="P1126" s="41"/>
    </row>
    <row r="1127" spans="2:16" ht="16.5" customHeight="1" x14ac:dyDescent="0.35">
      <c r="B1127" s="253"/>
      <c r="D1127" s="255"/>
      <c r="F1127" s="303"/>
      <c r="H1127" s="41"/>
      <c r="J1127" s="253"/>
      <c r="L1127" s="255"/>
      <c r="N1127" s="293"/>
      <c r="P1127" s="41"/>
    </row>
    <row r="1128" spans="2:16" ht="16.5" customHeight="1" x14ac:dyDescent="0.35">
      <c r="B1128" s="253"/>
      <c r="D1128" s="255"/>
      <c r="F1128" s="303"/>
      <c r="H1128" s="41"/>
      <c r="J1128" s="253"/>
      <c r="L1128" s="255"/>
      <c r="N1128" s="293"/>
      <c r="P1128" s="41"/>
    </row>
    <row r="1129" spans="2:16" ht="16.5" customHeight="1" x14ac:dyDescent="0.35">
      <c r="B1129" s="253"/>
      <c r="D1129" s="255"/>
      <c r="F1129" s="303"/>
      <c r="H1129" s="41"/>
      <c r="J1129" s="253"/>
      <c r="L1129" s="255"/>
      <c r="N1129" s="293"/>
      <c r="P1129" s="41"/>
    </row>
    <row r="1130" spans="2:16" ht="16.5" customHeight="1" x14ac:dyDescent="0.35">
      <c r="B1130" s="253"/>
      <c r="D1130" s="255"/>
      <c r="F1130" s="303"/>
      <c r="H1130" s="41"/>
      <c r="J1130" s="253"/>
      <c r="L1130" s="255"/>
      <c r="N1130" s="293"/>
      <c r="P1130" s="41"/>
    </row>
    <row r="1131" spans="2:16" ht="16.5" customHeight="1" x14ac:dyDescent="0.35">
      <c r="B1131" s="253"/>
      <c r="D1131" s="255"/>
      <c r="F1131" s="303"/>
      <c r="H1131" s="41"/>
      <c r="J1131" s="253"/>
      <c r="L1131" s="255"/>
      <c r="N1131" s="293"/>
      <c r="P1131" s="41"/>
    </row>
    <row r="1132" spans="2:16" ht="16.5" customHeight="1" x14ac:dyDescent="0.35">
      <c r="B1132" s="253"/>
      <c r="D1132" s="255"/>
      <c r="F1132" s="303"/>
      <c r="H1132" s="41"/>
      <c r="J1132" s="253"/>
      <c r="L1132" s="255"/>
      <c r="N1132" s="293"/>
      <c r="P1132" s="41"/>
    </row>
    <row r="1133" spans="2:16" ht="16.5" customHeight="1" x14ac:dyDescent="0.35">
      <c r="B1133" s="253"/>
      <c r="D1133" s="255"/>
      <c r="F1133" s="303"/>
      <c r="H1133" s="41"/>
      <c r="J1133" s="253"/>
      <c r="L1133" s="255"/>
      <c r="N1133" s="293"/>
      <c r="P1133" s="41"/>
    </row>
    <row r="1134" spans="2:16" ht="16.5" customHeight="1" x14ac:dyDescent="0.35">
      <c r="B1134" s="253"/>
      <c r="D1134" s="255"/>
      <c r="F1134" s="303"/>
      <c r="H1134" s="41"/>
      <c r="J1134" s="253"/>
      <c r="L1134" s="255"/>
      <c r="N1134" s="293"/>
      <c r="P1134" s="41"/>
    </row>
    <row r="1135" spans="2:16" ht="16.5" customHeight="1" x14ac:dyDescent="0.35">
      <c r="B1135" s="253"/>
      <c r="D1135" s="255"/>
      <c r="F1135" s="303"/>
      <c r="H1135" s="41"/>
      <c r="J1135" s="253"/>
      <c r="L1135" s="255"/>
      <c r="N1135" s="293"/>
      <c r="P1135" s="41"/>
    </row>
    <row r="1136" spans="2:16" ht="16.5" customHeight="1" x14ac:dyDescent="0.35">
      <c r="B1136" s="253"/>
      <c r="D1136" s="255"/>
      <c r="F1136" s="303"/>
      <c r="H1136" s="41"/>
      <c r="J1136" s="253"/>
      <c r="L1136" s="255"/>
      <c r="N1136" s="293"/>
      <c r="P1136" s="41"/>
    </row>
    <row r="1137" spans="2:16" ht="16.5" customHeight="1" x14ac:dyDescent="0.35">
      <c r="B1137" s="253"/>
      <c r="D1137" s="255"/>
      <c r="F1137" s="303"/>
      <c r="H1137" s="41"/>
      <c r="J1137" s="253"/>
      <c r="L1137" s="255"/>
      <c r="N1137" s="293"/>
      <c r="P1137" s="41"/>
    </row>
    <row r="1138" spans="2:16" ht="16.5" customHeight="1" x14ac:dyDescent="0.35">
      <c r="B1138" s="253"/>
      <c r="D1138" s="255"/>
      <c r="F1138" s="303"/>
      <c r="H1138" s="41"/>
      <c r="J1138" s="253"/>
      <c r="L1138" s="255"/>
      <c r="N1138" s="293"/>
      <c r="P1138" s="41"/>
    </row>
    <row r="1139" spans="2:16" ht="16.5" customHeight="1" x14ac:dyDescent="0.35">
      <c r="B1139" s="253"/>
      <c r="D1139" s="255"/>
      <c r="F1139" s="303"/>
      <c r="H1139" s="41"/>
      <c r="J1139" s="253"/>
      <c r="L1139" s="255"/>
      <c r="N1139" s="293"/>
      <c r="P1139" s="41"/>
    </row>
    <row r="1140" spans="2:16" ht="16.5" customHeight="1" x14ac:dyDescent="0.35">
      <c r="B1140" s="253"/>
      <c r="D1140" s="255"/>
      <c r="F1140" s="303"/>
      <c r="H1140" s="41"/>
      <c r="J1140" s="253"/>
      <c r="L1140" s="255"/>
      <c r="N1140" s="293"/>
      <c r="P1140" s="41"/>
    </row>
    <row r="1141" spans="2:16" ht="16.5" customHeight="1" x14ac:dyDescent="0.35">
      <c r="B1141" s="253"/>
      <c r="D1141" s="255"/>
      <c r="F1141" s="303"/>
      <c r="H1141" s="41"/>
      <c r="J1141" s="253"/>
      <c r="L1141" s="255"/>
      <c r="N1141" s="293"/>
      <c r="P1141" s="41"/>
    </row>
    <row r="1142" spans="2:16" ht="16.5" customHeight="1" x14ac:dyDescent="0.35">
      <c r="B1142" s="253"/>
      <c r="D1142" s="255"/>
      <c r="F1142" s="303"/>
      <c r="H1142" s="41"/>
      <c r="J1142" s="253"/>
      <c r="L1142" s="255"/>
      <c r="N1142" s="293"/>
      <c r="P1142" s="41"/>
    </row>
    <row r="1143" spans="2:16" ht="16.5" customHeight="1" x14ac:dyDescent="0.35">
      <c r="B1143" s="253"/>
      <c r="D1143" s="255"/>
      <c r="F1143" s="303"/>
      <c r="H1143" s="41"/>
      <c r="J1143" s="253"/>
      <c r="L1143" s="255"/>
      <c r="N1143" s="293"/>
      <c r="P1143" s="41"/>
    </row>
    <row r="1144" spans="2:16" ht="16.5" customHeight="1" x14ac:dyDescent="0.35">
      <c r="B1144" s="253"/>
      <c r="D1144" s="255"/>
      <c r="F1144" s="303"/>
      <c r="H1144" s="41"/>
      <c r="J1144" s="253"/>
      <c r="L1144" s="255"/>
      <c r="N1144" s="293"/>
      <c r="P1144" s="41"/>
    </row>
    <row r="1145" spans="2:16" ht="16.5" customHeight="1" x14ac:dyDescent="0.35">
      <c r="B1145" s="253"/>
      <c r="D1145" s="255"/>
      <c r="F1145" s="303"/>
      <c r="H1145" s="41"/>
      <c r="J1145" s="253"/>
      <c r="L1145" s="255"/>
      <c r="N1145" s="293"/>
      <c r="P1145" s="41"/>
    </row>
    <row r="1146" spans="2:16" ht="16.5" customHeight="1" x14ac:dyDescent="0.35">
      <c r="B1146" s="253"/>
      <c r="D1146" s="255"/>
      <c r="F1146" s="303"/>
      <c r="H1146" s="41"/>
      <c r="J1146" s="253"/>
      <c r="L1146" s="255"/>
      <c r="N1146" s="293"/>
      <c r="P1146" s="41"/>
    </row>
    <row r="1147" spans="2:16" ht="16.5" customHeight="1" x14ac:dyDescent="0.35">
      <c r="B1147" s="253"/>
      <c r="D1147" s="255"/>
      <c r="F1147" s="303"/>
      <c r="H1147" s="41"/>
      <c r="J1147" s="253"/>
      <c r="L1147" s="255"/>
      <c r="N1147" s="293"/>
      <c r="P1147" s="41"/>
    </row>
    <row r="1148" spans="2:16" ht="16.5" customHeight="1" x14ac:dyDescent="0.35">
      <c r="B1148" s="253"/>
      <c r="D1148" s="255"/>
      <c r="F1148" s="303"/>
      <c r="H1148" s="41"/>
      <c r="J1148" s="253"/>
      <c r="L1148" s="255"/>
      <c r="N1148" s="293"/>
      <c r="P1148" s="41"/>
    </row>
    <row r="1149" spans="2:16" ht="16.5" customHeight="1" x14ac:dyDescent="0.35">
      <c r="B1149" s="253"/>
      <c r="D1149" s="255"/>
      <c r="F1149" s="303"/>
      <c r="H1149" s="41"/>
      <c r="J1149" s="253"/>
      <c r="L1149" s="255"/>
      <c r="N1149" s="293"/>
      <c r="P1149" s="41"/>
    </row>
    <row r="1150" spans="2:16" ht="16.5" customHeight="1" x14ac:dyDescent="0.35">
      <c r="B1150" s="253"/>
      <c r="D1150" s="255"/>
      <c r="F1150" s="303"/>
      <c r="H1150" s="41"/>
      <c r="J1150" s="253"/>
      <c r="L1150" s="255"/>
      <c r="N1150" s="293"/>
      <c r="P1150" s="41"/>
    </row>
    <row r="1151" spans="2:16" ht="16.5" customHeight="1" x14ac:dyDescent="0.35">
      <c r="B1151" s="253"/>
      <c r="D1151" s="255"/>
      <c r="F1151" s="303"/>
      <c r="H1151" s="41"/>
      <c r="J1151" s="253"/>
      <c r="L1151" s="255"/>
      <c r="N1151" s="293"/>
      <c r="P1151" s="41"/>
    </row>
    <row r="1152" spans="2:16" ht="16.5" customHeight="1" x14ac:dyDescent="0.35">
      <c r="B1152" s="253"/>
      <c r="D1152" s="255"/>
      <c r="F1152" s="303"/>
      <c r="H1152" s="41"/>
      <c r="J1152" s="253"/>
      <c r="L1152" s="255"/>
      <c r="N1152" s="293"/>
      <c r="P1152" s="41"/>
    </row>
    <row r="1153" spans="2:16" ht="16.5" customHeight="1" x14ac:dyDescent="0.35">
      <c r="B1153" s="253"/>
      <c r="D1153" s="255"/>
      <c r="F1153" s="303"/>
      <c r="H1153" s="41"/>
      <c r="J1153" s="253"/>
      <c r="L1153" s="255"/>
      <c r="N1153" s="293"/>
      <c r="P1153" s="41"/>
    </row>
    <row r="1154" spans="2:16" ht="16.5" customHeight="1" x14ac:dyDescent="0.35">
      <c r="B1154" s="253"/>
      <c r="D1154" s="255"/>
      <c r="F1154" s="303"/>
      <c r="H1154" s="41"/>
      <c r="J1154" s="253"/>
      <c r="L1154" s="255"/>
      <c r="N1154" s="293"/>
      <c r="P1154" s="41"/>
    </row>
    <row r="1155" spans="2:16" ht="16.5" customHeight="1" x14ac:dyDescent="0.35">
      <c r="B1155" s="253"/>
      <c r="D1155" s="255"/>
      <c r="F1155" s="303"/>
      <c r="H1155" s="41"/>
      <c r="J1155" s="253"/>
      <c r="L1155" s="255"/>
      <c r="N1155" s="293"/>
      <c r="P1155" s="41"/>
    </row>
    <row r="1156" spans="2:16" ht="16.5" customHeight="1" x14ac:dyDescent="0.35">
      <c r="B1156" s="253"/>
      <c r="D1156" s="255"/>
      <c r="F1156" s="303"/>
      <c r="H1156" s="41"/>
      <c r="J1156" s="253"/>
      <c r="L1156" s="255"/>
      <c r="N1156" s="293"/>
      <c r="P1156" s="41"/>
    </row>
    <row r="1157" spans="2:16" ht="16.5" customHeight="1" x14ac:dyDescent="0.35">
      <c r="B1157" s="253"/>
      <c r="D1157" s="255"/>
      <c r="F1157" s="303"/>
      <c r="H1157" s="41"/>
      <c r="J1157" s="253"/>
      <c r="L1157" s="255"/>
      <c r="N1157" s="293"/>
      <c r="P1157" s="41"/>
    </row>
    <row r="1158" spans="2:16" ht="16.5" customHeight="1" x14ac:dyDescent="0.35">
      <c r="B1158" s="253"/>
      <c r="D1158" s="255"/>
      <c r="F1158" s="303"/>
      <c r="H1158" s="41"/>
      <c r="J1158" s="253"/>
      <c r="L1158" s="255"/>
      <c r="N1158" s="293"/>
      <c r="P1158" s="41"/>
    </row>
    <row r="1159" spans="2:16" ht="16.5" customHeight="1" x14ac:dyDescent="0.35">
      <c r="B1159" s="253"/>
      <c r="D1159" s="255"/>
      <c r="F1159" s="303"/>
      <c r="H1159" s="41"/>
      <c r="J1159" s="253"/>
      <c r="L1159" s="255"/>
      <c r="N1159" s="293"/>
      <c r="P1159" s="41"/>
    </row>
    <row r="1160" spans="2:16" ht="16.5" customHeight="1" x14ac:dyDescent="0.35">
      <c r="B1160" s="253"/>
      <c r="D1160" s="255"/>
      <c r="F1160" s="303"/>
      <c r="H1160" s="41"/>
      <c r="J1160" s="253"/>
      <c r="L1160" s="255"/>
      <c r="N1160" s="293"/>
      <c r="P1160" s="41"/>
    </row>
    <row r="1161" spans="2:16" ht="16.5" customHeight="1" x14ac:dyDescent="0.35">
      <c r="B1161" s="253"/>
      <c r="D1161" s="255"/>
      <c r="F1161" s="303"/>
      <c r="H1161" s="41"/>
      <c r="J1161" s="253"/>
      <c r="L1161" s="255"/>
      <c r="N1161" s="293"/>
      <c r="P1161" s="41"/>
    </row>
    <row r="1162" spans="2:16" ht="16.5" customHeight="1" x14ac:dyDescent="0.35">
      <c r="B1162" s="253"/>
      <c r="D1162" s="255"/>
      <c r="F1162" s="303"/>
      <c r="H1162" s="41"/>
      <c r="J1162" s="253"/>
      <c r="L1162" s="255"/>
      <c r="N1162" s="293"/>
      <c r="P1162" s="41"/>
    </row>
    <row r="1163" spans="2:16" ht="16.5" customHeight="1" x14ac:dyDescent="0.35">
      <c r="B1163" s="253"/>
      <c r="D1163" s="255"/>
      <c r="F1163" s="303"/>
      <c r="H1163" s="41"/>
      <c r="J1163" s="253"/>
      <c r="L1163" s="255"/>
      <c r="N1163" s="293"/>
      <c r="P1163" s="41"/>
    </row>
    <row r="1164" spans="2:16" ht="16.5" customHeight="1" x14ac:dyDescent="0.35">
      <c r="B1164" s="253"/>
      <c r="D1164" s="255"/>
      <c r="F1164" s="303"/>
      <c r="H1164" s="41"/>
      <c r="J1164" s="253"/>
      <c r="L1164" s="255"/>
      <c r="N1164" s="293"/>
      <c r="P1164" s="41"/>
    </row>
    <row r="1165" spans="2:16" ht="16.5" customHeight="1" x14ac:dyDescent="0.35">
      <c r="B1165" s="253"/>
      <c r="D1165" s="255"/>
      <c r="F1165" s="303"/>
      <c r="H1165" s="41"/>
      <c r="J1165" s="253"/>
      <c r="L1165" s="255"/>
      <c r="N1165" s="293"/>
      <c r="P1165" s="41"/>
    </row>
    <row r="1166" spans="2:16" ht="16.5" customHeight="1" x14ac:dyDescent="0.35">
      <c r="B1166" s="253"/>
      <c r="D1166" s="255"/>
      <c r="F1166" s="303"/>
      <c r="H1166" s="41"/>
      <c r="J1166" s="253"/>
      <c r="L1166" s="255"/>
      <c r="N1166" s="293"/>
      <c r="P1166" s="41"/>
    </row>
    <row r="1167" spans="2:16" ht="16.5" customHeight="1" x14ac:dyDescent="0.35">
      <c r="B1167" s="253"/>
      <c r="D1167" s="255"/>
      <c r="F1167" s="303"/>
      <c r="H1167" s="41"/>
      <c r="J1167" s="253"/>
      <c r="L1167" s="255"/>
      <c r="N1167" s="293"/>
      <c r="P1167" s="41"/>
    </row>
    <row r="1168" spans="2:16" ht="16.5" customHeight="1" x14ac:dyDescent="0.35">
      <c r="B1168" s="253"/>
      <c r="D1168" s="255"/>
      <c r="F1168" s="303"/>
      <c r="H1168" s="41"/>
      <c r="J1168" s="253"/>
      <c r="L1168" s="255"/>
      <c r="N1168" s="293"/>
      <c r="P1168" s="41"/>
    </row>
    <row r="1169" spans="2:16" ht="16.5" customHeight="1" x14ac:dyDescent="0.35">
      <c r="B1169" s="253"/>
      <c r="D1169" s="255"/>
      <c r="F1169" s="303"/>
      <c r="H1169" s="41"/>
      <c r="J1169" s="253"/>
      <c r="L1169" s="255"/>
      <c r="N1169" s="293"/>
      <c r="P1169" s="41"/>
    </row>
    <row r="1170" spans="2:16" ht="16.5" customHeight="1" x14ac:dyDescent="0.35">
      <c r="B1170" s="253"/>
      <c r="D1170" s="255"/>
      <c r="F1170" s="303"/>
      <c r="H1170" s="41"/>
      <c r="J1170" s="253"/>
      <c r="L1170" s="255"/>
      <c r="N1170" s="293"/>
      <c r="P1170" s="41"/>
    </row>
    <row r="1171" spans="2:16" ht="16.5" customHeight="1" x14ac:dyDescent="0.35">
      <c r="B1171" s="253"/>
      <c r="D1171" s="255"/>
      <c r="F1171" s="303"/>
      <c r="H1171" s="41"/>
      <c r="J1171" s="253"/>
      <c r="L1171" s="255"/>
      <c r="N1171" s="293"/>
      <c r="P1171" s="41"/>
    </row>
    <row r="1172" spans="2:16" ht="16.5" customHeight="1" x14ac:dyDescent="0.35">
      <c r="B1172" s="253"/>
      <c r="D1172" s="255"/>
      <c r="F1172" s="303"/>
      <c r="H1172" s="41"/>
      <c r="J1172" s="253"/>
      <c r="L1172" s="255"/>
      <c r="N1172" s="293"/>
      <c r="P1172" s="41"/>
    </row>
    <row r="1173" spans="2:16" ht="16.5" customHeight="1" x14ac:dyDescent="0.35">
      <c r="B1173" s="253"/>
      <c r="D1173" s="255"/>
      <c r="F1173" s="303"/>
      <c r="H1173" s="41"/>
      <c r="J1173" s="253"/>
      <c r="L1173" s="255"/>
      <c r="N1173" s="293"/>
      <c r="P1173" s="41"/>
    </row>
    <row r="1174" spans="2:16" ht="16.5" customHeight="1" x14ac:dyDescent="0.35">
      <c r="B1174" s="253"/>
      <c r="D1174" s="255"/>
      <c r="F1174" s="303"/>
      <c r="H1174" s="41"/>
      <c r="J1174" s="253"/>
      <c r="L1174" s="255"/>
      <c r="N1174" s="293"/>
      <c r="P1174" s="41"/>
    </row>
    <row r="1175" spans="2:16" ht="16.5" customHeight="1" x14ac:dyDescent="0.35">
      <c r="B1175" s="253"/>
      <c r="D1175" s="255"/>
      <c r="F1175" s="303"/>
      <c r="H1175" s="41"/>
      <c r="J1175" s="253"/>
      <c r="L1175" s="255"/>
      <c r="N1175" s="293"/>
      <c r="P1175" s="41"/>
    </row>
    <row r="1176" spans="2:16" ht="16.5" customHeight="1" x14ac:dyDescent="0.35">
      <c r="B1176" s="253"/>
      <c r="D1176" s="255"/>
      <c r="F1176" s="303"/>
      <c r="H1176" s="41"/>
      <c r="J1176" s="253"/>
      <c r="L1176" s="255"/>
      <c r="N1176" s="293"/>
      <c r="P1176" s="41"/>
    </row>
    <row r="1177" spans="2:16" ht="16.5" customHeight="1" x14ac:dyDescent="0.35">
      <c r="B1177" s="253"/>
      <c r="D1177" s="255"/>
      <c r="F1177" s="303"/>
      <c r="H1177" s="41"/>
      <c r="J1177" s="253"/>
      <c r="L1177" s="255"/>
      <c r="N1177" s="293"/>
      <c r="P1177" s="41"/>
    </row>
    <row r="1178" spans="2:16" ht="16.5" customHeight="1" x14ac:dyDescent="0.35">
      <c r="B1178" s="253"/>
      <c r="D1178" s="255"/>
      <c r="F1178" s="303"/>
      <c r="H1178" s="41"/>
      <c r="J1178" s="253"/>
      <c r="L1178" s="255"/>
      <c r="N1178" s="293"/>
      <c r="P1178" s="41"/>
    </row>
    <row r="1179" spans="2:16" ht="16.5" customHeight="1" x14ac:dyDescent="0.35">
      <c r="B1179" s="253"/>
      <c r="D1179" s="255"/>
      <c r="F1179" s="303"/>
      <c r="H1179" s="41"/>
      <c r="J1179" s="253"/>
      <c r="L1179" s="255"/>
      <c r="N1179" s="293"/>
      <c r="P1179" s="41"/>
    </row>
    <row r="1180" spans="2:16" ht="16.5" customHeight="1" x14ac:dyDescent="0.35">
      <c r="B1180" s="253"/>
      <c r="D1180" s="255"/>
      <c r="F1180" s="303"/>
      <c r="H1180" s="41"/>
      <c r="J1180" s="253"/>
      <c r="L1180" s="255"/>
      <c r="N1180" s="293"/>
      <c r="P1180" s="41"/>
    </row>
    <row r="1181" spans="2:16" ht="16.5" customHeight="1" x14ac:dyDescent="0.35">
      <c r="B1181" s="253"/>
      <c r="D1181" s="255"/>
      <c r="F1181" s="303"/>
      <c r="H1181" s="41"/>
      <c r="J1181" s="253"/>
      <c r="L1181" s="255"/>
      <c r="N1181" s="293"/>
      <c r="P1181" s="41"/>
    </row>
    <row r="1182" spans="2:16" ht="16.5" customHeight="1" x14ac:dyDescent="0.35">
      <c r="B1182" s="253"/>
      <c r="D1182" s="255"/>
      <c r="F1182" s="303"/>
      <c r="H1182" s="41"/>
      <c r="J1182" s="253"/>
      <c r="L1182" s="255"/>
      <c r="N1182" s="293"/>
      <c r="P1182" s="41"/>
    </row>
    <row r="1183" spans="2:16" ht="16.5" customHeight="1" x14ac:dyDescent="0.35">
      <c r="B1183" s="253"/>
      <c r="D1183" s="255"/>
      <c r="F1183" s="303"/>
      <c r="H1183" s="41"/>
      <c r="J1183" s="253"/>
      <c r="L1183" s="255"/>
      <c r="N1183" s="293"/>
      <c r="P1183" s="41"/>
    </row>
    <row r="1184" spans="2:16" ht="16.5" customHeight="1" x14ac:dyDescent="0.35">
      <c r="B1184" s="253"/>
      <c r="D1184" s="255"/>
      <c r="F1184" s="303"/>
      <c r="H1184" s="41"/>
      <c r="J1184" s="253"/>
      <c r="L1184" s="255"/>
      <c r="N1184" s="293"/>
      <c r="P1184" s="41"/>
    </row>
    <row r="1185" spans="2:16" ht="16.5" customHeight="1" x14ac:dyDescent="0.35">
      <c r="B1185" s="253"/>
      <c r="D1185" s="255"/>
      <c r="F1185" s="303"/>
      <c r="H1185" s="41"/>
      <c r="J1185" s="253"/>
      <c r="L1185" s="255"/>
      <c r="N1185" s="293"/>
      <c r="P1185" s="41"/>
    </row>
    <row r="1186" spans="2:16" ht="16.5" customHeight="1" x14ac:dyDescent="0.35">
      <c r="B1186" s="253"/>
      <c r="D1186" s="255"/>
      <c r="F1186" s="303"/>
      <c r="H1186" s="41"/>
      <c r="J1186" s="253"/>
      <c r="L1186" s="255"/>
      <c r="N1186" s="293"/>
      <c r="P1186" s="41"/>
    </row>
    <row r="1187" spans="2:16" ht="16.5" customHeight="1" x14ac:dyDescent="0.35">
      <c r="B1187" s="253"/>
      <c r="D1187" s="255"/>
      <c r="F1187" s="303"/>
      <c r="H1187" s="41"/>
      <c r="J1187" s="253"/>
      <c r="L1187" s="255"/>
      <c r="N1187" s="293"/>
      <c r="P1187" s="41"/>
    </row>
    <row r="1188" spans="2:16" ht="16.5" customHeight="1" x14ac:dyDescent="0.35">
      <c r="B1188" s="253"/>
      <c r="D1188" s="255"/>
      <c r="F1188" s="303"/>
      <c r="H1188" s="41"/>
      <c r="J1188" s="253"/>
      <c r="L1188" s="255"/>
      <c r="N1188" s="293"/>
      <c r="P1188" s="41"/>
    </row>
    <row r="1189" spans="2:16" ht="16.5" customHeight="1" x14ac:dyDescent="0.35">
      <c r="B1189" s="253"/>
      <c r="D1189" s="255"/>
      <c r="F1189" s="303"/>
      <c r="H1189" s="41"/>
      <c r="J1189" s="253"/>
      <c r="L1189" s="255"/>
      <c r="N1189" s="293"/>
      <c r="P1189" s="41"/>
    </row>
    <row r="1190" spans="2:16" ht="16.5" customHeight="1" x14ac:dyDescent="0.35">
      <c r="B1190" s="253"/>
      <c r="D1190" s="255"/>
      <c r="F1190" s="303"/>
      <c r="H1190" s="41"/>
      <c r="J1190" s="253"/>
      <c r="L1190" s="255"/>
      <c r="N1190" s="293"/>
      <c r="P1190" s="41"/>
    </row>
    <row r="1191" spans="2:16" ht="16.5" customHeight="1" x14ac:dyDescent="0.35">
      <c r="B1191" s="253"/>
      <c r="D1191" s="255"/>
      <c r="F1191" s="303"/>
      <c r="H1191" s="41"/>
      <c r="J1191" s="253"/>
      <c r="L1191" s="255"/>
      <c r="N1191" s="293"/>
      <c r="P1191" s="41"/>
    </row>
    <row r="1192" spans="2:16" ht="16.5" customHeight="1" x14ac:dyDescent="0.35">
      <c r="B1192" s="253"/>
      <c r="D1192" s="255"/>
      <c r="F1192" s="303"/>
      <c r="H1192" s="41"/>
      <c r="J1192" s="253"/>
      <c r="L1192" s="255"/>
      <c r="N1192" s="293"/>
      <c r="P1192" s="41"/>
    </row>
    <row r="1193" spans="2:16" ht="16.5" customHeight="1" x14ac:dyDescent="0.35">
      <c r="B1193" s="253"/>
      <c r="D1193" s="255"/>
      <c r="F1193" s="303"/>
      <c r="H1193" s="41"/>
      <c r="J1193" s="253"/>
      <c r="L1193" s="255"/>
      <c r="N1193" s="293"/>
      <c r="P1193" s="41"/>
    </row>
    <row r="1194" spans="2:16" ht="16.5" customHeight="1" x14ac:dyDescent="0.35">
      <c r="B1194" s="253"/>
      <c r="D1194" s="255"/>
      <c r="F1194" s="303"/>
      <c r="H1194" s="41"/>
      <c r="J1194" s="253"/>
      <c r="L1194" s="255"/>
      <c r="N1194" s="293"/>
      <c r="P1194" s="41"/>
    </row>
    <row r="1195" spans="2:16" ht="16.5" customHeight="1" x14ac:dyDescent="0.35">
      <c r="B1195" s="253"/>
      <c r="D1195" s="255"/>
      <c r="F1195" s="303"/>
      <c r="H1195" s="41"/>
      <c r="J1195" s="253"/>
      <c r="L1195" s="255"/>
      <c r="N1195" s="293"/>
      <c r="P1195" s="41"/>
    </row>
    <row r="1196" spans="2:16" ht="16.5" customHeight="1" x14ac:dyDescent="0.35">
      <c r="B1196" s="253"/>
      <c r="D1196" s="255"/>
      <c r="F1196" s="303"/>
      <c r="H1196" s="41"/>
      <c r="J1196" s="253"/>
      <c r="L1196" s="255"/>
      <c r="N1196" s="293"/>
      <c r="P1196" s="41"/>
    </row>
    <row r="1197" spans="2:16" ht="16.5" customHeight="1" x14ac:dyDescent="0.35">
      <c r="B1197" s="253"/>
      <c r="D1197" s="255"/>
      <c r="F1197" s="303"/>
      <c r="H1197" s="41"/>
      <c r="J1197" s="253"/>
      <c r="L1197" s="255"/>
      <c r="N1197" s="293"/>
      <c r="P1197" s="41"/>
    </row>
    <row r="1198" spans="2:16" ht="16.5" customHeight="1" x14ac:dyDescent="0.35">
      <c r="B1198" s="253"/>
      <c r="D1198" s="255"/>
      <c r="F1198" s="303"/>
      <c r="H1198" s="41"/>
      <c r="J1198" s="253"/>
      <c r="L1198" s="255"/>
      <c r="N1198" s="293"/>
      <c r="P1198" s="41"/>
    </row>
    <row r="1199" spans="2:16" ht="16.5" customHeight="1" x14ac:dyDescent="0.35">
      <c r="B1199" s="253"/>
      <c r="D1199" s="255"/>
      <c r="F1199" s="303"/>
      <c r="H1199" s="41"/>
      <c r="J1199" s="253"/>
      <c r="L1199" s="255"/>
      <c r="N1199" s="293"/>
      <c r="P1199" s="41"/>
    </row>
    <row r="1200" spans="2:16" ht="16.5" customHeight="1" x14ac:dyDescent="0.35">
      <c r="B1200" s="253"/>
      <c r="D1200" s="255"/>
      <c r="F1200" s="303"/>
      <c r="H1200" s="41"/>
      <c r="J1200" s="253"/>
      <c r="L1200" s="255"/>
      <c r="N1200" s="293"/>
      <c r="P1200" s="41"/>
    </row>
    <row r="1201" spans="2:16" ht="16.5" customHeight="1" x14ac:dyDescent="0.35">
      <c r="B1201" s="253"/>
      <c r="D1201" s="255"/>
      <c r="F1201" s="303"/>
      <c r="H1201" s="41"/>
      <c r="J1201" s="253"/>
      <c r="L1201" s="255"/>
      <c r="N1201" s="293"/>
      <c r="P1201" s="41"/>
    </row>
    <row r="1202" spans="2:16" ht="16.5" customHeight="1" x14ac:dyDescent="0.35">
      <c r="B1202" s="253"/>
      <c r="D1202" s="255"/>
      <c r="F1202" s="303"/>
      <c r="H1202" s="41"/>
      <c r="J1202" s="253"/>
      <c r="L1202" s="255"/>
      <c r="N1202" s="293"/>
      <c r="P1202" s="41"/>
    </row>
    <row r="1203" spans="2:16" ht="16.5" customHeight="1" x14ac:dyDescent="0.35">
      <c r="B1203" s="253"/>
      <c r="D1203" s="255"/>
      <c r="F1203" s="303"/>
      <c r="H1203" s="41"/>
      <c r="J1203" s="253"/>
      <c r="L1203" s="255"/>
      <c r="N1203" s="293"/>
      <c r="P1203" s="41"/>
    </row>
    <row r="1204" spans="2:16" ht="16.5" customHeight="1" x14ac:dyDescent="0.35">
      <c r="B1204" s="253"/>
      <c r="D1204" s="255"/>
      <c r="F1204" s="303"/>
      <c r="H1204" s="41"/>
      <c r="J1204" s="253"/>
      <c r="L1204" s="255"/>
      <c r="N1204" s="293"/>
      <c r="P1204" s="41"/>
    </row>
    <row r="1205" spans="2:16" ht="16.5" customHeight="1" x14ac:dyDescent="0.35">
      <c r="B1205" s="253"/>
      <c r="D1205" s="255"/>
      <c r="F1205" s="303"/>
      <c r="H1205" s="41"/>
      <c r="J1205" s="253"/>
      <c r="L1205" s="255"/>
      <c r="N1205" s="293"/>
      <c r="P1205" s="41"/>
    </row>
    <row r="1206" spans="2:16" ht="16.5" customHeight="1" x14ac:dyDescent="0.35">
      <c r="B1206" s="253"/>
      <c r="D1206" s="255"/>
      <c r="F1206" s="303"/>
      <c r="H1206" s="41"/>
      <c r="J1206" s="253"/>
      <c r="L1206" s="255"/>
      <c r="N1206" s="293"/>
      <c r="P1206" s="41"/>
    </row>
    <row r="1207" spans="2:16" ht="16.5" customHeight="1" x14ac:dyDescent="0.35">
      <c r="B1207" s="253"/>
      <c r="D1207" s="255"/>
      <c r="F1207" s="303"/>
      <c r="H1207" s="41"/>
      <c r="J1207" s="253"/>
      <c r="L1207" s="255"/>
      <c r="N1207" s="293"/>
      <c r="P1207" s="41"/>
    </row>
    <row r="1208" spans="2:16" ht="16.5" customHeight="1" x14ac:dyDescent="0.35">
      <c r="B1208" s="253"/>
      <c r="D1208" s="255"/>
      <c r="F1208" s="303"/>
      <c r="H1208" s="41"/>
      <c r="J1208" s="253"/>
      <c r="L1208" s="255"/>
      <c r="N1208" s="293"/>
      <c r="P1208" s="41"/>
    </row>
    <row r="1209" spans="2:16" ht="16.5" customHeight="1" x14ac:dyDescent="0.35">
      <c r="B1209" s="253"/>
      <c r="D1209" s="255"/>
      <c r="F1209" s="303"/>
      <c r="H1209" s="41"/>
      <c r="J1209" s="253"/>
      <c r="L1209" s="255"/>
      <c r="N1209" s="293"/>
      <c r="P1209" s="41"/>
    </row>
    <row r="1210" spans="2:16" ht="16.5" customHeight="1" x14ac:dyDescent="0.35">
      <c r="B1210" s="253"/>
      <c r="D1210" s="255"/>
      <c r="F1210" s="303"/>
      <c r="H1210" s="41"/>
      <c r="J1210" s="253"/>
      <c r="L1210" s="255"/>
      <c r="N1210" s="293"/>
      <c r="P1210" s="41"/>
    </row>
    <row r="1211" spans="2:16" ht="16.5" customHeight="1" x14ac:dyDescent="0.35">
      <c r="B1211" s="253"/>
      <c r="D1211" s="255"/>
      <c r="F1211" s="303"/>
      <c r="H1211" s="41"/>
      <c r="J1211" s="253"/>
      <c r="L1211" s="255"/>
      <c r="N1211" s="293"/>
      <c r="P1211" s="41"/>
    </row>
    <row r="1212" spans="2:16" ht="16.5" customHeight="1" x14ac:dyDescent="0.35">
      <c r="B1212" s="253"/>
      <c r="D1212" s="255"/>
      <c r="F1212" s="303"/>
      <c r="H1212" s="41"/>
      <c r="J1212" s="253"/>
      <c r="L1212" s="255"/>
      <c r="N1212" s="293"/>
      <c r="P1212" s="41"/>
    </row>
    <row r="1213" spans="2:16" ht="16.5" customHeight="1" x14ac:dyDescent="0.35">
      <c r="B1213" s="253"/>
      <c r="D1213" s="255"/>
      <c r="F1213" s="303"/>
      <c r="H1213" s="41"/>
      <c r="J1213" s="253"/>
      <c r="L1213" s="255"/>
      <c r="N1213" s="293"/>
      <c r="P1213" s="41"/>
    </row>
    <row r="1214" spans="2:16" ht="16.5" customHeight="1" x14ac:dyDescent="0.35">
      <c r="B1214" s="253"/>
      <c r="D1214" s="255"/>
      <c r="F1214" s="303"/>
      <c r="H1214" s="41"/>
      <c r="J1214" s="253"/>
      <c r="L1214" s="255"/>
      <c r="N1214" s="293"/>
      <c r="P1214" s="41"/>
    </row>
    <row r="1215" spans="2:16" ht="16.5" customHeight="1" x14ac:dyDescent="0.35">
      <c r="B1215" s="253"/>
      <c r="D1215" s="255"/>
      <c r="F1215" s="303"/>
      <c r="H1215" s="41"/>
      <c r="J1215" s="253"/>
      <c r="L1215" s="255"/>
      <c r="N1215" s="293"/>
      <c r="P1215" s="41"/>
    </row>
    <row r="1216" spans="2:16" ht="16.5" customHeight="1" x14ac:dyDescent="0.35">
      <c r="B1216" s="253"/>
      <c r="D1216" s="255"/>
      <c r="F1216" s="303"/>
      <c r="H1216" s="41"/>
      <c r="J1216" s="253"/>
      <c r="L1216" s="255"/>
      <c r="N1216" s="293"/>
      <c r="P1216" s="41"/>
    </row>
    <row r="1217" spans="2:16" ht="16.5" customHeight="1" x14ac:dyDescent="0.35">
      <c r="B1217" s="253"/>
      <c r="D1217" s="255"/>
      <c r="F1217" s="303"/>
      <c r="H1217" s="41"/>
      <c r="J1217" s="253"/>
      <c r="L1217" s="255"/>
      <c r="N1217" s="293"/>
      <c r="P1217" s="41"/>
    </row>
    <row r="1218" spans="2:16" ht="16.5" customHeight="1" x14ac:dyDescent="0.35">
      <c r="B1218" s="253"/>
      <c r="D1218" s="255"/>
      <c r="F1218" s="303"/>
      <c r="H1218" s="41"/>
      <c r="J1218" s="253"/>
      <c r="L1218" s="255"/>
      <c r="N1218" s="293"/>
      <c r="P1218" s="41"/>
    </row>
    <row r="1219" spans="2:16" ht="16.5" customHeight="1" x14ac:dyDescent="0.35">
      <c r="B1219" s="253"/>
      <c r="D1219" s="255"/>
      <c r="F1219" s="303"/>
      <c r="H1219" s="41"/>
      <c r="J1219" s="253"/>
      <c r="L1219" s="255"/>
      <c r="N1219" s="293"/>
      <c r="P1219" s="41"/>
    </row>
    <row r="1220" spans="2:16" ht="16.5" customHeight="1" x14ac:dyDescent="0.35">
      <c r="B1220" s="253"/>
      <c r="D1220" s="255"/>
      <c r="F1220" s="303"/>
      <c r="H1220" s="41"/>
      <c r="J1220" s="253"/>
      <c r="L1220" s="255"/>
      <c r="N1220" s="293"/>
      <c r="P1220" s="41"/>
    </row>
    <row r="1221" spans="2:16" ht="16.5" customHeight="1" x14ac:dyDescent="0.35">
      <c r="B1221" s="253"/>
      <c r="D1221" s="255"/>
      <c r="F1221" s="303"/>
      <c r="H1221" s="41"/>
      <c r="J1221" s="253"/>
      <c r="L1221" s="255"/>
      <c r="N1221" s="293"/>
      <c r="P1221" s="41"/>
    </row>
    <row r="1222" spans="2:16" ht="16.5" customHeight="1" x14ac:dyDescent="0.35">
      <c r="B1222" s="253"/>
      <c r="D1222" s="255"/>
      <c r="F1222" s="303"/>
      <c r="H1222" s="41"/>
      <c r="J1222" s="253"/>
      <c r="L1222" s="255"/>
      <c r="N1222" s="293"/>
      <c r="P1222" s="41"/>
    </row>
    <row r="1223" spans="2:16" ht="16.5" customHeight="1" x14ac:dyDescent="0.35">
      <c r="B1223" s="253"/>
      <c r="D1223" s="255"/>
      <c r="F1223" s="303"/>
      <c r="H1223" s="41"/>
      <c r="J1223" s="253"/>
      <c r="L1223" s="255"/>
      <c r="N1223" s="293"/>
      <c r="P1223" s="41"/>
    </row>
    <row r="1224" spans="2:16" ht="16.5" customHeight="1" x14ac:dyDescent="0.35">
      <c r="B1224" s="253"/>
      <c r="D1224" s="255"/>
      <c r="F1224" s="303"/>
      <c r="H1224" s="41"/>
      <c r="J1224" s="253"/>
      <c r="L1224" s="255"/>
      <c r="N1224" s="293"/>
      <c r="P1224" s="41"/>
    </row>
    <row r="1225" spans="2:16" ht="16.5" customHeight="1" x14ac:dyDescent="0.35">
      <c r="B1225" s="253"/>
      <c r="D1225" s="255"/>
      <c r="F1225" s="303"/>
      <c r="H1225" s="41"/>
      <c r="J1225" s="253"/>
      <c r="L1225" s="255"/>
      <c r="N1225" s="293"/>
      <c r="P1225" s="41"/>
    </row>
    <row r="1226" spans="2:16" ht="16.5" customHeight="1" x14ac:dyDescent="0.35">
      <c r="B1226" s="253"/>
      <c r="D1226" s="255"/>
      <c r="F1226" s="303"/>
      <c r="H1226" s="41"/>
      <c r="J1226" s="253"/>
      <c r="L1226" s="255"/>
      <c r="N1226" s="293"/>
      <c r="P1226" s="41"/>
    </row>
    <row r="1227" spans="2:16" ht="16.5" customHeight="1" x14ac:dyDescent="0.35">
      <c r="B1227" s="253"/>
      <c r="D1227" s="255"/>
      <c r="F1227" s="303"/>
      <c r="H1227" s="41"/>
      <c r="J1227" s="253"/>
      <c r="L1227" s="255"/>
      <c r="N1227" s="293"/>
      <c r="P1227" s="41"/>
    </row>
    <row r="1228" spans="2:16" ht="16.5" customHeight="1" x14ac:dyDescent="0.35">
      <c r="B1228" s="253"/>
      <c r="D1228" s="255"/>
      <c r="F1228" s="303"/>
      <c r="H1228" s="41"/>
      <c r="J1228" s="253"/>
      <c r="L1228" s="255"/>
      <c r="N1228" s="293"/>
      <c r="P1228" s="41"/>
    </row>
    <row r="1229" spans="2:16" ht="16.5" customHeight="1" x14ac:dyDescent="0.35">
      <c r="B1229" s="253"/>
      <c r="D1229" s="255"/>
      <c r="F1229" s="303"/>
      <c r="H1229" s="41"/>
      <c r="J1229" s="253"/>
      <c r="L1229" s="255"/>
      <c r="N1229" s="293"/>
      <c r="P1229" s="41"/>
    </row>
    <row r="1230" spans="2:16" ht="16.5" customHeight="1" x14ac:dyDescent="0.35">
      <c r="B1230" s="253"/>
      <c r="D1230" s="255"/>
      <c r="F1230" s="303"/>
      <c r="H1230" s="41"/>
      <c r="J1230" s="253"/>
      <c r="L1230" s="255"/>
      <c r="N1230" s="293"/>
      <c r="P1230" s="41"/>
    </row>
    <row r="1231" spans="2:16" ht="16.5" customHeight="1" x14ac:dyDescent="0.35">
      <c r="B1231" s="253"/>
      <c r="D1231" s="255"/>
      <c r="F1231" s="303"/>
      <c r="H1231" s="41"/>
      <c r="J1231" s="253"/>
      <c r="L1231" s="255"/>
      <c r="N1231" s="293"/>
      <c r="P1231" s="41"/>
    </row>
    <row r="1232" spans="2:16" ht="16.5" customHeight="1" x14ac:dyDescent="0.35">
      <c r="B1232" s="253"/>
      <c r="D1232" s="255"/>
      <c r="F1232" s="303"/>
      <c r="H1232" s="41"/>
      <c r="J1232" s="253"/>
      <c r="L1232" s="255"/>
      <c r="N1232" s="293"/>
      <c r="P1232" s="41"/>
    </row>
    <row r="1233" spans="2:16" ht="16.5" customHeight="1" x14ac:dyDescent="0.35">
      <c r="B1233" s="253"/>
      <c r="D1233" s="255"/>
      <c r="F1233" s="303"/>
      <c r="H1233" s="41"/>
      <c r="J1233" s="253"/>
      <c r="L1233" s="255"/>
      <c r="N1233" s="293"/>
      <c r="P1233" s="41"/>
    </row>
    <row r="1234" spans="2:16" ht="16.5" customHeight="1" x14ac:dyDescent="0.35">
      <c r="B1234" s="253"/>
      <c r="D1234" s="255"/>
      <c r="F1234" s="303"/>
      <c r="H1234" s="41"/>
      <c r="J1234" s="253"/>
      <c r="L1234" s="255"/>
      <c r="N1234" s="293"/>
      <c r="P1234" s="41"/>
    </row>
    <row r="1235" spans="2:16" ht="16.5" customHeight="1" x14ac:dyDescent="0.35">
      <c r="B1235" s="253"/>
      <c r="D1235" s="255"/>
      <c r="F1235" s="303"/>
      <c r="H1235" s="41"/>
      <c r="J1235" s="253"/>
      <c r="L1235" s="255"/>
      <c r="N1235" s="293"/>
      <c r="P1235" s="41"/>
    </row>
    <row r="1236" spans="2:16" ht="16.5" customHeight="1" x14ac:dyDescent="0.35">
      <c r="B1236" s="253"/>
      <c r="D1236" s="255"/>
      <c r="F1236" s="303"/>
      <c r="H1236" s="41"/>
      <c r="J1236" s="253"/>
      <c r="L1236" s="255"/>
      <c r="N1236" s="293"/>
      <c r="P1236" s="41"/>
    </row>
    <row r="1237" spans="2:16" ht="16.5" customHeight="1" x14ac:dyDescent="0.35">
      <c r="B1237" s="253"/>
      <c r="D1237" s="255"/>
      <c r="F1237" s="303"/>
      <c r="H1237" s="41"/>
      <c r="J1237" s="253"/>
      <c r="L1237" s="255"/>
      <c r="N1237" s="293"/>
      <c r="P1237" s="41"/>
    </row>
    <row r="1238" spans="2:16" ht="16.5" customHeight="1" x14ac:dyDescent="0.35">
      <c r="B1238" s="253"/>
      <c r="D1238" s="255"/>
      <c r="F1238" s="303"/>
      <c r="H1238" s="41"/>
      <c r="J1238" s="253"/>
      <c r="L1238" s="255"/>
      <c r="N1238" s="293"/>
      <c r="P1238" s="41"/>
    </row>
    <row r="1239" spans="2:16" ht="16.5" customHeight="1" x14ac:dyDescent="0.35">
      <c r="B1239" s="253"/>
      <c r="D1239" s="255"/>
      <c r="F1239" s="303"/>
      <c r="H1239" s="41"/>
      <c r="J1239" s="253"/>
      <c r="L1239" s="255"/>
      <c r="N1239" s="293"/>
      <c r="P1239" s="41"/>
    </row>
    <row r="1240" spans="2:16" ht="16.5" customHeight="1" x14ac:dyDescent="0.35">
      <c r="B1240" s="253"/>
      <c r="D1240" s="255"/>
      <c r="F1240" s="303"/>
      <c r="H1240" s="41"/>
      <c r="J1240" s="253"/>
      <c r="L1240" s="255"/>
      <c r="N1240" s="293"/>
      <c r="P1240" s="41"/>
    </row>
    <row r="1241" spans="2:16" ht="16.5" customHeight="1" x14ac:dyDescent="0.35">
      <c r="B1241" s="253"/>
      <c r="D1241" s="255"/>
      <c r="F1241" s="303"/>
      <c r="H1241" s="41"/>
      <c r="J1241" s="253"/>
      <c r="L1241" s="255"/>
      <c r="N1241" s="293"/>
      <c r="P1241" s="41"/>
    </row>
    <row r="1242" spans="2:16" ht="16.5" customHeight="1" x14ac:dyDescent="0.35">
      <c r="B1242" s="253"/>
      <c r="D1242" s="255"/>
      <c r="F1242" s="303"/>
      <c r="H1242" s="41"/>
      <c r="J1242" s="253"/>
      <c r="L1242" s="255"/>
      <c r="N1242" s="293"/>
      <c r="P1242" s="41"/>
    </row>
    <row r="1243" spans="2:16" ht="16.5" customHeight="1" x14ac:dyDescent="0.35">
      <c r="B1243" s="253"/>
      <c r="D1243" s="255"/>
      <c r="F1243" s="303"/>
      <c r="H1243" s="41"/>
      <c r="J1243" s="253"/>
      <c r="L1243" s="255"/>
      <c r="N1243" s="293"/>
      <c r="P1243" s="41"/>
    </row>
    <row r="1244" spans="2:16" ht="16.5" customHeight="1" x14ac:dyDescent="0.35">
      <c r="B1244" s="253"/>
      <c r="D1244" s="255"/>
      <c r="F1244" s="303"/>
      <c r="H1244" s="41"/>
      <c r="J1244" s="253"/>
      <c r="L1244" s="255"/>
      <c r="N1244" s="293"/>
      <c r="P1244" s="41"/>
    </row>
    <row r="1245" spans="2:16" ht="16.5" customHeight="1" x14ac:dyDescent="0.35">
      <c r="B1245" s="253"/>
      <c r="D1245" s="255"/>
      <c r="F1245" s="303"/>
      <c r="H1245" s="41"/>
      <c r="J1245" s="253"/>
      <c r="L1245" s="255"/>
      <c r="N1245" s="293"/>
      <c r="P1245" s="41"/>
    </row>
    <row r="1246" spans="2:16" ht="16.5" customHeight="1" x14ac:dyDescent="0.35">
      <c r="B1246" s="253"/>
      <c r="D1246" s="255"/>
      <c r="F1246" s="303"/>
      <c r="H1246" s="41"/>
      <c r="J1246" s="253"/>
      <c r="L1246" s="255"/>
      <c r="N1246" s="293"/>
      <c r="P1246" s="41"/>
    </row>
    <row r="1247" spans="2:16" ht="16.5" customHeight="1" x14ac:dyDescent="0.35">
      <c r="B1247" s="253"/>
      <c r="D1247" s="255"/>
      <c r="F1247" s="303"/>
      <c r="H1247" s="41"/>
      <c r="J1247" s="253"/>
      <c r="L1247" s="255"/>
      <c r="N1247" s="293"/>
      <c r="P1247" s="41"/>
    </row>
    <row r="1248" spans="2:16" ht="16.5" customHeight="1" x14ac:dyDescent="0.35">
      <c r="B1248" s="253"/>
      <c r="D1248" s="255"/>
      <c r="F1248" s="303"/>
      <c r="H1248" s="41"/>
      <c r="J1248" s="253"/>
      <c r="L1248" s="255"/>
      <c r="N1248" s="293"/>
      <c r="P1248" s="41"/>
    </row>
    <row r="1249" spans="2:16" ht="16.5" customHeight="1" x14ac:dyDescent="0.35">
      <c r="B1249" s="253"/>
      <c r="D1249" s="255"/>
      <c r="F1249" s="303"/>
      <c r="H1249" s="41"/>
      <c r="J1249" s="253"/>
      <c r="L1249" s="255"/>
      <c r="N1249" s="293"/>
      <c r="P1249" s="41"/>
    </row>
    <row r="1250" spans="2:16" ht="16.5" customHeight="1" x14ac:dyDescent="0.35">
      <c r="B1250" s="253"/>
      <c r="D1250" s="255"/>
      <c r="F1250" s="303"/>
      <c r="H1250" s="41"/>
      <c r="J1250" s="253"/>
      <c r="L1250" s="255"/>
      <c r="N1250" s="293"/>
      <c r="P1250" s="41"/>
    </row>
    <row r="1251" spans="2:16" ht="16.5" customHeight="1" x14ac:dyDescent="0.35">
      <c r="B1251" s="253"/>
      <c r="D1251" s="255"/>
      <c r="F1251" s="303"/>
      <c r="H1251" s="41"/>
      <c r="J1251" s="253"/>
      <c r="L1251" s="255"/>
      <c r="N1251" s="293"/>
      <c r="P1251" s="41"/>
    </row>
    <row r="1252" spans="2:16" ht="16.5" customHeight="1" x14ac:dyDescent="0.35">
      <c r="B1252" s="253"/>
      <c r="D1252" s="255"/>
      <c r="F1252" s="303"/>
      <c r="H1252" s="41"/>
      <c r="J1252" s="253"/>
      <c r="L1252" s="255"/>
      <c r="N1252" s="293"/>
      <c r="P1252" s="41"/>
    </row>
    <row r="1253" spans="2:16" ht="16.5" customHeight="1" x14ac:dyDescent="0.35">
      <c r="B1253" s="253"/>
      <c r="D1253" s="255"/>
      <c r="F1253" s="303"/>
      <c r="H1253" s="41"/>
      <c r="J1253" s="253"/>
      <c r="L1253" s="255"/>
      <c r="N1253" s="293"/>
      <c r="P1253" s="41"/>
    </row>
    <row r="1254" spans="2:16" ht="16.5" customHeight="1" x14ac:dyDescent="0.35">
      <c r="B1254" s="253"/>
      <c r="D1254" s="255"/>
      <c r="F1254" s="303"/>
      <c r="H1254" s="41"/>
      <c r="J1254" s="253"/>
      <c r="L1254" s="255"/>
      <c r="N1254" s="293"/>
      <c r="P1254" s="41"/>
    </row>
    <row r="1255" spans="2:16" ht="16.5" customHeight="1" x14ac:dyDescent="0.35">
      <c r="B1255" s="253"/>
      <c r="D1255" s="255"/>
      <c r="F1255" s="303"/>
      <c r="H1255" s="41"/>
      <c r="J1255" s="253"/>
      <c r="L1255" s="255"/>
      <c r="N1255" s="293"/>
      <c r="P1255" s="41"/>
    </row>
    <row r="1256" spans="2:16" ht="16.5" customHeight="1" x14ac:dyDescent="0.35">
      <c r="B1256" s="253"/>
      <c r="D1256" s="255"/>
      <c r="F1256" s="303"/>
      <c r="H1256" s="41"/>
      <c r="J1256" s="253"/>
      <c r="L1256" s="255"/>
      <c r="N1256" s="293"/>
      <c r="P1256" s="41"/>
    </row>
    <row r="1257" spans="2:16" ht="16.5" customHeight="1" x14ac:dyDescent="0.35">
      <c r="B1257" s="253"/>
      <c r="D1257" s="255"/>
      <c r="F1257" s="303"/>
      <c r="H1257" s="41"/>
      <c r="J1257" s="253"/>
      <c r="L1257" s="255"/>
      <c r="N1257" s="293"/>
      <c r="P1257" s="41"/>
    </row>
    <row r="1258" spans="2:16" ht="16.5" customHeight="1" x14ac:dyDescent="0.35">
      <c r="B1258" s="253"/>
      <c r="D1258" s="255"/>
      <c r="F1258" s="303"/>
      <c r="H1258" s="41"/>
      <c r="J1258" s="253"/>
      <c r="L1258" s="255"/>
      <c r="N1258" s="293"/>
      <c r="P1258" s="41"/>
    </row>
    <row r="1259" spans="2:16" ht="16.5" customHeight="1" x14ac:dyDescent="0.35">
      <c r="B1259" s="253"/>
      <c r="D1259" s="255"/>
      <c r="F1259" s="303"/>
      <c r="H1259" s="41"/>
      <c r="J1259" s="253"/>
      <c r="L1259" s="255"/>
      <c r="N1259" s="293"/>
      <c r="P1259" s="41"/>
    </row>
    <row r="1260" spans="2:16" ht="16.5" customHeight="1" x14ac:dyDescent="0.35">
      <c r="B1260" s="253"/>
      <c r="D1260" s="255"/>
      <c r="F1260" s="303"/>
      <c r="H1260" s="41"/>
      <c r="J1260" s="253"/>
      <c r="L1260" s="255"/>
      <c r="N1260" s="293"/>
      <c r="P1260" s="41"/>
    </row>
    <row r="1261" spans="2:16" ht="16.5" customHeight="1" x14ac:dyDescent="0.35">
      <c r="B1261" s="253"/>
      <c r="D1261" s="255"/>
      <c r="F1261" s="303"/>
      <c r="H1261" s="41"/>
      <c r="J1261" s="253"/>
      <c r="L1261" s="255"/>
      <c r="N1261" s="293"/>
      <c r="P1261" s="41"/>
    </row>
    <row r="1262" spans="2:16" ht="16.5" customHeight="1" x14ac:dyDescent="0.35">
      <c r="B1262" s="253"/>
      <c r="D1262" s="255"/>
      <c r="F1262" s="303"/>
      <c r="H1262" s="41"/>
      <c r="J1262" s="253"/>
      <c r="L1262" s="255"/>
      <c r="N1262" s="293"/>
      <c r="P1262" s="41"/>
    </row>
    <row r="1263" spans="2:16" ht="16.5" customHeight="1" x14ac:dyDescent="0.35">
      <c r="B1263" s="253"/>
      <c r="D1263" s="255"/>
      <c r="F1263" s="303"/>
      <c r="H1263" s="41"/>
      <c r="J1263" s="253"/>
      <c r="L1263" s="255"/>
      <c r="N1263" s="293"/>
      <c r="P1263" s="41"/>
    </row>
    <row r="1264" spans="2:16" ht="16.5" customHeight="1" x14ac:dyDescent="0.35">
      <c r="B1264" s="253"/>
      <c r="D1264" s="255"/>
      <c r="F1264" s="303"/>
      <c r="H1264" s="41"/>
      <c r="J1264" s="253"/>
      <c r="L1264" s="255"/>
      <c r="N1264" s="293"/>
      <c r="P1264" s="41"/>
    </row>
    <row r="1265" spans="2:16" ht="16.5" customHeight="1" x14ac:dyDescent="0.35">
      <c r="B1265" s="253"/>
      <c r="D1265" s="255"/>
      <c r="F1265" s="303"/>
      <c r="H1265" s="41"/>
      <c r="J1265" s="253"/>
      <c r="L1265" s="255"/>
      <c r="N1265" s="293"/>
      <c r="P1265" s="41"/>
    </row>
    <row r="1266" spans="2:16" ht="16.5" customHeight="1" x14ac:dyDescent="0.35">
      <c r="B1266" s="253"/>
      <c r="D1266" s="255"/>
      <c r="F1266" s="303"/>
      <c r="H1266" s="41"/>
      <c r="J1266" s="253"/>
      <c r="L1266" s="255"/>
      <c r="N1266" s="293"/>
      <c r="P1266" s="41"/>
    </row>
    <row r="1267" spans="2:16" ht="16.5" customHeight="1" x14ac:dyDescent="0.35">
      <c r="B1267" s="253"/>
      <c r="D1267" s="255"/>
      <c r="F1267" s="303"/>
      <c r="H1267" s="41"/>
      <c r="J1267" s="253"/>
      <c r="L1267" s="255"/>
      <c r="N1267" s="293"/>
      <c r="P1267" s="41"/>
    </row>
    <row r="1268" spans="2:16" ht="16.5" customHeight="1" x14ac:dyDescent="0.35">
      <c r="B1268" s="253"/>
      <c r="D1268" s="255"/>
      <c r="F1268" s="303"/>
      <c r="H1268" s="41"/>
      <c r="J1268" s="253"/>
      <c r="L1268" s="255"/>
      <c r="N1268" s="293"/>
      <c r="P1268" s="41"/>
    </row>
    <row r="1269" spans="2:16" ht="16.5" customHeight="1" x14ac:dyDescent="0.35">
      <c r="B1269" s="253"/>
      <c r="D1269" s="255"/>
      <c r="F1269" s="303"/>
      <c r="H1269" s="41"/>
      <c r="J1269" s="253"/>
      <c r="L1269" s="255"/>
      <c r="N1269" s="293"/>
      <c r="P1269" s="41"/>
    </row>
    <row r="1270" spans="2:16" ht="16.5" customHeight="1" x14ac:dyDescent="0.35">
      <c r="B1270" s="253"/>
      <c r="D1270" s="255"/>
      <c r="F1270" s="303"/>
      <c r="H1270" s="41"/>
      <c r="J1270" s="253"/>
      <c r="L1270" s="255"/>
      <c r="N1270" s="293"/>
      <c r="P1270" s="41"/>
    </row>
    <row r="1271" spans="2:16" ht="16.5" customHeight="1" x14ac:dyDescent="0.35">
      <c r="B1271" s="253"/>
      <c r="D1271" s="255"/>
      <c r="F1271" s="303"/>
      <c r="H1271" s="41"/>
      <c r="J1271" s="253"/>
      <c r="L1271" s="255"/>
      <c r="N1271" s="293"/>
      <c r="P1271" s="41"/>
    </row>
    <row r="1272" spans="2:16" ht="16.5" customHeight="1" x14ac:dyDescent="0.35">
      <c r="B1272" s="253"/>
      <c r="D1272" s="255"/>
      <c r="F1272" s="303"/>
      <c r="H1272" s="41"/>
      <c r="J1272" s="253"/>
      <c r="L1272" s="255"/>
      <c r="N1272" s="293"/>
      <c r="P1272" s="41"/>
    </row>
    <row r="1273" spans="2:16" ht="16.5" customHeight="1" x14ac:dyDescent="0.35">
      <c r="B1273" s="253"/>
      <c r="D1273" s="255"/>
      <c r="F1273" s="303"/>
      <c r="H1273" s="41"/>
      <c r="J1273" s="253"/>
      <c r="L1273" s="255"/>
      <c r="N1273" s="293"/>
      <c r="P1273" s="41"/>
    </row>
    <row r="1274" spans="2:16" ht="16.5" customHeight="1" x14ac:dyDescent="0.35">
      <c r="B1274" s="253"/>
      <c r="D1274" s="255"/>
      <c r="F1274" s="303"/>
      <c r="H1274" s="41"/>
      <c r="J1274" s="253"/>
      <c r="L1274" s="255"/>
      <c r="N1274" s="293"/>
      <c r="P1274" s="41"/>
    </row>
    <row r="1275" spans="2:16" ht="16.5" customHeight="1" x14ac:dyDescent="0.35">
      <c r="B1275" s="253"/>
      <c r="D1275" s="255"/>
      <c r="F1275" s="303"/>
      <c r="H1275" s="41"/>
      <c r="J1275" s="253"/>
      <c r="L1275" s="255"/>
      <c r="N1275" s="293"/>
      <c r="P1275" s="41"/>
    </row>
    <row r="1276" spans="2:16" ht="16.5" customHeight="1" x14ac:dyDescent="0.35">
      <c r="B1276" s="253"/>
      <c r="D1276" s="255"/>
      <c r="F1276" s="303"/>
      <c r="H1276" s="41"/>
      <c r="J1276" s="253"/>
      <c r="L1276" s="255"/>
      <c r="N1276" s="293"/>
      <c r="P1276" s="41"/>
    </row>
    <row r="1277" spans="2:16" ht="16.5" customHeight="1" x14ac:dyDescent="0.35">
      <c r="B1277" s="253"/>
      <c r="D1277" s="255"/>
      <c r="F1277" s="303"/>
      <c r="H1277" s="41"/>
      <c r="J1277" s="253"/>
      <c r="L1277" s="255"/>
      <c r="N1277" s="293"/>
      <c r="P1277" s="41"/>
    </row>
    <row r="1278" spans="2:16" ht="16.5" customHeight="1" x14ac:dyDescent="0.35">
      <c r="B1278" s="253"/>
      <c r="D1278" s="255"/>
      <c r="F1278" s="303"/>
      <c r="H1278" s="41"/>
      <c r="J1278" s="253"/>
      <c r="L1278" s="255"/>
      <c r="N1278" s="293"/>
      <c r="P1278" s="41"/>
    </row>
    <row r="1279" spans="2:16" ht="16.5" customHeight="1" x14ac:dyDescent="0.35">
      <c r="B1279" s="253"/>
      <c r="D1279" s="255"/>
      <c r="F1279" s="303"/>
      <c r="H1279" s="41"/>
      <c r="J1279" s="253"/>
      <c r="L1279" s="255"/>
      <c r="N1279" s="293"/>
      <c r="P1279" s="41"/>
    </row>
    <row r="1280" spans="2:16" ht="16.5" customHeight="1" x14ac:dyDescent="0.35">
      <c r="B1280" s="253"/>
      <c r="D1280" s="255"/>
      <c r="F1280" s="303"/>
      <c r="H1280" s="41"/>
      <c r="J1280" s="253"/>
      <c r="L1280" s="255"/>
      <c r="N1280" s="293"/>
      <c r="P1280" s="41"/>
    </row>
    <row r="1281" spans="2:16" ht="16.5" customHeight="1" x14ac:dyDescent="0.35">
      <c r="B1281" s="253"/>
      <c r="D1281" s="255"/>
      <c r="F1281" s="303"/>
      <c r="H1281" s="41"/>
      <c r="J1281" s="253"/>
      <c r="L1281" s="255"/>
      <c r="N1281" s="293"/>
      <c r="P1281" s="41"/>
    </row>
    <row r="1282" spans="2:16" ht="16.5" customHeight="1" x14ac:dyDescent="0.35">
      <c r="B1282" s="253"/>
      <c r="D1282" s="255"/>
      <c r="F1282" s="303"/>
      <c r="H1282" s="41"/>
      <c r="J1282" s="253"/>
      <c r="L1282" s="255"/>
      <c r="N1282" s="293"/>
      <c r="P1282" s="41"/>
    </row>
    <row r="1283" spans="2:16" ht="16.5" customHeight="1" x14ac:dyDescent="0.35">
      <c r="B1283" s="253"/>
      <c r="D1283" s="255"/>
      <c r="F1283" s="303"/>
      <c r="H1283" s="41"/>
      <c r="J1283" s="253"/>
      <c r="L1283" s="255"/>
      <c r="N1283" s="293"/>
      <c r="P1283" s="41"/>
    </row>
    <row r="1284" spans="2:16" ht="16.5" customHeight="1" x14ac:dyDescent="0.35">
      <c r="B1284" s="253"/>
      <c r="D1284" s="255"/>
      <c r="F1284" s="303"/>
      <c r="H1284" s="41"/>
      <c r="J1284" s="253"/>
      <c r="L1284" s="255"/>
      <c r="N1284" s="293"/>
      <c r="P1284" s="41"/>
    </row>
    <row r="1285" spans="2:16" ht="16.5" customHeight="1" x14ac:dyDescent="0.35">
      <c r="B1285" s="253"/>
      <c r="D1285" s="255"/>
      <c r="F1285" s="303"/>
      <c r="H1285" s="41"/>
      <c r="J1285" s="253"/>
      <c r="L1285" s="255"/>
      <c r="N1285" s="293"/>
      <c r="P1285" s="41"/>
    </row>
    <row r="1286" spans="2:16" ht="16.5" customHeight="1" x14ac:dyDescent="0.35">
      <c r="B1286" s="253"/>
      <c r="D1286" s="255"/>
      <c r="F1286" s="303"/>
      <c r="H1286" s="41"/>
      <c r="J1286" s="253"/>
      <c r="L1286" s="255"/>
      <c r="N1286" s="293"/>
      <c r="P1286" s="41"/>
    </row>
    <row r="1287" spans="2:16" ht="16.5" customHeight="1" x14ac:dyDescent="0.35">
      <c r="B1287" s="253"/>
      <c r="D1287" s="255"/>
      <c r="F1287" s="303"/>
      <c r="H1287" s="41"/>
      <c r="J1287" s="253"/>
      <c r="L1287" s="255"/>
      <c r="N1287" s="293"/>
      <c r="P1287" s="41"/>
    </row>
    <row r="1288" spans="2:16" ht="16.5" customHeight="1" x14ac:dyDescent="0.35">
      <c r="B1288" s="253"/>
      <c r="D1288" s="255"/>
      <c r="F1288" s="303"/>
      <c r="H1288" s="41"/>
      <c r="J1288" s="253"/>
      <c r="L1288" s="255"/>
      <c r="N1288" s="293"/>
      <c r="P1288" s="41"/>
    </row>
    <row r="1289" spans="2:16" ht="16.5" customHeight="1" x14ac:dyDescent="0.35">
      <c r="B1289" s="253"/>
      <c r="D1289" s="255"/>
      <c r="F1289" s="303"/>
      <c r="H1289" s="41"/>
      <c r="J1289" s="253"/>
      <c r="L1289" s="255"/>
      <c r="N1289" s="293"/>
      <c r="P1289" s="41"/>
    </row>
    <row r="1290" spans="2:16" ht="16.5" customHeight="1" x14ac:dyDescent="0.35">
      <c r="B1290" s="253"/>
      <c r="D1290" s="255"/>
      <c r="F1290" s="303"/>
      <c r="H1290" s="41"/>
      <c r="J1290" s="253"/>
      <c r="L1290" s="255"/>
      <c r="N1290" s="293"/>
      <c r="P1290" s="41"/>
    </row>
    <row r="1291" spans="2:16" ht="16.5" customHeight="1" x14ac:dyDescent="0.35">
      <c r="B1291" s="253"/>
      <c r="D1291" s="255"/>
      <c r="F1291" s="303"/>
      <c r="H1291" s="41"/>
      <c r="J1291" s="253"/>
      <c r="L1291" s="255"/>
      <c r="N1291" s="293"/>
      <c r="P1291" s="41"/>
    </row>
    <row r="1292" spans="2:16" ht="16.5" customHeight="1" x14ac:dyDescent="0.35">
      <c r="B1292" s="253"/>
      <c r="D1292" s="255"/>
      <c r="F1292" s="303"/>
      <c r="H1292" s="41"/>
      <c r="J1292" s="253"/>
      <c r="L1292" s="255"/>
      <c r="N1292" s="293"/>
      <c r="P1292" s="41"/>
    </row>
    <row r="1293" spans="2:16" ht="16.5" customHeight="1" x14ac:dyDescent="0.35">
      <c r="B1293" s="253"/>
      <c r="D1293" s="255"/>
      <c r="F1293" s="303"/>
      <c r="H1293" s="41"/>
      <c r="J1293" s="253"/>
      <c r="L1293" s="255"/>
      <c r="N1293" s="293"/>
      <c r="P1293" s="41"/>
    </row>
    <row r="1294" spans="2:16" ht="16.5" customHeight="1" x14ac:dyDescent="0.35">
      <c r="B1294" s="253"/>
      <c r="D1294" s="255"/>
      <c r="F1294" s="303"/>
      <c r="H1294" s="41"/>
      <c r="J1294" s="253"/>
      <c r="L1294" s="255"/>
      <c r="N1294" s="293"/>
      <c r="P1294" s="41"/>
    </row>
    <row r="1295" spans="2:16" ht="16.5" customHeight="1" x14ac:dyDescent="0.35">
      <c r="B1295" s="253"/>
      <c r="D1295" s="255"/>
      <c r="F1295" s="303"/>
      <c r="H1295" s="41"/>
      <c r="J1295" s="253"/>
      <c r="L1295" s="255"/>
      <c r="N1295" s="293"/>
      <c r="P1295" s="41"/>
    </row>
    <row r="1296" spans="2:16" ht="16.5" customHeight="1" x14ac:dyDescent="0.35">
      <c r="B1296" s="253"/>
      <c r="D1296" s="255"/>
      <c r="F1296" s="303"/>
      <c r="H1296" s="41"/>
      <c r="J1296" s="253"/>
      <c r="L1296" s="255"/>
      <c r="N1296" s="293"/>
      <c r="P1296" s="41"/>
    </row>
    <row r="1297" spans="2:16" ht="16.5" customHeight="1" x14ac:dyDescent="0.35">
      <c r="B1297" s="253"/>
      <c r="D1297" s="255"/>
      <c r="F1297" s="303"/>
      <c r="H1297" s="41"/>
      <c r="J1297" s="253"/>
      <c r="L1297" s="255"/>
      <c r="N1297" s="293"/>
      <c r="P1297" s="41"/>
    </row>
    <row r="1298" spans="2:16" ht="16.5" customHeight="1" x14ac:dyDescent="0.35">
      <c r="B1298" s="253"/>
      <c r="D1298" s="255"/>
      <c r="F1298" s="303"/>
      <c r="H1298" s="41"/>
      <c r="J1298" s="253"/>
      <c r="L1298" s="255"/>
      <c r="N1298" s="293"/>
      <c r="P1298" s="41"/>
    </row>
    <row r="1299" spans="2:16" ht="16.5" customHeight="1" x14ac:dyDescent="0.35">
      <c r="B1299" s="253"/>
      <c r="D1299" s="255"/>
      <c r="F1299" s="303"/>
      <c r="H1299" s="41"/>
      <c r="J1299" s="253"/>
      <c r="L1299" s="255"/>
      <c r="N1299" s="293"/>
      <c r="P1299" s="41"/>
    </row>
    <row r="1300" spans="2:16" ht="16.5" customHeight="1" x14ac:dyDescent="0.35">
      <c r="B1300" s="253"/>
      <c r="D1300" s="255"/>
      <c r="F1300" s="303"/>
      <c r="H1300" s="41"/>
      <c r="J1300" s="253"/>
      <c r="L1300" s="255"/>
      <c r="N1300" s="293"/>
      <c r="P1300" s="41"/>
    </row>
    <row r="1301" spans="2:16" ht="16.5" customHeight="1" x14ac:dyDescent="0.35">
      <c r="B1301" s="253"/>
      <c r="D1301" s="255"/>
      <c r="F1301" s="303"/>
      <c r="H1301" s="41"/>
      <c r="J1301" s="253"/>
      <c r="L1301" s="255"/>
      <c r="N1301" s="293"/>
      <c r="P1301" s="41"/>
    </row>
    <row r="1302" spans="2:16" ht="16.5" customHeight="1" x14ac:dyDescent="0.35">
      <c r="B1302" s="253"/>
      <c r="D1302" s="255"/>
      <c r="F1302" s="303"/>
      <c r="H1302" s="41"/>
      <c r="J1302" s="253"/>
      <c r="L1302" s="255"/>
      <c r="N1302" s="293"/>
      <c r="P1302" s="41"/>
    </row>
    <row r="1303" spans="2:16" ht="16.5" customHeight="1" x14ac:dyDescent="0.35">
      <c r="B1303" s="253"/>
      <c r="D1303" s="255"/>
      <c r="F1303" s="303"/>
      <c r="H1303" s="41"/>
      <c r="J1303" s="253"/>
      <c r="L1303" s="255"/>
      <c r="N1303" s="293"/>
      <c r="P1303" s="41"/>
    </row>
    <row r="1304" spans="2:16" ht="16.5" customHeight="1" x14ac:dyDescent="0.35">
      <c r="B1304" s="253"/>
      <c r="D1304" s="255"/>
      <c r="F1304" s="303"/>
      <c r="H1304" s="41"/>
      <c r="J1304" s="253"/>
      <c r="L1304" s="255"/>
      <c r="N1304" s="293"/>
      <c r="P1304" s="41"/>
    </row>
    <row r="1305" spans="2:16" ht="16.5" customHeight="1" x14ac:dyDescent="0.35">
      <c r="B1305" s="253"/>
      <c r="D1305" s="255"/>
      <c r="F1305" s="303"/>
      <c r="H1305" s="41"/>
      <c r="J1305" s="253"/>
      <c r="L1305" s="255"/>
      <c r="N1305" s="293"/>
      <c r="P1305" s="41"/>
    </row>
    <row r="1306" spans="2:16" ht="16.5" customHeight="1" x14ac:dyDescent="0.35">
      <c r="B1306" s="253"/>
      <c r="D1306" s="255"/>
      <c r="F1306" s="303"/>
      <c r="H1306" s="41"/>
      <c r="J1306" s="253"/>
      <c r="L1306" s="255"/>
      <c r="N1306" s="293"/>
      <c r="P1306" s="41"/>
    </row>
    <row r="1307" spans="2:16" ht="16.5" customHeight="1" x14ac:dyDescent="0.35">
      <c r="B1307" s="253"/>
      <c r="D1307" s="255"/>
      <c r="F1307" s="303"/>
      <c r="H1307" s="41"/>
      <c r="J1307" s="253"/>
      <c r="L1307" s="255"/>
      <c r="N1307" s="293"/>
      <c r="P1307" s="41"/>
    </row>
    <row r="1308" spans="2:16" ht="16.5" customHeight="1" x14ac:dyDescent="0.35">
      <c r="B1308" s="253"/>
      <c r="D1308" s="255"/>
      <c r="F1308" s="303"/>
      <c r="H1308" s="41"/>
      <c r="J1308" s="253"/>
      <c r="L1308" s="255"/>
      <c r="N1308" s="293"/>
      <c r="P1308" s="41"/>
    </row>
    <row r="1309" spans="2:16" ht="16.5" customHeight="1" x14ac:dyDescent="0.35">
      <c r="B1309" s="253"/>
      <c r="D1309" s="255"/>
      <c r="F1309" s="303"/>
      <c r="H1309" s="41"/>
      <c r="J1309" s="253"/>
      <c r="L1309" s="255"/>
      <c r="N1309" s="293"/>
      <c r="P1309" s="41"/>
    </row>
    <row r="1310" spans="2:16" ht="16.5" customHeight="1" x14ac:dyDescent="0.35">
      <c r="B1310" s="253"/>
      <c r="D1310" s="255"/>
      <c r="F1310" s="303"/>
      <c r="H1310" s="41"/>
      <c r="J1310" s="253"/>
      <c r="L1310" s="255"/>
      <c r="N1310" s="293"/>
      <c r="P1310" s="41"/>
    </row>
    <row r="1311" spans="2:16" ht="16.5" customHeight="1" x14ac:dyDescent="0.35">
      <c r="B1311" s="253"/>
      <c r="D1311" s="255"/>
      <c r="F1311" s="303"/>
      <c r="H1311" s="41"/>
      <c r="J1311" s="253"/>
      <c r="L1311" s="255"/>
      <c r="N1311" s="293"/>
      <c r="P1311" s="41"/>
    </row>
    <row r="1312" spans="2:16" ht="16.5" customHeight="1" x14ac:dyDescent="0.35">
      <c r="B1312" s="253"/>
      <c r="D1312" s="255"/>
      <c r="F1312" s="303"/>
      <c r="H1312" s="41"/>
      <c r="J1312" s="253"/>
      <c r="L1312" s="255"/>
      <c r="N1312" s="293"/>
      <c r="P1312" s="41"/>
    </row>
    <row r="1313" spans="2:16" ht="16.5" customHeight="1" x14ac:dyDescent="0.35">
      <c r="B1313" s="253"/>
      <c r="D1313" s="255"/>
      <c r="F1313" s="303"/>
      <c r="H1313" s="41"/>
      <c r="J1313" s="253"/>
      <c r="L1313" s="255"/>
      <c r="N1313" s="293"/>
      <c r="P1313" s="41"/>
    </row>
    <row r="1314" spans="2:16" ht="16.5" customHeight="1" x14ac:dyDescent="0.35">
      <c r="B1314" s="253"/>
      <c r="D1314" s="255"/>
      <c r="F1314" s="303"/>
      <c r="H1314" s="41"/>
      <c r="J1314" s="253"/>
      <c r="L1314" s="255"/>
      <c r="N1314" s="293"/>
      <c r="P1314" s="41"/>
    </row>
    <row r="1315" spans="2:16" ht="16.5" customHeight="1" x14ac:dyDescent="0.35">
      <c r="B1315" s="253"/>
      <c r="D1315" s="255"/>
      <c r="F1315" s="303"/>
      <c r="H1315" s="41"/>
      <c r="J1315" s="253"/>
      <c r="L1315" s="255"/>
      <c r="N1315" s="293"/>
      <c r="P1315" s="41"/>
    </row>
    <row r="1316" spans="2:16" ht="16.5" customHeight="1" x14ac:dyDescent="0.35">
      <c r="B1316" s="253"/>
      <c r="D1316" s="255"/>
      <c r="F1316" s="303"/>
      <c r="H1316" s="41"/>
      <c r="J1316" s="253"/>
      <c r="L1316" s="255"/>
      <c r="N1316" s="293"/>
      <c r="P1316" s="41"/>
    </row>
    <row r="1317" spans="2:16" ht="16.5" customHeight="1" x14ac:dyDescent="0.35">
      <c r="B1317" s="253"/>
      <c r="D1317" s="255"/>
      <c r="F1317" s="303"/>
      <c r="H1317" s="41"/>
      <c r="J1317" s="253"/>
      <c r="L1317" s="255"/>
      <c r="N1317" s="293"/>
      <c r="P1317" s="41"/>
    </row>
    <row r="1318" spans="2:16" ht="16.5" customHeight="1" x14ac:dyDescent="0.35">
      <c r="B1318" s="253"/>
      <c r="D1318" s="255"/>
      <c r="F1318" s="303"/>
      <c r="H1318" s="41"/>
      <c r="J1318" s="253"/>
      <c r="L1318" s="255"/>
      <c r="N1318" s="293"/>
      <c r="P1318" s="41"/>
    </row>
    <row r="1319" spans="2:16" ht="16.5" customHeight="1" x14ac:dyDescent="0.35">
      <c r="B1319" s="253"/>
      <c r="D1319" s="255"/>
      <c r="F1319" s="303"/>
      <c r="H1319" s="41"/>
      <c r="J1319" s="253"/>
      <c r="L1319" s="255"/>
      <c r="N1319" s="293"/>
      <c r="P1319" s="41"/>
    </row>
    <row r="1320" spans="2:16" ht="16.5" customHeight="1" x14ac:dyDescent="0.35">
      <c r="B1320" s="253"/>
      <c r="D1320" s="255"/>
      <c r="F1320" s="303"/>
      <c r="H1320" s="41"/>
      <c r="J1320" s="253"/>
      <c r="L1320" s="255"/>
      <c r="N1320" s="293"/>
      <c r="P1320" s="41"/>
    </row>
    <row r="1321" spans="2:16" ht="16.5" customHeight="1" x14ac:dyDescent="0.35">
      <c r="B1321" s="253"/>
      <c r="D1321" s="255"/>
      <c r="F1321" s="303"/>
      <c r="H1321" s="41"/>
      <c r="J1321" s="253"/>
      <c r="L1321" s="255"/>
      <c r="N1321" s="293"/>
      <c r="P1321" s="41"/>
    </row>
    <row r="1322" spans="2:16" ht="16.5" customHeight="1" x14ac:dyDescent="0.35">
      <c r="B1322" s="253"/>
      <c r="D1322" s="255"/>
      <c r="F1322" s="303"/>
      <c r="H1322" s="41"/>
      <c r="J1322" s="253"/>
      <c r="L1322" s="255"/>
      <c r="N1322" s="293"/>
      <c r="P1322" s="41"/>
    </row>
    <row r="1323" spans="2:16" ht="16.5" customHeight="1" x14ac:dyDescent="0.35">
      <c r="B1323" s="253"/>
      <c r="D1323" s="255"/>
      <c r="F1323" s="303"/>
      <c r="H1323" s="41"/>
      <c r="J1323" s="253"/>
      <c r="L1323" s="255"/>
      <c r="N1323" s="293"/>
      <c r="P1323" s="41"/>
    </row>
    <row r="1324" spans="2:16" ht="16.5" customHeight="1" x14ac:dyDescent="0.35">
      <c r="B1324" s="253"/>
      <c r="D1324" s="255"/>
      <c r="F1324" s="303"/>
      <c r="H1324" s="41"/>
      <c r="J1324" s="253"/>
      <c r="L1324" s="255"/>
      <c r="N1324" s="293"/>
      <c r="P1324" s="41"/>
    </row>
    <row r="1325" spans="2:16" ht="16.5" customHeight="1" x14ac:dyDescent="0.35">
      <c r="B1325" s="253"/>
      <c r="D1325" s="255"/>
      <c r="F1325" s="303"/>
      <c r="H1325" s="41"/>
      <c r="J1325" s="253"/>
      <c r="L1325" s="255"/>
      <c r="N1325" s="293"/>
      <c r="P1325" s="41"/>
    </row>
    <row r="1326" spans="2:16" ht="16.5" customHeight="1" x14ac:dyDescent="0.35">
      <c r="B1326" s="253"/>
      <c r="D1326" s="255"/>
      <c r="F1326" s="303"/>
      <c r="H1326" s="41"/>
      <c r="J1326" s="253"/>
      <c r="L1326" s="255"/>
      <c r="N1326" s="293"/>
      <c r="P1326" s="41"/>
    </row>
    <row r="1327" spans="2:16" ht="16.5" customHeight="1" x14ac:dyDescent="0.35">
      <c r="B1327" s="253"/>
      <c r="D1327" s="255"/>
      <c r="F1327" s="303"/>
      <c r="H1327" s="41"/>
      <c r="J1327" s="253"/>
      <c r="L1327" s="255"/>
      <c r="N1327" s="293"/>
      <c r="P1327" s="41"/>
    </row>
    <row r="1328" spans="2:16" ht="16.5" customHeight="1" x14ac:dyDescent="0.35">
      <c r="B1328" s="253"/>
      <c r="D1328" s="255"/>
      <c r="F1328" s="303"/>
      <c r="H1328" s="41"/>
      <c r="J1328" s="253"/>
      <c r="L1328" s="255"/>
      <c r="N1328" s="293"/>
      <c r="P1328" s="41"/>
    </row>
    <row r="1329" spans="2:16" ht="16.5" customHeight="1" x14ac:dyDescent="0.35">
      <c r="B1329" s="253"/>
      <c r="D1329" s="255"/>
      <c r="F1329" s="303"/>
      <c r="H1329" s="41"/>
      <c r="J1329" s="253"/>
      <c r="L1329" s="255"/>
      <c r="N1329" s="293"/>
      <c r="P1329" s="41"/>
    </row>
    <row r="1330" spans="2:16" ht="16.5" customHeight="1" x14ac:dyDescent="0.35">
      <c r="B1330" s="253"/>
      <c r="D1330" s="255"/>
      <c r="F1330" s="303"/>
      <c r="H1330" s="41"/>
      <c r="J1330" s="253"/>
      <c r="L1330" s="255"/>
      <c r="N1330" s="293"/>
      <c r="P1330" s="41"/>
    </row>
    <row r="1331" spans="2:16" ht="16.5" customHeight="1" x14ac:dyDescent="0.35">
      <c r="B1331" s="253"/>
      <c r="D1331" s="255"/>
      <c r="F1331" s="303"/>
      <c r="H1331" s="41"/>
      <c r="J1331" s="253"/>
      <c r="L1331" s="255"/>
      <c r="N1331" s="293"/>
      <c r="P1331" s="41"/>
    </row>
    <row r="1332" spans="2:16" ht="16.5" customHeight="1" x14ac:dyDescent="0.35">
      <c r="B1332" s="253"/>
      <c r="D1332" s="255"/>
      <c r="F1332" s="303"/>
      <c r="H1332" s="41"/>
      <c r="J1332" s="253"/>
      <c r="L1332" s="255"/>
      <c r="N1332" s="293"/>
      <c r="P1332" s="41"/>
    </row>
    <row r="1333" spans="2:16" ht="16.5" customHeight="1" x14ac:dyDescent="0.35">
      <c r="B1333" s="253"/>
      <c r="D1333" s="255"/>
      <c r="F1333" s="303"/>
      <c r="H1333" s="41"/>
      <c r="J1333" s="253"/>
      <c r="L1333" s="255"/>
      <c r="N1333" s="293"/>
      <c r="P1333" s="41"/>
    </row>
    <row r="1334" spans="2:16" ht="16.5" customHeight="1" x14ac:dyDescent="0.35">
      <c r="B1334" s="253"/>
      <c r="D1334" s="255"/>
      <c r="F1334" s="303"/>
      <c r="H1334" s="41"/>
      <c r="J1334" s="253"/>
      <c r="L1334" s="255"/>
      <c r="N1334" s="293"/>
      <c r="P1334" s="41"/>
    </row>
    <row r="1335" spans="2:16" ht="16.5" customHeight="1" x14ac:dyDescent="0.35">
      <c r="B1335" s="253"/>
      <c r="D1335" s="255"/>
      <c r="F1335" s="303"/>
      <c r="H1335" s="41"/>
      <c r="J1335" s="253"/>
      <c r="L1335" s="255"/>
      <c r="N1335" s="293"/>
      <c r="P1335" s="41"/>
    </row>
    <row r="1336" spans="2:16" ht="16.5" customHeight="1" x14ac:dyDescent="0.35">
      <c r="B1336" s="253"/>
      <c r="D1336" s="255"/>
      <c r="F1336" s="303"/>
      <c r="H1336" s="41"/>
      <c r="J1336" s="253"/>
      <c r="L1336" s="255"/>
      <c r="N1336" s="293"/>
      <c r="P1336" s="41"/>
    </row>
    <row r="1337" spans="2:16" ht="16.5" customHeight="1" x14ac:dyDescent="0.35">
      <c r="B1337" s="253"/>
      <c r="D1337" s="255"/>
      <c r="F1337" s="303"/>
      <c r="H1337" s="41"/>
      <c r="J1337" s="253"/>
      <c r="L1337" s="255"/>
      <c r="N1337" s="293"/>
      <c r="P1337" s="41"/>
    </row>
    <row r="1338" spans="2:16" ht="16.5" customHeight="1" x14ac:dyDescent="0.35">
      <c r="B1338" s="253"/>
      <c r="D1338" s="255"/>
      <c r="F1338" s="303"/>
      <c r="H1338" s="41"/>
      <c r="J1338" s="253"/>
      <c r="L1338" s="255"/>
      <c r="N1338" s="293"/>
      <c r="P1338" s="41"/>
    </row>
    <row r="1339" spans="2:16" ht="16.5" customHeight="1" x14ac:dyDescent="0.35">
      <c r="B1339" s="253"/>
      <c r="D1339" s="255"/>
      <c r="F1339" s="303"/>
      <c r="H1339" s="41"/>
      <c r="J1339" s="253"/>
      <c r="L1339" s="255"/>
      <c r="N1339" s="293"/>
      <c r="P1339" s="41"/>
    </row>
    <row r="1340" spans="2:16" ht="16.5" customHeight="1" x14ac:dyDescent="0.35">
      <c r="B1340" s="253"/>
      <c r="D1340" s="255"/>
      <c r="F1340" s="303"/>
      <c r="H1340" s="41"/>
      <c r="J1340" s="253"/>
      <c r="L1340" s="255"/>
      <c r="N1340" s="293"/>
      <c r="P1340" s="41"/>
    </row>
    <row r="1341" spans="2:16" ht="16.5" customHeight="1" x14ac:dyDescent="0.35">
      <c r="B1341" s="253"/>
      <c r="D1341" s="255"/>
      <c r="F1341" s="303"/>
      <c r="H1341" s="41"/>
      <c r="J1341" s="253"/>
      <c r="L1341" s="255"/>
      <c r="N1341" s="293"/>
      <c r="P1341" s="41"/>
    </row>
    <row r="1342" spans="2:16" ht="16.5" customHeight="1" x14ac:dyDescent="0.35">
      <c r="B1342" s="253"/>
      <c r="D1342" s="255"/>
      <c r="F1342" s="303"/>
      <c r="H1342" s="41"/>
      <c r="J1342" s="253"/>
      <c r="L1342" s="255"/>
      <c r="N1342" s="293"/>
      <c r="P1342" s="41"/>
    </row>
    <row r="1343" spans="2:16" ht="16.5" customHeight="1" x14ac:dyDescent="0.35">
      <c r="B1343" s="253"/>
      <c r="D1343" s="255"/>
      <c r="F1343" s="303"/>
      <c r="H1343" s="41"/>
      <c r="J1343" s="253"/>
      <c r="L1343" s="255"/>
      <c r="N1343" s="293"/>
      <c r="P1343" s="41"/>
    </row>
    <row r="1344" spans="2:16" ht="16.5" customHeight="1" x14ac:dyDescent="0.35">
      <c r="B1344" s="253"/>
      <c r="D1344" s="255"/>
      <c r="F1344" s="303"/>
      <c r="H1344" s="41"/>
      <c r="J1344" s="253"/>
      <c r="L1344" s="255"/>
      <c r="N1344" s="293"/>
      <c r="P1344" s="41"/>
    </row>
    <row r="1345" spans="2:16" ht="16.5" customHeight="1" x14ac:dyDescent="0.35">
      <c r="B1345" s="253"/>
      <c r="D1345" s="255"/>
      <c r="F1345" s="303"/>
      <c r="H1345" s="41"/>
      <c r="J1345" s="253"/>
      <c r="L1345" s="255"/>
      <c r="N1345" s="293"/>
      <c r="P1345" s="41"/>
    </row>
    <row r="1346" spans="2:16" ht="16.5" customHeight="1" x14ac:dyDescent="0.35">
      <c r="B1346" s="253"/>
      <c r="D1346" s="255"/>
      <c r="F1346" s="303"/>
      <c r="H1346" s="41"/>
      <c r="J1346" s="253"/>
      <c r="L1346" s="255"/>
      <c r="N1346" s="293"/>
      <c r="P1346" s="41"/>
    </row>
    <row r="1347" spans="2:16" ht="16.5" customHeight="1" x14ac:dyDescent="0.35">
      <c r="B1347" s="253"/>
      <c r="D1347" s="255"/>
      <c r="F1347" s="303"/>
      <c r="H1347" s="41"/>
      <c r="J1347" s="253"/>
      <c r="L1347" s="255"/>
      <c r="N1347" s="293"/>
      <c r="P1347" s="41"/>
    </row>
    <row r="1348" spans="2:16" ht="16.5" customHeight="1" x14ac:dyDescent="0.35">
      <c r="B1348" s="253"/>
      <c r="D1348" s="255"/>
      <c r="F1348" s="303"/>
      <c r="H1348" s="41"/>
      <c r="J1348" s="253"/>
      <c r="L1348" s="255"/>
      <c r="N1348" s="293"/>
      <c r="P1348" s="41"/>
    </row>
    <row r="1349" spans="2:16" ht="16.5" customHeight="1" x14ac:dyDescent="0.35">
      <c r="B1349" s="253"/>
      <c r="D1349" s="255"/>
      <c r="F1349" s="303"/>
      <c r="H1349" s="41"/>
      <c r="J1349" s="253"/>
      <c r="L1349" s="255"/>
      <c r="N1349" s="293"/>
      <c r="P1349" s="41"/>
    </row>
    <row r="1350" spans="2:16" ht="16.5" customHeight="1" x14ac:dyDescent="0.35">
      <c r="B1350" s="253"/>
      <c r="D1350" s="255"/>
      <c r="F1350" s="303"/>
      <c r="H1350" s="41"/>
      <c r="J1350" s="253"/>
      <c r="L1350" s="255"/>
      <c r="N1350" s="293"/>
      <c r="P1350" s="41"/>
    </row>
    <row r="1351" spans="2:16" ht="16.5" customHeight="1" x14ac:dyDescent="0.35">
      <c r="B1351" s="253"/>
      <c r="D1351" s="255"/>
      <c r="F1351" s="303"/>
      <c r="H1351" s="41"/>
      <c r="J1351" s="253"/>
      <c r="L1351" s="255"/>
      <c r="N1351" s="293"/>
      <c r="P1351" s="41"/>
    </row>
    <row r="1352" spans="2:16" ht="16.5" customHeight="1" x14ac:dyDescent="0.35">
      <c r="B1352" s="253"/>
      <c r="D1352" s="255"/>
      <c r="F1352" s="303"/>
      <c r="H1352" s="41"/>
      <c r="J1352" s="253"/>
      <c r="L1352" s="255"/>
      <c r="N1352" s="293"/>
      <c r="P1352" s="41"/>
    </row>
    <row r="1353" spans="2:16" ht="16.5" customHeight="1" x14ac:dyDescent="0.35">
      <c r="B1353" s="253"/>
      <c r="D1353" s="255"/>
      <c r="F1353" s="303"/>
      <c r="H1353" s="41"/>
      <c r="J1353" s="253"/>
      <c r="L1353" s="255"/>
      <c r="N1353" s="293"/>
      <c r="P1353" s="41"/>
    </row>
    <row r="1354" spans="2:16" ht="16.5" customHeight="1" x14ac:dyDescent="0.35">
      <c r="B1354" s="253"/>
      <c r="D1354" s="255"/>
      <c r="F1354" s="303"/>
      <c r="H1354" s="41"/>
      <c r="J1354" s="253"/>
      <c r="L1354" s="255"/>
      <c r="N1354" s="293"/>
      <c r="P1354" s="41"/>
    </row>
    <row r="1355" spans="2:16" ht="16.5" customHeight="1" x14ac:dyDescent="0.35">
      <c r="B1355" s="253"/>
      <c r="D1355" s="255"/>
      <c r="F1355" s="303"/>
      <c r="H1355" s="41"/>
      <c r="J1355" s="253"/>
      <c r="L1355" s="255"/>
      <c r="N1355" s="293"/>
      <c r="P1355" s="41"/>
    </row>
    <row r="1356" spans="2:16" ht="16.5" customHeight="1" x14ac:dyDescent="0.35">
      <c r="B1356" s="253"/>
      <c r="D1356" s="255"/>
      <c r="F1356" s="303"/>
      <c r="H1356" s="41"/>
      <c r="J1356" s="253"/>
      <c r="L1356" s="255"/>
      <c r="N1356" s="293"/>
      <c r="P1356" s="41"/>
    </row>
    <row r="1357" spans="2:16" ht="16.5" customHeight="1" x14ac:dyDescent="0.35">
      <c r="B1357" s="253"/>
      <c r="D1357" s="255"/>
      <c r="F1357" s="303"/>
      <c r="H1357" s="41"/>
      <c r="J1357" s="253"/>
      <c r="L1357" s="255"/>
      <c r="N1357" s="293"/>
      <c r="P1357" s="41"/>
    </row>
    <row r="1358" spans="2:16" ht="16.5" customHeight="1" x14ac:dyDescent="0.35">
      <c r="B1358" s="253"/>
      <c r="D1358" s="255"/>
      <c r="F1358" s="303"/>
      <c r="H1358" s="41"/>
      <c r="J1358" s="253"/>
      <c r="L1358" s="255"/>
      <c r="N1358" s="293"/>
      <c r="P1358" s="41"/>
    </row>
    <row r="1359" spans="2:16" ht="16.5" customHeight="1" x14ac:dyDescent="0.35">
      <c r="B1359" s="253"/>
      <c r="D1359" s="255"/>
      <c r="F1359" s="303"/>
      <c r="H1359" s="41"/>
      <c r="J1359" s="253"/>
      <c r="L1359" s="255"/>
      <c r="N1359" s="293"/>
      <c r="P1359" s="41"/>
    </row>
    <row r="1360" spans="2:16" ht="16.5" customHeight="1" x14ac:dyDescent="0.35">
      <c r="B1360" s="253"/>
      <c r="D1360" s="255"/>
      <c r="F1360" s="303"/>
      <c r="H1360" s="41"/>
      <c r="J1360" s="253"/>
      <c r="L1360" s="255"/>
      <c r="N1360" s="293"/>
      <c r="P1360" s="41"/>
    </row>
    <row r="1361" spans="2:16" ht="16.5" customHeight="1" x14ac:dyDescent="0.35">
      <c r="B1361" s="253"/>
      <c r="D1361" s="255"/>
      <c r="F1361" s="303"/>
      <c r="H1361" s="41"/>
      <c r="J1361" s="253"/>
      <c r="L1361" s="255"/>
      <c r="N1361" s="293"/>
      <c r="P1361" s="41"/>
    </row>
    <row r="1362" spans="2:16" ht="16.5" customHeight="1" x14ac:dyDescent="0.35">
      <c r="B1362" s="253"/>
      <c r="D1362" s="255"/>
      <c r="F1362" s="303"/>
      <c r="H1362" s="41"/>
      <c r="J1362" s="253"/>
      <c r="L1362" s="255"/>
      <c r="N1362" s="293"/>
      <c r="P1362" s="41"/>
    </row>
    <row r="1363" spans="2:16" ht="16.5" customHeight="1" x14ac:dyDescent="0.35">
      <c r="B1363" s="253"/>
      <c r="D1363" s="255"/>
      <c r="F1363" s="303"/>
      <c r="H1363" s="41"/>
      <c r="J1363" s="253"/>
      <c r="L1363" s="255"/>
      <c r="N1363" s="293"/>
      <c r="P1363" s="41"/>
    </row>
    <row r="1364" spans="2:16" ht="16.5" customHeight="1" x14ac:dyDescent="0.35">
      <c r="B1364" s="253"/>
      <c r="D1364" s="255"/>
      <c r="F1364" s="303"/>
      <c r="H1364" s="41"/>
      <c r="J1364" s="253"/>
      <c r="L1364" s="255"/>
      <c r="N1364" s="293"/>
      <c r="P1364" s="41"/>
    </row>
    <row r="1365" spans="2:16" ht="16.5" customHeight="1" x14ac:dyDescent="0.35">
      <c r="B1365" s="253"/>
      <c r="D1365" s="255"/>
      <c r="F1365" s="303"/>
      <c r="H1365" s="41"/>
      <c r="J1365" s="253"/>
      <c r="L1365" s="255"/>
      <c r="N1365" s="293"/>
      <c r="P1365" s="41"/>
    </row>
    <row r="1366" spans="2:16" ht="16.5" customHeight="1" x14ac:dyDescent="0.35">
      <c r="B1366" s="253"/>
      <c r="D1366" s="255"/>
      <c r="F1366" s="303"/>
      <c r="H1366" s="41"/>
      <c r="J1366" s="253"/>
      <c r="L1366" s="255"/>
      <c r="N1366" s="293"/>
      <c r="P1366" s="41"/>
    </row>
    <row r="1367" spans="2:16" ht="16.5" customHeight="1" x14ac:dyDescent="0.35">
      <c r="B1367" s="253"/>
      <c r="D1367" s="255"/>
      <c r="F1367" s="303"/>
      <c r="H1367" s="41"/>
      <c r="J1367" s="253"/>
      <c r="L1367" s="255"/>
      <c r="N1367" s="293"/>
      <c r="P1367" s="41"/>
    </row>
    <row r="1368" spans="2:16" ht="16.5" customHeight="1" x14ac:dyDescent="0.35">
      <c r="B1368" s="253"/>
      <c r="D1368" s="255"/>
      <c r="F1368" s="303"/>
      <c r="H1368" s="41"/>
      <c r="J1368" s="253"/>
      <c r="L1368" s="255"/>
      <c r="N1368" s="293"/>
      <c r="P1368" s="41"/>
    </row>
    <row r="1369" spans="2:16" ht="16.5" customHeight="1" x14ac:dyDescent="0.35">
      <c r="B1369" s="253"/>
      <c r="D1369" s="255"/>
      <c r="F1369" s="303"/>
      <c r="H1369" s="41"/>
      <c r="J1369" s="253"/>
      <c r="L1369" s="255"/>
      <c r="N1369" s="293"/>
      <c r="P1369" s="41"/>
    </row>
    <row r="1370" spans="2:16" ht="16.5" customHeight="1" x14ac:dyDescent="0.35">
      <c r="B1370" s="253"/>
      <c r="D1370" s="255"/>
      <c r="F1370" s="303"/>
      <c r="H1370" s="41"/>
      <c r="J1370" s="253"/>
      <c r="L1370" s="255"/>
      <c r="N1370" s="293"/>
      <c r="P1370" s="41"/>
    </row>
    <row r="1371" spans="2:16" ht="16.5" customHeight="1" x14ac:dyDescent="0.35">
      <c r="B1371" s="253"/>
      <c r="D1371" s="255"/>
      <c r="F1371" s="303"/>
      <c r="H1371" s="41"/>
      <c r="J1371" s="253"/>
      <c r="L1371" s="255"/>
      <c r="N1371" s="293"/>
      <c r="P1371" s="41"/>
    </row>
    <row r="1372" spans="2:16" ht="16.5" customHeight="1" x14ac:dyDescent="0.35">
      <c r="B1372" s="253"/>
      <c r="D1372" s="255"/>
      <c r="F1372" s="303"/>
      <c r="H1372" s="41"/>
      <c r="J1372" s="253"/>
      <c r="L1372" s="255"/>
      <c r="N1372" s="293"/>
      <c r="P1372" s="41"/>
    </row>
    <row r="1373" spans="2:16" ht="16.5" customHeight="1" x14ac:dyDescent="0.35">
      <c r="B1373" s="253"/>
      <c r="D1373" s="255"/>
      <c r="F1373" s="303"/>
      <c r="H1373" s="41"/>
      <c r="J1373" s="253"/>
      <c r="L1373" s="255"/>
      <c r="N1373" s="293"/>
      <c r="P1373" s="41"/>
    </row>
    <row r="1374" spans="2:16" ht="16.5" customHeight="1" x14ac:dyDescent="0.35">
      <c r="B1374" s="253"/>
      <c r="D1374" s="255"/>
      <c r="F1374" s="303"/>
      <c r="H1374" s="41"/>
      <c r="J1374" s="253"/>
      <c r="L1374" s="255"/>
      <c r="N1374" s="293"/>
      <c r="P1374" s="41"/>
    </row>
    <row r="1375" spans="2:16" ht="16.5" customHeight="1" x14ac:dyDescent="0.35">
      <c r="B1375" s="253"/>
      <c r="D1375" s="255"/>
      <c r="F1375" s="303"/>
      <c r="H1375" s="41"/>
      <c r="J1375" s="253"/>
      <c r="L1375" s="255"/>
      <c r="N1375" s="293"/>
      <c r="P1375" s="41"/>
    </row>
    <row r="1376" spans="2:16" ht="16.5" customHeight="1" x14ac:dyDescent="0.35">
      <c r="B1376" s="253"/>
      <c r="D1376" s="255"/>
      <c r="F1376" s="303"/>
      <c r="H1376" s="41"/>
      <c r="J1376" s="253"/>
      <c r="L1376" s="255"/>
      <c r="N1376" s="293"/>
      <c r="P1376" s="41"/>
    </row>
    <row r="1377" spans="2:16" ht="16.5" customHeight="1" x14ac:dyDescent="0.35">
      <c r="B1377" s="253"/>
      <c r="D1377" s="255"/>
      <c r="F1377" s="303"/>
      <c r="H1377" s="41"/>
      <c r="J1377" s="253"/>
      <c r="L1377" s="255"/>
      <c r="N1377" s="293"/>
      <c r="P1377" s="41"/>
    </row>
    <row r="1378" spans="2:16" ht="16.5" customHeight="1" x14ac:dyDescent="0.35">
      <c r="B1378" s="253"/>
      <c r="D1378" s="255"/>
      <c r="F1378" s="303"/>
      <c r="H1378" s="41"/>
      <c r="J1378" s="253"/>
      <c r="L1378" s="255"/>
      <c r="N1378" s="293"/>
      <c r="P1378" s="41"/>
    </row>
    <row r="1379" spans="2:16" ht="16.5" customHeight="1" x14ac:dyDescent="0.35">
      <c r="B1379" s="253"/>
      <c r="D1379" s="255"/>
      <c r="F1379" s="303"/>
      <c r="H1379" s="41"/>
      <c r="J1379" s="253"/>
      <c r="L1379" s="255"/>
      <c r="N1379" s="293"/>
      <c r="P1379" s="41"/>
    </row>
    <row r="1380" spans="2:16" ht="16.5" customHeight="1" x14ac:dyDescent="0.35">
      <c r="B1380" s="253"/>
      <c r="D1380" s="255"/>
      <c r="F1380" s="303"/>
      <c r="H1380" s="41"/>
      <c r="J1380" s="253"/>
      <c r="L1380" s="255"/>
      <c r="N1380" s="293"/>
      <c r="P1380" s="41"/>
    </row>
    <row r="1381" spans="2:16" ht="16.5" customHeight="1" x14ac:dyDescent="0.35">
      <c r="B1381" s="253"/>
      <c r="D1381" s="255"/>
      <c r="F1381" s="303"/>
      <c r="H1381" s="41"/>
      <c r="J1381" s="253"/>
      <c r="L1381" s="255"/>
      <c r="N1381" s="293"/>
      <c r="P1381" s="41"/>
    </row>
    <row r="1382" spans="2:16" ht="16.5" customHeight="1" x14ac:dyDescent="0.35">
      <c r="B1382" s="253"/>
      <c r="D1382" s="255"/>
      <c r="F1382" s="303"/>
      <c r="H1382" s="41"/>
      <c r="J1382" s="253"/>
      <c r="L1382" s="255"/>
      <c r="N1382" s="293"/>
      <c r="P1382" s="41"/>
    </row>
    <row r="1383" spans="2:16" ht="16.5" customHeight="1" x14ac:dyDescent="0.35">
      <c r="B1383" s="253"/>
      <c r="D1383" s="255"/>
      <c r="F1383" s="303"/>
      <c r="H1383" s="41"/>
      <c r="J1383" s="253"/>
      <c r="L1383" s="255"/>
      <c r="N1383" s="293"/>
      <c r="P1383" s="41"/>
    </row>
    <row r="1384" spans="2:16" ht="16.5" customHeight="1" x14ac:dyDescent="0.35">
      <c r="B1384" s="253"/>
      <c r="D1384" s="255"/>
      <c r="F1384" s="303"/>
      <c r="H1384" s="41"/>
      <c r="J1384" s="253"/>
      <c r="L1384" s="255"/>
      <c r="N1384" s="293"/>
      <c r="P1384" s="41"/>
    </row>
    <row r="1385" spans="2:16" ht="16.5" customHeight="1" x14ac:dyDescent="0.35">
      <c r="B1385" s="253"/>
      <c r="D1385" s="255"/>
      <c r="F1385" s="303"/>
      <c r="H1385" s="41"/>
      <c r="J1385" s="253"/>
      <c r="L1385" s="255"/>
      <c r="N1385" s="293"/>
      <c r="P1385" s="41"/>
    </row>
    <row r="1386" spans="2:16" ht="16.5" customHeight="1" x14ac:dyDescent="0.35">
      <c r="B1386" s="253"/>
      <c r="D1386" s="255"/>
      <c r="F1386" s="303"/>
      <c r="H1386" s="41"/>
      <c r="J1386" s="253"/>
      <c r="L1386" s="255"/>
      <c r="N1386" s="293"/>
      <c r="P1386" s="41"/>
    </row>
    <row r="1387" spans="2:16" ht="16.5" customHeight="1" x14ac:dyDescent="0.35">
      <c r="B1387" s="253"/>
      <c r="D1387" s="255"/>
      <c r="F1387" s="303"/>
      <c r="H1387" s="41"/>
      <c r="J1387" s="253"/>
      <c r="L1387" s="255"/>
      <c r="N1387" s="293"/>
      <c r="P1387" s="41"/>
    </row>
    <row r="1388" spans="2:16" ht="16.5" customHeight="1" x14ac:dyDescent="0.35">
      <c r="B1388" s="253"/>
      <c r="D1388" s="255"/>
      <c r="F1388" s="303"/>
      <c r="H1388" s="41"/>
      <c r="J1388" s="253"/>
      <c r="L1388" s="255"/>
      <c r="N1388" s="293"/>
      <c r="P1388" s="41"/>
    </row>
    <row r="1389" spans="2:16" ht="16.5" customHeight="1" x14ac:dyDescent="0.35">
      <c r="B1389" s="253"/>
      <c r="D1389" s="255"/>
      <c r="F1389" s="303"/>
      <c r="H1389" s="41"/>
      <c r="J1389" s="253"/>
      <c r="L1389" s="255"/>
      <c r="N1389" s="293"/>
      <c r="P1389" s="41"/>
    </row>
    <row r="1390" spans="2:16" ht="16.5" customHeight="1" x14ac:dyDescent="0.35">
      <c r="B1390" s="253"/>
      <c r="D1390" s="255"/>
      <c r="F1390" s="303"/>
      <c r="H1390" s="41"/>
      <c r="J1390" s="253"/>
      <c r="L1390" s="255"/>
      <c r="N1390" s="293"/>
      <c r="P1390" s="41"/>
    </row>
    <row r="1391" spans="2:16" ht="16.5" customHeight="1" x14ac:dyDescent="0.35">
      <c r="B1391" s="253"/>
      <c r="D1391" s="255"/>
      <c r="F1391" s="303"/>
      <c r="H1391" s="41"/>
      <c r="J1391" s="253"/>
      <c r="L1391" s="255"/>
      <c r="N1391" s="293"/>
      <c r="P1391" s="41"/>
    </row>
    <row r="1392" spans="2:16" ht="16.5" customHeight="1" x14ac:dyDescent="0.35">
      <c r="B1392" s="253"/>
      <c r="D1392" s="255"/>
      <c r="F1392" s="303"/>
      <c r="H1392" s="41"/>
      <c r="J1392" s="253"/>
      <c r="L1392" s="255"/>
      <c r="N1392" s="293"/>
      <c r="P1392" s="41"/>
    </row>
    <row r="1393" spans="2:16" ht="16.5" customHeight="1" x14ac:dyDescent="0.35">
      <c r="B1393" s="253"/>
      <c r="D1393" s="255"/>
      <c r="F1393" s="303"/>
      <c r="H1393" s="41"/>
      <c r="J1393" s="253"/>
      <c r="L1393" s="255"/>
      <c r="N1393" s="293"/>
      <c r="P1393" s="41"/>
    </row>
    <row r="1394" spans="2:16" ht="16.5" customHeight="1" x14ac:dyDescent="0.35">
      <c r="B1394" s="253"/>
      <c r="D1394" s="255"/>
      <c r="F1394" s="303"/>
      <c r="H1394" s="41"/>
      <c r="J1394" s="253"/>
      <c r="L1394" s="255"/>
      <c r="N1394" s="293"/>
      <c r="P1394" s="41"/>
    </row>
    <row r="1395" spans="2:16" ht="16.5" customHeight="1" x14ac:dyDescent="0.35">
      <c r="B1395" s="253"/>
      <c r="D1395" s="255"/>
      <c r="F1395" s="303"/>
      <c r="H1395" s="41"/>
      <c r="J1395" s="253"/>
      <c r="L1395" s="255"/>
      <c r="N1395" s="293"/>
      <c r="P1395" s="41"/>
    </row>
    <row r="1396" spans="2:16" ht="16.5" customHeight="1" x14ac:dyDescent="0.35">
      <c r="B1396" s="253"/>
      <c r="D1396" s="255"/>
      <c r="F1396" s="303"/>
      <c r="H1396" s="41"/>
      <c r="J1396" s="253"/>
      <c r="L1396" s="255"/>
      <c r="N1396" s="293"/>
      <c r="P1396" s="41"/>
    </row>
    <row r="1397" spans="2:16" ht="16.5" customHeight="1" x14ac:dyDescent="0.35">
      <c r="B1397" s="253"/>
      <c r="D1397" s="255"/>
      <c r="F1397" s="303"/>
      <c r="H1397" s="41"/>
      <c r="J1397" s="253"/>
      <c r="L1397" s="255"/>
      <c r="N1397" s="293"/>
      <c r="P1397" s="41"/>
    </row>
    <row r="1398" spans="2:16" ht="16.5" customHeight="1" x14ac:dyDescent="0.35">
      <c r="B1398" s="253"/>
      <c r="D1398" s="255"/>
      <c r="F1398" s="303"/>
      <c r="H1398" s="41"/>
      <c r="J1398" s="253"/>
      <c r="L1398" s="255"/>
      <c r="N1398" s="293"/>
      <c r="P1398" s="41"/>
    </row>
    <row r="1399" spans="2:16" ht="16.5" customHeight="1" x14ac:dyDescent="0.35">
      <c r="B1399" s="253"/>
      <c r="D1399" s="255"/>
      <c r="F1399" s="303"/>
      <c r="H1399" s="41"/>
      <c r="J1399" s="253"/>
      <c r="L1399" s="255"/>
      <c r="N1399" s="293"/>
      <c r="P1399" s="41"/>
    </row>
    <row r="1400" spans="2:16" ht="16.5" customHeight="1" x14ac:dyDescent="0.35">
      <c r="B1400" s="253"/>
      <c r="D1400" s="255"/>
      <c r="F1400" s="303"/>
      <c r="H1400" s="41"/>
      <c r="J1400" s="253"/>
      <c r="L1400" s="255"/>
      <c r="N1400" s="293"/>
      <c r="P1400" s="41"/>
    </row>
    <row r="1401" spans="2:16" ht="16.5" customHeight="1" x14ac:dyDescent="0.35">
      <c r="B1401" s="253"/>
      <c r="D1401" s="255"/>
      <c r="F1401" s="303"/>
      <c r="H1401" s="41"/>
      <c r="J1401" s="253"/>
      <c r="L1401" s="255"/>
      <c r="N1401" s="293"/>
      <c r="P1401" s="41"/>
    </row>
    <row r="1402" spans="2:16" ht="16.5" customHeight="1" x14ac:dyDescent="0.35">
      <c r="B1402" s="253"/>
      <c r="D1402" s="255"/>
      <c r="F1402" s="303"/>
      <c r="H1402" s="41"/>
      <c r="J1402" s="253"/>
      <c r="L1402" s="255"/>
      <c r="N1402" s="293"/>
      <c r="P1402" s="41"/>
    </row>
    <row r="1403" spans="2:16" ht="16.5" customHeight="1" x14ac:dyDescent="0.35">
      <c r="B1403" s="253"/>
      <c r="D1403" s="255"/>
      <c r="F1403" s="303"/>
      <c r="H1403" s="41"/>
      <c r="J1403" s="253"/>
      <c r="L1403" s="255"/>
      <c r="N1403" s="293"/>
      <c r="P1403" s="41"/>
    </row>
    <row r="1404" spans="2:16" ht="16.5" customHeight="1" x14ac:dyDescent="0.35">
      <c r="B1404" s="253"/>
      <c r="D1404" s="255"/>
      <c r="F1404" s="303"/>
      <c r="H1404" s="41"/>
      <c r="J1404" s="253"/>
      <c r="L1404" s="255"/>
      <c r="N1404" s="293"/>
      <c r="P1404" s="41"/>
    </row>
    <row r="1405" spans="2:16" ht="16.5" customHeight="1" x14ac:dyDescent="0.35">
      <c r="B1405" s="253"/>
      <c r="D1405" s="255"/>
      <c r="F1405" s="303"/>
      <c r="H1405" s="41"/>
      <c r="J1405" s="253"/>
      <c r="L1405" s="255"/>
      <c r="N1405" s="293"/>
      <c r="P1405" s="41"/>
    </row>
    <row r="1406" spans="2:16" ht="16.5" customHeight="1" x14ac:dyDescent="0.35">
      <c r="B1406" s="253"/>
      <c r="D1406" s="255"/>
      <c r="F1406" s="303"/>
      <c r="H1406" s="41"/>
      <c r="J1406" s="253"/>
      <c r="L1406" s="255"/>
      <c r="N1406" s="293"/>
      <c r="P1406" s="41"/>
    </row>
    <row r="1407" spans="2:16" ht="16.5" customHeight="1" x14ac:dyDescent="0.35">
      <c r="B1407" s="253"/>
      <c r="D1407" s="255"/>
      <c r="F1407" s="303"/>
      <c r="H1407" s="41"/>
      <c r="J1407" s="253"/>
      <c r="L1407" s="255"/>
      <c r="N1407" s="293"/>
      <c r="P1407" s="41"/>
    </row>
    <row r="1408" spans="2:16" ht="16.5" customHeight="1" x14ac:dyDescent="0.35">
      <c r="B1408" s="253"/>
      <c r="D1408" s="255"/>
      <c r="F1408" s="303"/>
      <c r="H1408" s="41"/>
      <c r="J1408" s="253"/>
      <c r="L1408" s="255"/>
      <c r="N1408" s="293"/>
      <c r="P1408" s="41"/>
    </row>
    <row r="1409" spans="2:16" ht="16.5" customHeight="1" x14ac:dyDescent="0.35">
      <c r="B1409" s="253"/>
      <c r="D1409" s="255"/>
      <c r="F1409" s="303"/>
      <c r="H1409" s="41"/>
      <c r="J1409" s="253"/>
      <c r="L1409" s="255"/>
      <c r="N1409" s="293"/>
      <c r="P1409" s="41"/>
    </row>
    <row r="1410" spans="2:16" ht="16.5" customHeight="1" x14ac:dyDescent="0.35">
      <c r="B1410" s="253"/>
      <c r="D1410" s="255"/>
      <c r="F1410" s="303"/>
      <c r="H1410" s="41"/>
      <c r="J1410" s="253"/>
      <c r="L1410" s="255"/>
      <c r="N1410" s="293"/>
      <c r="P1410" s="41"/>
    </row>
    <row r="1411" spans="2:16" ht="16.5" customHeight="1" x14ac:dyDescent="0.35">
      <c r="B1411" s="253"/>
      <c r="D1411" s="255"/>
      <c r="F1411" s="303"/>
      <c r="H1411" s="41"/>
      <c r="J1411" s="253"/>
      <c r="L1411" s="255"/>
      <c r="N1411" s="293"/>
      <c r="P1411" s="41"/>
    </row>
    <row r="1412" spans="2:16" ht="16.5" customHeight="1" x14ac:dyDescent="0.35">
      <c r="B1412" s="253"/>
      <c r="D1412" s="255"/>
      <c r="F1412" s="303"/>
      <c r="H1412" s="41"/>
      <c r="J1412" s="253"/>
      <c r="L1412" s="255"/>
      <c r="N1412" s="293"/>
      <c r="P1412" s="41"/>
    </row>
    <row r="1413" spans="2:16" ht="16.5" customHeight="1" x14ac:dyDescent="0.35">
      <c r="B1413" s="253"/>
      <c r="D1413" s="255"/>
      <c r="F1413" s="303"/>
      <c r="H1413" s="41"/>
      <c r="J1413" s="253"/>
      <c r="L1413" s="255"/>
      <c r="N1413" s="293"/>
      <c r="P1413" s="41"/>
    </row>
    <row r="1414" spans="2:16" ht="16.5" customHeight="1" x14ac:dyDescent="0.35">
      <c r="B1414" s="253"/>
      <c r="D1414" s="255"/>
      <c r="F1414" s="303"/>
      <c r="H1414" s="41"/>
      <c r="J1414" s="253"/>
      <c r="L1414" s="255"/>
      <c r="N1414" s="293"/>
      <c r="P1414" s="41"/>
    </row>
    <row r="1415" spans="2:16" ht="16.5" customHeight="1" x14ac:dyDescent="0.35">
      <c r="B1415" s="253"/>
      <c r="D1415" s="255"/>
      <c r="F1415" s="303"/>
      <c r="H1415" s="41"/>
      <c r="J1415" s="253"/>
      <c r="L1415" s="255"/>
      <c r="N1415" s="293"/>
      <c r="P1415" s="41"/>
    </row>
    <row r="1416" spans="2:16" ht="16.5" customHeight="1" x14ac:dyDescent="0.35">
      <c r="B1416" s="253"/>
      <c r="D1416" s="255"/>
      <c r="F1416" s="303"/>
      <c r="H1416" s="41"/>
      <c r="J1416" s="253"/>
      <c r="L1416" s="255"/>
      <c r="N1416" s="293"/>
      <c r="P1416" s="41"/>
    </row>
    <row r="1417" spans="2:16" ht="16.5" customHeight="1" x14ac:dyDescent="0.35">
      <c r="B1417" s="253"/>
      <c r="D1417" s="255"/>
      <c r="F1417" s="303"/>
      <c r="H1417" s="41"/>
      <c r="J1417" s="253"/>
      <c r="L1417" s="255"/>
      <c r="N1417" s="293"/>
      <c r="P1417" s="41"/>
    </row>
    <row r="1418" spans="2:16" ht="16.5" customHeight="1" x14ac:dyDescent="0.35">
      <c r="B1418" s="253"/>
      <c r="D1418" s="255"/>
      <c r="F1418" s="303"/>
      <c r="H1418" s="41"/>
      <c r="J1418" s="253"/>
      <c r="L1418" s="255"/>
      <c r="N1418" s="293"/>
      <c r="P1418" s="41"/>
    </row>
    <row r="1419" spans="2:16" ht="16.5" customHeight="1" x14ac:dyDescent="0.35">
      <c r="B1419" s="253"/>
      <c r="D1419" s="255"/>
      <c r="F1419" s="303"/>
      <c r="H1419" s="41"/>
      <c r="J1419" s="253"/>
      <c r="L1419" s="255"/>
      <c r="N1419" s="293"/>
      <c r="P1419" s="41"/>
    </row>
    <row r="1420" spans="2:16" ht="16.5" customHeight="1" x14ac:dyDescent="0.35">
      <c r="B1420" s="253"/>
      <c r="D1420" s="255"/>
      <c r="F1420" s="303"/>
      <c r="H1420" s="41"/>
      <c r="J1420" s="253"/>
      <c r="L1420" s="255"/>
      <c r="N1420" s="293"/>
      <c r="P1420" s="41"/>
    </row>
    <row r="1421" spans="2:16" ht="16.5" customHeight="1" x14ac:dyDescent="0.35">
      <c r="B1421" s="253"/>
      <c r="D1421" s="255"/>
      <c r="F1421" s="303"/>
      <c r="H1421" s="41"/>
      <c r="J1421" s="253"/>
      <c r="L1421" s="255"/>
      <c r="N1421" s="293"/>
      <c r="P1421" s="41"/>
    </row>
    <row r="1422" spans="2:16" ht="16.5" customHeight="1" x14ac:dyDescent="0.35">
      <c r="B1422" s="253"/>
      <c r="D1422" s="255"/>
      <c r="F1422" s="303"/>
      <c r="H1422" s="41"/>
      <c r="J1422" s="253"/>
      <c r="L1422" s="255"/>
      <c r="N1422" s="293"/>
      <c r="P1422" s="41"/>
    </row>
    <row r="1423" spans="2:16" ht="16.5" customHeight="1" x14ac:dyDescent="0.35">
      <c r="B1423" s="253"/>
      <c r="D1423" s="255"/>
      <c r="F1423" s="303"/>
      <c r="H1423" s="41"/>
      <c r="J1423" s="253"/>
      <c r="L1423" s="255"/>
      <c r="N1423" s="293"/>
      <c r="P1423" s="41"/>
    </row>
    <row r="1424" spans="2:16" ht="16.5" customHeight="1" x14ac:dyDescent="0.35">
      <c r="B1424" s="253"/>
      <c r="D1424" s="255"/>
      <c r="F1424" s="303"/>
      <c r="H1424" s="41"/>
      <c r="J1424" s="253"/>
      <c r="L1424" s="255"/>
      <c r="N1424" s="293"/>
      <c r="P1424" s="41"/>
    </row>
    <row r="1425" spans="2:16" ht="16.5" customHeight="1" x14ac:dyDescent="0.35">
      <c r="B1425" s="253"/>
      <c r="D1425" s="255"/>
      <c r="F1425" s="303"/>
      <c r="H1425" s="41"/>
      <c r="J1425" s="253"/>
      <c r="L1425" s="255"/>
      <c r="N1425" s="293"/>
      <c r="P1425" s="41"/>
    </row>
    <row r="1426" spans="2:16" ht="16.5" customHeight="1" x14ac:dyDescent="0.35">
      <c r="B1426" s="253"/>
      <c r="D1426" s="255"/>
      <c r="F1426" s="303"/>
      <c r="H1426" s="41"/>
      <c r="J1426" s="253"/>
      <c r="L1426" s="255"/>
      <c r="N1426" s="293"/>
      <c r="P1426" s="41"/>
    </row>
    <row r="1427" spans="2:16" ht="16.5" customHeight="1" x14ac:dyDescent="0.35">
      <c r="B1427" s="253"/>
      <c r="D1427" s="255"/>
      <c r="F1427" s="303"/>
      <c r="H1427" s="41"/>
      <c r="J1427" s="253"/>
      <c r="L1427" s="255"/>
      <c r="N1427" s="293"/>
      <c r="P1427" s="41"/>
    </row>
    <row r="1428" spans="2:16" ht="16.5" customHeight="1" x14ac:dyDescent="0.35">
      <c r="B1428" s="253"/>
      <c r="D1428" s="255"/>
      <c r="F1428" s="303"/>
      <c r="H1428" s="41"/>
      <c r="J1428" s="253"/>
      <c r="L1428" s="255"/>
      <c r="N1428" s="293"/>
      <c r="P1428" s="41"/>
    </row>
    <row r="1429" spans="2:16" ht="16.5" customHeight="1" x14ac:dyDescent="0.35">
      <c r="B1429" s="253"/>
      <c r="D1429" s="255"/>
      <c r="F1429" s="303"/>
      <c r="H1429" s="41"/>
      <c r="J1429" s="253"/>
      <c r="L1429" s="255"/>
      <c r="N1429" s="293"/>
      <c r="P1429" s="41"/>
    </row>
    <row r="1430" spans="2:16" ht="16.5" customHeight="1" x14ac:dyDescent="0.35">
      <c r="B1430" s="253"/>
      <c r="D1430" s="255"/>
      <c r="F1430" s="303"/>
      <c r="H1430" s="41"/>
      <c r="J1430" s="253"/>
      <c r="L1430" s="255"/>
      <c r="N1430" s="293"/>
      <c r="P1430" s="41"/>
    </row>
    <row r="1431" spans="2:16" ht="16.5" customHeight="1" x14ac:dyDescent="0.35">
      <c r="B1431" s="253"/>
      <c r="D1431" s="255"/>
      <c r="F1431" s="303"/>
      <c r="H1431" s="41"/>
      <c r="J1431" s="253"/>
      <c r="L1431" s="255"/>
      <c r="N1431" s="293"/>
      <c r="P1431" s="41"/>
    </row>
    <row r="1432" spans="2:16" ht="16.5" customHeight="1" x14ac:dyDescent="0.35">
      <c r="B1432" s="253"/>
      <c r="D1432" s="255"/>
      <c r="F1432" s="303"/>
      <c r="H1432" s="41"/>
      <c r="J1432" s="253"/>
      <c r="L1432" s="255"/>
      <c r="N1432" s="293"/>
      <c r="P1432" s="41"/>
    </row>
    <row r="1433" spans="2:16" ht="16.5" customHeight="1" x14ac:dyDescent="0.35">
      <c r="B1433" s="253"/>
      <c r="D1433" s="255"/>
      <c r="F1433" s="303"/>
      <c r="H1433" s="41"/>
      <c r="J1433" s="253"/>
      <c r="L1433" s="255"/>
      <c r="N1433" s="293"/>
      <c r="P1433" s="41"/>
    </row>
    <row r="1434" spans="2:16" ht="16.5" customHeight="1" x14ac:dyDescent="0.35">
      <c r="B1434" s="253"/>
      <c r="D1434" s="255"/>
      <c r="F1434" s="303"/>
      <c r="H1434" s="41"/>
      <c r="J1434" s="253"/>
      <c r="L1434" s="255"/>
      <c r="N1434" s="293"/>
      <c r="P1434" s="41"/>
    </row>
    <row r="1435" spans="2:16" ht="16.5" customHeight="1" x14ac:dyDescent="0.35">
      <c r="B1435" s="253"/>
      <c r="D1435" s="255"/>
      <c r="F1435" s="303"/>
      <c r="H1435" s="41"/>
      <c r="J1435" s="253"/>
      <c r="L1435" s="255"/>
      <c r="N1435" s="293"/>
      <c r="P1435" s="41"/>
    </row>
    <row r="1436" spans="2:16" ht="16.5" customHeight="1" x14ac:dyDescent="0.35">
      <c r="B1436" s="253"/>
      <c r="D1436" s="255"/>
      <c r="F1436" s="303"/>
      <c r="H1436" s="41"/>
      <c r="J1436" s="253"/>
      <c r="L1436" s="255"/>
      <c r="N1436" s="293"/>
      <c r="P1436" s="41"/>
    </row>
    <row r="1437" spans="2:16" ht="16.5" customHeight="1" x14ac:dyDescent="0.35">
      <c r="B1437" s="253"/>
      <c r="D1437" s="255"/>
      <c r="F1437" s="303"/>
      <c r="H1437" s="41"/>
      <c r="J1437" s="253"/>
      <c r="L1437" s="255"/>
      <c r="N1437" s="293"/>
      <c r="P1437" s="41"/>
    </row>
    <row r="1438" spans="2:16" ht="16.5" customHeight="1" x14ac:dyDescent="0.35">
      <c r="B1438" s="253"/>
      <c r="D1438" s="255"/>
      <c r="F1438" s="303"/>
      <c r="H1438" s="41"/>
      <c r="J1438" s="253"/>
      <c r="L1438" s="255"/>
      <c r="N1438" s="293"/>
      <c r="P1438" s="41"/>
    </row>
    <row r="1439" spans="2:16" ht="16.5" customHeight="1" x14ac:dyDescent="0.35">
      <c r="B1439" s="253"/>
      <c r="D1439" s="255"/>
      <c r="F1439" s="303"/>
      <c r="H1439" s="41"/>
      <c r="J1439" s="253"/>
      <c r="L1439" s="255"/>
      <c r="N1439" s="293"/>
      <c r="P1439" s="41"/>
    </row>
    <row r="1440" spans="2:16" ht="16.5" customHeight="1" x14ac:dyDescent="0.35">
      <c r="B1440" s="253"/>
      <c r="D1440" s="255"/>
      <c r="F1440" s="303"/>
      <c r="H1440" s="41"/>
      <c r="J1440" s="253"/>
      <c r="L1440" s="255"/>
      <c r="N1440" s="293"/>
      <c r="P1440" s="41"/>
    </row>
    <row r="1441" spans="2:16" ht="16.5" customHeight="1" x14ac:dyDescent="0.35">
      <c r="B1441" s="253"/>
      <c r="D1441" s="255"/>
      <c r="F1441" s="303"/>
      <c r="H1441" s="41"/>
      <c r="J1441" s="253"/>
      <c r="L1441" s="255"/>
      <c r="N1441" s="293"/>
      <c r="P1441" s="41"/>
    </row>
    <row r="1442" spans="2:16" ht="16.5" customHeight="1" x14ac:dyDescent="0.35">
      <c r="B1442" s="253"/>
      <c r="D1442" s="255"/>
      <c r="F1442" s="303"/>
      <c r="H1442" s="41"/>
      <c r="J1442" s="253"/>
      <c r="L1442" s="255"/>
      <c r="N1442" s="293"/>
      <c r="P1442" s="41"/>
    </row>
    <row r="1443" spans="2:16" ht="16.5" customHeight="1" x14ac:dyDescent="0.35">
      <c r="B1443" s="253"/>
      <c r="D1443" s="255"/>
      <c r="F1443" s="303"/>
      <c r="H1443" s="41"/>
      <c r="J1443" s="253"/>
      <c r="L1443" s="255"/>
      <c r="N1443" s="293"/>
      <c r="P1443" s="41"/>
    </row>
    <row r="1444" spans="2:16" ht="16.5" customHeight="1" x14ac:dyDescent="0.35">
      <c r="B1444" s="253"/>
      <c r="D1444" s="255"/>
      <c r="F1444" s="303"/>
      <c r="H1444" s="41"/>
      <c r="J1444" s="253"/>
      <c r="L1444" s="255"/>
      <c r="N1444" s="293"/>
      <c r="P1444" s="41"/>
    </row>
    <row r="1445" spans="2:16" ht="16.5" customHeight="1" x14ac:dyDescent="0.35">
      <c r="B1445" s="253"/>
      <c r="D1445" s="255"/>
      <c r="F1445" s="303"/>
      <c r="H1445" s="41"/>
      <c r="J1445" s="253"/>
      <c r="L1445" s="255"/>
      <c r="N1445" s="293"/>
      <c r="P1445" s="41"/>
    </row>
    <row r="1446" spans="2:16" ht="16.5" customHeight="1" x14ac:dyDescent="0.35">
      <c r="B1446" s="253"/>
      <c r="D1446" s="255"/>
      <c r="F1446" s="303"/>
      <c r="H1446" s="41"/>
      <c r="J1446" s="253"/>
      <c r="L1446" s="255"/>
      <c r="N1446" s="293"/>
      <c r="P1446" s="41"/>
    </row>
    <row r="1447" spans="2:16" ht="16.5" customHeight="1" x14ac:dyDescent="0.35">
      <c r="B1447" s="253"/>
      <c r="D1447" s="255"/>
      <c r="F1447" s="303"/>
      <c r="H1447" s="41"/>
      <c r="J1447" s="253"/>
      <c r="L1447" s="255"/>
      <c r="N1447" s="293"/>
      <c r="P1447" s="41"/>
    </row>
    <row r="1448" spans="2:16" ht="16.5" customHeight="1" x14ac:dyDescent="0.35">
      <c r="B1448" s="253"/>
      <c r="D1448" s="255"/>
      <c r="F1448" s="303"/>
      <c r="H1448" s="41"/>
      <c r="J1448" s="253"/>
      <c r="L1448" s="255"/>
      <c r="N1448" s="293"/>
      <c r="P1448" s="41"/>
    </row>
    <row r="1449" spans="2:16" ht="16.5" customHeight="1" x14ac:dyDescent="0.35">
      <c r="B1449" s="253"/>
      <c r="D1449" s="255"/>
      <c r="F1449" s="303"/>
      <c r="H1449" s="41"/>
      <c r="J1449" s="253"/>
      <c r="L1449" s="255"/>
      <c r="N1449" s="293"/>
      <c r="P1449" s="41"/>
    </row>
    <row r="1450" spans="2:16" ht="16.5" customHeight="1" x14ac:dyDescent="0.35">
      <c r="B1450" s="253"/>
      <c r="D1450" s="255"/>
      <c r="F1450" s="303"/>
      <c r="H1450" s="41"/>
      <c r="J1450" s="253"/>
      <c r="L1450" s="255"/>
      <c r="N1450" s="293"/>
      <c r="P1450" s="41"/>
    </row>
    <row r="1451" spans="2:16" ht="16.5" customHeight="1" x14ac:dyDescent="0.35">
      <c r="B1451" s="253"/>
      <c r="D1451" s="255"/>
      <c r="F1451" s="303"/>
      <c r="H1451" s="41"/>
      <c r="J1451" s="253"/>
      <c r="L1451" s="255"/>
      <c r="N1451" s="293"/>
      <c r="P1451" s="41"/>
    </row>
    <row r="1452" spans="2:16" ht="16.5" customHeight="1" x14ac:dyDescent="0.35">
      <c r="B1452" s="253"/>
      <c r="D1452" s="255"/>
      <c r="F1452" s="303"/>
      <c r="H1452" s="41"/>
      <c r="J1452" s="253"/>
      <c r="L1452" s="255"/>
      <c r="N1452" s="293"/>
      <c r="P1452" s="41"/>
    </row>
    <row r="1453" spans="2:16" ht="16.5" customHeight="1" x14ac:dyDescent="0.35">
      <c r="B1453" s="253"/>
      <c r="D1453" s="255"/>
      <c r="F1453" s="303"/>
      <c r="H1453" s="41"/>
      <c r="J1453" s="253"/>
      <c r="L1453" s="255"/>
      <c r="N1453" s="293"/>
      <c r="P1453" s="41"/>
    </row>
    <row r="1454" spans="2:16" ht="16.5" customHeight="1" x14ac:dyDescent="0.35">
      <c r="B1454" s="253"/>
      <c r="D1454" s="255"/>
      <c r="F1454" s="303"/>
      <c r="H1454" s="41"/>
      <c r="J1454" s="253"/>
      <c r="L1454" s="255"/>
      <c r="N1454" s="293"/>
      <c r="P1454" s="41"/>
    </row>
    <row r="1455" spans="2:16" ht="16.5" customHeight="1" x14ac:dyDescent="0.35">
      <c r="B1455" s="253"/>
      <c r="D1455" s="255"/>
      <c r="F1455" s="303"/>
      <c r="H1455" s="41"/>
      <c r="J1455" s="253"/>
      <c r="L1455" s="255"/>
      <c r="N1455" s="293"/>
      <c r="P1455" s="41"/>
    </row>
    <row r="1456" spans="2:16" ht="16.5" customHeight="1" x14ac:dyDescent="0.35">
      <c r="B1456" s="253"/>
      <c r="D1456" s="255"/>
      <c r="F1456" s="303"/>
      <c r="H1456" s="41"/>
      <c r="J1456" s="253"/>
      <c r="L1456" s="255"/>
      <c r="N1456" s="293"/>
      <c r="P1456" s="41"/>
    </row>
    <row r="1457" spans="2:16" ht="16.5" customHeight="1" x14ac:dyDescent="0.35">
      <c r="B1457" s="253"/>
      <c r="D1457" s="255"/>
      <c r="F1457" s="303"/>
      <c r="H1457" s="41"/>
      <c r="J1457" s="253"/>
      <c r="L1457" s="255"/>
      <c r="N1457" s="293"/>
      <c r="P1457" s="41"/>
    </row>
    <row r="1458" spans="2:16" ht="16.5" customHeight="1" x14ac:dyDescent="0.35">
      <c r="B1458" s="253"/>
      <c r="D1458" s="255"/>
      <c r="F1458" s="303"/>
      <c r="H1458" s="41"/>
      <c r="J1458" s="253"/>
      <c r="L1458" s="255"/>
      <c r="N1458" s="293"/>
      <c r="P1458" s="41"/>
    </row>
    <row r="1459" spans="2:16" ht="16.5" customHeight="1" x14ac:dyDescent="0.35">
      <c r="B1459" s="253"/>
      <c r="D1459" s="255"/>
      <c r="F1459" s="303"/>
      <c r="H1459" s="41"/>
      <c r="J1459" s="253"/>
      <c r="L1459" s="255"/>
      <c r="N1459" s="293"/>
      <c r="P1459" s="41"/>
    </row>
    <row r="1460" spans="2:16" ht="16.5" customHeight="1" x14ac:dyDescent="0.35">
      <c r="B1460" s="253"/>
      <c r="D1460" s="255"/>
      <c r="F1460" s="303"/>
      <c r="H1460" s="41"/>
      <c r="J1460" s="253"/>
      <c r="L1460" s="255"/>
      <c r="N1460" s="293"/>
      <c r="P1460" s="41"/>
    </row>
    <row r="1461" spans="2:16" ht="16.5" customHeight="1" x14ac:dyDescent="0.35">
      <c r="B1461" s="253"/>
      <c r="D1461" s="255"/>
      <c r="F1461" s="303"/>
      <c r="H1461" s="41"/>
      <c r="J1461" s="253"/>
      <c r="L1461" s="255"/>
      <c r="N1461" s="293"/>
      <c r="P1461" s="41"/>
    </row>
    <row r="1462" spans="2:16" ht="16.5" customHeight="1" x14ac:dyDescent="0.35">
      <c r="B1462" s="253"/>
      <c r="D1462" s="255"/>
      <c r="F1462" s="303"/>
      <c r="H1462" s="41"/>
      <c r="J1462" s="253"/>
      <c r="L1462" s="255"/>
      <c r="N1462" s="293"/>
      <c r="P1462" s="41"/>
    </row>
    <row r="1463" spans="2:16" ht="16.5" customHeight="1" x14ac:dyDescent="0.35">
      <c r="B1463" s="253"/>
      <c r="D1463" s="255"/>
      <c r="F1463" s="303"/>
      <c r="H1463" s="41"/>
      <c r="J1463" s="253"/>
      <c r="L1463" s="255"/>
      <c r="N1463" s="293"/>
      <c r="P1463" s="41"/>
    </row>
    <row r="1464" spans="2:16" ht="16.5" customHeight="1" x14ac:dyDescent="0.35">
      <c r="B1464" s="253"/>
      <c r="D1464" s="255"/>
      <c r="F1464" s="303"/>
      <c r="H1464" s="41"/>
      <c r="J1464" s="253"/>
      <c r="L1464" s="255"/>
      <c r="N1464" s="293"/>
      <c r="P1464" s="41"/>
    </row>
    <row r="1465" spans="2:16" ht="16.5" customHeight="1" x14ac:dyDescent="0.35">
      <c r="B1465" s="253"/>
      <c r="D1465" s="255"/>
      <c r="F1465" s="303"/>
      <c r="H1465" s="41"/>
      <c r="J1465" s="253"/>
      <c r="L1465" s="255"/>
      <c r="N1465" s="293"/>
      <c r="P1465" s="41"/>
    </row>
    <row r="1466" spans="2:16" ht="16.5" customHeight="1" x14ac:dyDescent="0.35">
      <c r="B1466" s="253"/>
      <c r="D1466" s="255"/>
      <c r="F1466" s="303"/>
      <c r="H1466" s="41"/>
      <c r="J1466" s="253"/>
      <c r="L1466" s="255"/>
      <c r="N1466" s="293"/>
      <c r="P1466" s="41"/>
    </row>
    <row r="1467" spans="2:16" ht="16.5" customHeight="1" x14ac:dyDescent="0.35">
      <c r="B1467" s="253"/>
      <c r="D1467" s="255"/>
      <c r="F1467" s="303"/>
      <c r="H1467" s="41"/>
      <c r="J1467" s="253"/>
      <c r="L1467" s="255"/>
      <c r="N1467" s="293"/>
      <c r="P1467" s="41"/>
    </row>
    <row r="1468" spans="2:16" ht="16.5" customHeight="1" x14ac:dyDescent="0.35">
      <c r="B1468" s="253"/>
      <c r="D1468" s="255"/>
      <c r="F1468" s="303"/>
      <c r="H1468" s="41"/>
      <c r="J1468" s="253"/>
      <c r="L1468" s="255"/>
      <c r="N1468" s="293"/>
      <c r="P1468" s="41"/>
    </row>
    <row r="1469" spans="2:16" ht="16.5" customHeight="1" x14ac:dyDescent="0.35">
      <c r="B1469" s="253"/>
      <c r="D1469" s="255"/>
      <c r="F1469" s="303"/>
      <c r="H1469" s="41"/>
      <c r="J1469" s="253"/>
      <c r="L1469" s="255"/>
      <c r="N1469" s="293"/>
      <c r="P1469" s="41"/>
    </row>
    <row r="1470" spans="2:16" ht="16.5" customHeight="1" x14ac:dyDescent="0.35">
      <c r="B1470" s="253"/>
      <c r="D1470" s="255"/>
      <c r="F1470" s="303"/>
      <c r="H1470" s="41"/>
      <c r="J1470" s="253"/>
      <c r="L1470" s="255"/>
      <c r="N1470" s="293"/>
      <c r="P1470" s="41"/>
    </row>
    <row r="1471" spans="2:16" ht="16.5" customHeight="1" x14ac:dyDescent="0.35">
      <c r="B1471" s="253"/>
      <c r="D1471" s="255"/>
      <c r="F1471" s="303"/>
      <c r="H1471" s="41"/>
      <c r="J1471" s="253"/>
      <c r="L1471" s="255"/>
      <c r="N1471" s="293"/>
      <c r="P1471" s="41"/>
    </row>
    <row r="1472" spans="2:16" ht="16.5" customHeight="1" x14ac:dyDescent="0.35">
      <c r="B1472" s="253"/>
      <c r="D1472" s="255"/>
      <c r="F1472" s="303"/>
      <c r="H1472" s="41"/>
      <c r="J1472" s="253"/>
      <c r="L1472" s="255"/>
      <c r="N1472" s="293"/>
      <c r="P1472" s="41"/>
    </row>
    <row r="1473" spans="2:16" ht="16.5" customHeight="1" x14ac:dyDescent="0.35">
      <c r="B1473" s="253"/>
      <c r="D1473" s="255"/>
      <c r="F1473" s="303"/>
      <c r="H1473" s="41"/>
      <c r="J1473" s="253"/>
      <c r="L1473" s="255"/>
      <c r="N1473" s="293"/>
      <c r="P1473" s="41"/>
    </row>
    <row r="1474" spans="2:16" ht="16.5" customHeight="1" x14ac:dyDescent="0.35">
      <c r="B1474" s="253"/>
      <c r="D1474" s="255"/>
      <c r="F1474" s="303"/>
      <c r="H1474" s="41"/>
      <c r="J1474" s="253"/>
      <c r="L1474" s="255"/>
      <c r="N1474" s="293"/>
      <c r="P1474" s="41"/>
    </row>
    <row r="1475" spans="2:16" ht="16.5" customHeight="1" x14ac:dyDescent="0.35">
      <c r="B1475" s="253"/>
      <c r="D1475" s="255"/>
      <c r="F1475" s="303"/>
      <c r="H1475" s="41"/>
      <c r="J1475" s="253"/>
      <c r="L1475" s="255"/>
      <c r="N1475" s="293"/>
      <c r="P1475" s="41"/>
    </row>
    <row r="1476" spans="2:16" ht="16.5" customHeight="1" x14ac:dyDescent="0.35">
      <c r="B1476" s="253"/>
      <c r="D1476" s="255"/>
      <c r="F1476" s="303"/>
      <c r="H1476" s="41"/>
      <c r="J1476" s="253"/>
      <c r="L1476" s="255"/>
      <c r="N1476" s="293"/>
      <c r="P1476" s="41"/>
    </row>
    <row r="1477" spans="2:16" ht="16.5" customHeight="1" x14ac:dyDescent="0.35">
      <c r="B1477" s="253"/>
      <c r="D1477" s="255"/>
      <c r="F1477" s="303"/>
      <c r="H1477" s="41"/>
      <c r="J1477" s="253"/>
      <c r="L1477" s="255"/>
      <c r="N1477" s="293"/>
      <c r="P1477" s="41"/>
    </row>
    <row r="1478" spans="2:16" ht="16.5" customHeight="1" x14ac:dyDescent="0.35">
      <c r="B1478" s="253"/>
      <c r="D1478" s="255"/>
      <c r="F1478" s="303"/>
      <c r="H1478" s="41"/>
      <c r="J1478" s="253"/>
      <c r="L1478" s="255"/>
      <c r="N1478" s="293"/>
      <c r="P1478" s="41"/>
    </row>
    <row r="1479" spans="2:16" ht="16.5" customHeight="1" x14ac:dyDescent="0.35">
      <c r="B1479" s="253"/>
      <c r="D1479" s="255"/>
      <c r="F1479" s="303"/>
      <c r="H1479" s="41"/>
      <c r="J1479" s="253"/>
      <c r="L1479" s="255"/>
      <c r="N1479" s="293"/>
      <c r="P1479" s="41"/>
    </row>
    <row r="1480" spans="2:16" ht="16.5" customHeight="1" x14ac:dyDescent="0.35">
      <c r="B1480" s="253"/>
      <c r="D1480" s="255"/>
      <c r="F1480" s="303"/>
      <c r="H1480" s="41"/>
      <c r="J1480" s="253"/>
      <c r="L1480" s="255"/>
      <c r="N1480" s="293"/>
      <c r="P1480" s="41"/>
    </row>
    <row r="1481" spans="2:16" ht="16.5" customHeight="1" x14ac:dyDescent="0.35">
      <c r="B1481" s="253"/>
      <c r="D1481" s="255"/>
      <c r="F1481" s="303"/>
      <c r="H1481" s="41"/>
      <c r="J1481" s="253"/>
      <c r="L1481" s="255"/>
      <c r="N1481" s="293"/>
      <c r="P1481" s="41"/>
    </row>
    <row r="1482" spans="2:16" ht="16.5" customHeight="1" x14ac:dyDescent="0.35">
      <c r="B1482" s="253"/>
      <c r="D1482" s="255"/>
      <c r="F1482" s="303"/>
      <c r="H1482" s="41"/>
      <c r="J1482" s="253"/>
      <c r="L1482" s="255"/>
      <c r="N1482" s="293"/>
      <c r="P1482" s="41"/>
    </row>
    <row r="1483" spans="2:16" ht="16.5" customHeight="1" x14ac:dyDescent="0.35">
      <c r="B1483" s="253"/>
      <c r="D1483" s="255"/>
      <c r="F1483" s="303"/>
      <c r="H1483" s="41"/>
      <c r="J1483" s="253"/>
      <c r="L1483" s="255"/>
      <c r="N1483" s="293"/>
      <c r="P1483" s="41"/>
    </row>
    <row r="1484" spans="2:16" ht="16.5" customHeight="1" x14ac:dyDescent="0.35">
      <c r="B1484" s="253"/>
      <c r="D1484" s="255"/>
      <c r="F1484" s="303"/>
      <c r="H1484" s="41"/>
      <c r="J1484" s="253"/>
      <c r="L1484" s="255"/>
      <c r="N1484" s="293"/>
      <c r="P1484" s="41"/>
    </row>
    <row r="1485" spans="2:16" ht="16.5" customHeight="1" x14ac:dyDescent="0.35">
      <c r="B1485" s="253"/>
      <c r="D1485" s="255"/>
      <c r="F1485" s="303"/>
      <c r="H1485" s="41"/>
      <c r="J1485" s="253"/>
      <c r="L1485" s="255"/>
      <c r="N1485" s="293"/>
      <c r="P1485" s="41"/>
    </row>
    <row r="1486" spans="2:16" ht="16.5" customHeight="1" x14ac:dyDescent="0.35">
      <c r="B1486" s="253"/>
      <c r="D1486" s="255"/>
      <c r="F1486" s="303"/>
      <c r="H1486" s="41"/>
      <c r="J1486" s="253"/>
      <c r="L1486" s="255"/>
      <c r="N1486" s="293"/>
      <c r="P1486" s="41"/>
    </row>
    <row r="1487" spans="2:16" ht="16.5" customHeight="1" x14ac:dyDescent="0.35">
      <c r="B1487" s="253"/>
      <c r="D1487" s="255"/>
      <c r="F1487" s="303"/>
      <c r="H1487" s="41"/>
      <c r="J1487" s="253"/>
      <c r="L1487" s="255"/>
      <c r="N1487" s="293"/>
      <c r="P1487" s="41"/>
    </row>
    <row r="1488" spans="2:16" ht="16.5" customHeight="1" x14ac:dyDescent="0.35">
      <c r="B1488" s="253"/>
      <c r="D1488" s="255"/>
      <c r="F1488" s="303"/>
      <c r="H1488" s="41"/>
      <c r="J1488" s="253"/>
      <c r="L1488" s="255"/>
      <c r="N1488" s="293"/>
      <c r="P1488" s="41"/>
    </row>
    <row r="1489" spans="2:16" ht="16.5" customHeight="1" x14ac:dyDescent="0.35">
      <c r="B1489" s="253"/>
      <c r="D1489" s="255"/>
      <c r="F1489" s="303"/>
      <c r="H1489" s="41"/>
      <c r="J1489" s="253"/>
      <c r="L1489" s="255"/>
      <c r="N1489" s="293"/>
      <c r="P1489" s="41"/>
    </row>
    <row r="1490" spans="2:16" ht="16.5" customHeight="1" x14ac:dyDescent="0.35">
      <c r="B1490" s="253"/>
      <c r="D1490" s="255"/>
      <c r="F1490" s="303"/>
      <c r="H1490" s="41"/>
      <c r="J1490" s="253"/>
      <c r="L1490" s="255"/>
      <c r="N1490" s="293"/>
      <c r="P1490" s="41"/>
    </row>
    <row r="1491" spans="2:16" ht="16.5" customHeight="1" x14ac:dyDescent="0.35">
      <c r="B1491" s="253"/>
      <c r="D1491" s="255"/>
      <c r="F1491" s="303"/>
      <c r="H1491" s="41"/>
      <c r="J1491" s="253"/>
      <c r="L1491" s="255"/>
      <c r="N1491" s="293"/>
      <c r="P1491" s="41"/>
    </row>
    <row r="1492" spans="2:16" ht="16.5" customHeight="1" x14ac:dyDescent="0.35">
      <c r="B1492" s="253"/>
      <c r="D1492" s="255"/>
      <c r="F1492" s="303"/>
      <c r="H1492" s="41"/>
      <c r="J1492" s="253"/>
      <c r="L1492" s="255"/>
      <c r="N1492" s="293"/>
      <c r="P1492" s="41"/>
    </row>
    <row r="1493" spans="2:16" ht="16.5" customHeight="1" x14ac:dyDescent="0.35">
      <c r="B1493" s="253"/>
      <c r="D1493" s="255"/>
      <c r="F1493" s="303"/>
      <c r="H1493" s="41"/>
      <c r="J1493" s="253"/>
      <c r="L1493" s="255"/>
      <c r="N1493" s="293"/>
      <c r="P1493" s="41"/>
    </row>
    <row r="1494" spans="2:16" ht="16.5" customHeight="1" x14ac:dyDescent="0.35">
      <c r="B1494" s="253"/>
      <c r="D1494" s="255"/>
      <c r="F1494" s="303"/>
      <c r="H1494" s="41"/>
      <c r="J1494" s="253"/>
      <c r="L1494" s="255"/>
      <c r="N1494" s="293"/>
      <c r="P1494" s="41"/>
    </row>
    <row r="1495" spans="2:16" ht="16.5" customHeight="1" x14ac:dyDescent="0.35">
      <c r="B1495" s="253"/>
      <c r="D1495" s="255"/>
      <c r="F1495" s="303"/>
      <c r="H1495" s="41"/>
      <c r="J1495" s="253"/>
      <c r="L1495" s="255"/>
      <c r="N1495" s="293"/>
      <c r="P1495" s="41"/>
    </row>
    <row r="1496" spans="2:16" ht="16.5" customHeight="1" x14ac:dyDescent="0.35">
      <c r="B1496" s="253"/>
      <c r="D1496" s="255"/>
      <c r="F1496" s="303"/>
      <c r="H1496" s="41"/>
      <c r="J1496" s="253"/>
      <c r="L1496" s="255"/>
      <c r="N1496" s="293"/>
      <c r="P1496" s="41"/>
    </row>
    <row r="1497" spans="2:16" ht="16.5" customHeight="1" x14ac:dyDescent="0.35">
      <c r="B1497" s="253"/>
      <c r="D1497" s="255"/>
      <c r="F1497" s="303"/>
      <c r="H1497" s="41"/>
      <c r="J1497" s="253"/>
      <c r="L1497" s="255"/>
      <c r="N1497" s="293"/>
      <c r="P1497" s="41"/>
    </row>
    <row r="1498" spans="2:16" ht="16.5" customHeight="1" x14ac:dyDescent="0.35">
      <c r="B1498" s="253"/>
      <c r="D1498" s="255"/>
      <c r="F1498" s="303"/>
      <c r="H1498" s="41"/>
      <c r="J1498" s="253"/>
      <c r="L1498" s="255"/>
      <c r="N1498" s="293"/>
      <c r="P1498" s="41"/>
    </row>
    <row r="1499" spans="2:16" ht="16.5" customHeight="1" x14ac:dyDescent="0.35">
      <c r="B1499" s="253"/>
      <c r="D1499" s="255"/>
      <c r="F1499" s="303"/>
      <c r="H1499" s="41"/>
      <c r="J1499" s="253"/>
      <c r="L1499" s="255"/>
      <c r="N1499" s="293"/>
      <c r="P1499" s="41"/>
    </row>
    <row r="1500" spans="2:16" ht="16.5" customHeight="1" x14ac:dyDescent="0.35">
      <c r="B1500" s="253"/>
      <c r="D1500" s="255"/>
      <c r="F1500" s="303"/>
      <c r="H1500" s="41"/>
      <c r="J1500" s="253"/>
      <c r="L1500" s="255"/>
      <c r="N1500" s="293"/>
      <c r="P1500" s="41"/>
    </row>
    <row r="1501" spans="2:16" ht="16.5" customHeight="1" x14ac:dyDescent="0.35">
      <c r="B1501" s="253"/>
      <c r="D1501" s="255"/>
      <c r="F1501" s="303"/>
      <c r="H1501" s="41"/>
      <c r="J1501" s="253"/>
      <c r="L1501" s="255"/>
      <c r="N1501" s="293"/>
      <c r="P1501" s="41"/>
    </row>
    <row r="1502" spans="2:16" ht="16.5" customHeight="1" x14ac:dyDescent="0.35">
      <c r="B1502" s="253"/>
      <c r="D1502" s="255"/>
      <c r="F1502" s="303"/>
      <c r="H1502" s="41"/>
      <c r="J1502" s="253"/>
      <c r="L1502" s="255"/>
      <c r="N1502" s="293"/>
      <c r="P1502" s="41"/>
    </row>
    <row r="1503" spans="2:16" ht="16.5" customHeight="1" x14ac:dyDescent="0.35">
      <c r="B1503" s="253"/>
      <c r="D1503" s="255"/>
      <c r="F1503" s="303"/>
      <c r="H1503" s="41"/>
      <c r="J1503" s="253"/>
      <c r="L1503" s="255"/>
      <c r="N1503" s="293"/>
      <c r="P1503" s="41"/>
    </row>
    <row r="1504" spans="2:16" ht="16.5" customHeight="1" x14ac:dyDescent="0.35">
      <c r="B1504" s="253"/>
      <c r="D1504" s="255"/>
      <c r="F1504" s="303"/>
      <c r="H1504" s="41"/>
      <c r="J1504" s="253"/>
      <c r="L1504" s="255"/>
      <c r="N1504" s="293"/>
      <c r="P1504" s="41"/>
    </row>
    <row r="1505" spans="2:16" ht="16.5" customHeight="1" x14ac:dyDescent="0.35">
      <c r="B1505" s="253"/>
      <c r="D1505" s="255"/>
      <c r="F1505" s="303"/>
      <c r="H1505" s="41"/>
      <c r="J1505" s="253"/>
      <c r="L1505" s="255"/>
      <c r="N1505" s="293"/>
      <c r="P1505" s="41"/>
    </row>
    <row r="1506" spans="2:16" ht="16.5" customHeight="1" x14ac:dyDescent="0.35">
      <c r="B1506" s="253"/>
      <c r="D1506" s="255"/>
      <c r="F1506" s="303"/>
      <c r="H1506" s="41"/>
      <c r="J1506" s="253"/>
      <c r="L1506" s="255"/>
      <c r="N1506" s="293"/>
      <c r="P1506" s="41"/>
    </row>
    <row r="1507" spans="2:16" ht="16.5" customHeight="1" x14ac:dyDescent="0.35">
      <c r="B1507" s="253"/>
      <c r="D1507" s="255"/>
      <c r="F1507" s="303"/>
      <c r="H1507" s="41"/>
      <c r="J1507" s="253"/>
      <c r="L1507" s="255"/>
      <c r="N1507" s="293"/>
      <c r="P1507" s="41"/>
    </row>
    <row r="1508" spans="2:16" ht="16.5" customHeight="1" x14ac:dyDescent="0.35">
      <c r="B1508" s="253"/>
      <c r="D1508" s="255"/>
      <c r="F1508" s="303"/>
      <c r="H1508" s="41"/>
      <c r="J1508" s="253"/>
      <c r="L1508" s="255"/>
      <c r="N1508" s="293"/>
      <c r="P1508" s="41"/>
    </row>
    <row r="1509" spans="2:16" ht="16.5" customHeight="1" x14ac:dyDescent="0.35">
      <c r="B1509" s="253"/>
      <c r="D1509" s="255"/>
      <c r="F1509" s="303"/>
      <c r="H1509" s="41"/>
      <c r="J1509" s="253"/>
      <c r="L1509" s="255"/>
      <c r="N1509" s="293"/>
      <c r="P1509" s="41"/>
    </row>
    <row r="1510" spans="2:16" ht="16.5" customHeight="1" x14ac:dyDescent="0.35">
      <c r="B1510" s="253"/>
      <c r="D1510" s="255"/>
      <c r="F1510" s="303"/>
      <c r="H1510" s="41"/>
      <c r="J1510" s="253"/>
      <c r="L1510" s="255"/>
      <c r="N1510" s="293"/>
      <c r="P1510" s="41"/>
    </row>
    <row r="1511" spans="2:16" ht="16.5" customHeight="1" x14ac:dyDescent="0.35">
      <c r="B1511" s="253"/>
      <c r="D1511" s="255"/>
      <c r="F1511" s="303"/>
      <c r="H1511" s="41"/>
      <c r="J1511" s="253"/>
      <c r="L1511" s="255"/>
      <c r="N1511" s="293"/>
      <c r="P1511" s="41"/>
    </row>
    <row r="1512" spans="2:16" ht="16.5" customHeight="1" x14ac:dyDescent="0.35">
      <c r="B1512" s="253"/>
      <c r="D1512" s="255"/>
      <c r="F1512" s="303"/>
      <c r="H1512" s="41"/>
      <c r="J1512" s="253"/>
      <c r="L1512" s="255"/>
      <c r="N1512" s="293"/>
      <c r="P1512" s="41"/>
    </row>
    <row r="1513" spans="2:16" ht="16.5" customHeight="1" x14ac:dyDescent="0.35">
      <c r="B1513" s="253"/>
      <c r="D1513" s="255"/>
      <c r="F1513" s="303"/>
      <c r="H1513" s="41"/>
      <c r="J1513" s="253"/>
      <c r="L1513" s="255"/>
      <c r="N1513" s="293"/>
      <c r="P1513" s="41"/>
    </row>
    <row r="1514" spans="2:16" ht="16.5" customHeight="1" x14ac:dyDescent="0.35">
      <c r="B1514" s="253"/>
      <c r="D1514" s="255"/>
      <c r="F1514" s="303"/>
      <c r="H1514" s="41"/>
      <c r="J1514" s="253"/>
      <c r="L1514" s="255"/>
      <c r="N1514" s="293"/>
      <c r="P1514" s="41"/>
    </row>
    <row r="1515" spans="2:16" ht="16.5" customHeight="1" x14ac:dyDescent="0.35">
      <c r="B1515" s="253"/>
      <c r="D1515" s="255"/>
      <c r="F1515" s="303"/>
      <c r="H1515" s="41"/>
      <c r="J1515" s="253"/>
      <c r="L1515" s="255"/>
      <c r="N1515" s="293"/>
      <c r="P1515" s="41"/>
    </row>
    <row r="1516" spans="2:16" ht="16.5" customHeight="1" x14ac:dyDescent="0.35">
      <c r="B1516" s="253"/>
      <c r="D1516" s="255"/>
      <c r="F1516" s="303"/>
      <c r="H1516" s="41"/>
      <c r="J1516" s="253"/>
      <c r="L1516" s="255"/>
      <c r="N1516" s="293"/>
      <c r="P1516" s="41"/>
    </row>
    <row r="1517" spans="2:16" ht="16.5" customHeight="1" x14ac:dyDescent="0.35">
      <c r="B1517" s="253"/>
      <c r="D1517" s="255"/>
      <c r="F1517" s="303"/>
      <c r="H1517" s="41"/>
      <c r="J1517" s="253"/>
      <c r="L1517" s="255"/>
      <c r="N1517" s="293"/>
      <c r="P1517" s="41"/>
    </row>
    <row r="1518" spans="2:16" ht="16.5" customHeight="1" x14ac:dyDescent="0.35">
      <c r="B1518" s="253"/>
      <c r="D1518" s="255"/>
      <c r="F1518" s="303"/>
      <c r="H1518" s="41"/>
      <c r="J1518" s="253"/>
      <c r="L1518" s="255"/>
      <c r="N1518" s="293"/>
      <c r="P1518" s="41"/>
    </row>
    <row r="1519" spans="2:16" ht="16.5" customHeight="1" x14ac:dyDescent="0.35">
      <c r="B1519" s="253"/>
      <c r="D1519" s="255"/>
      <c r="F1519" s="303"/>
      <c r="H1519" s="41"/>
      <c r="J1519" s="253"/>
      <c r="L1519" s="255"/>
      <c r="N1519" s="293"/>
      <c r="P1519" s="41"/>
    </row>
    <row r="1520" spans="2:16" ht="16.5" customHeight="1" x14ac:dyDescent="0.35">
      <c r="B1520" s="253"/>
      <c r="D1520" s="255"/>
      <c r="F1520" s="303"/>
      <c r="H1520" s="41"/>
      <c r="J1520" s="253"/>
      <c r="L1520" s="255"/>
      <c r="N1520" s="293"/>
      <c r="P1520" s="41"/>
    </row>
    <row r="1521" spans="2:16" ht="16.5" customHeight="1" x14ac:dyDescent="0.35">
      <c r="B1521" s="253"/>
      <c r="D1521" s="255"/>
      <c r="F1521" s="303"/>
      <c r="H1521" s="41"/>
      <c r="J1521" s="253"/>
      <c r="L1521" s="255"/>
      <c r="N1521" s="293"/>
      <c r="P1521" s="41"/>
    </row>
    <row r="1522" spans="2:16" ht="16.5" customHeight="1" x14ac:dyDescent="0.35">
      <c r="B1522" s="253"/>
      <c r="D1522" s="255"/>
      <c r="F1522" s="303"/>
      <c r="H1522" s="41"/>
      <c r="J1522" s="253"/>
      <c r="L1522" s="255"/>
      <c r="N1522" s="293"/>
      <c r="P1522" s="41"/>
    </row>
    <row r="1523" spans="2:16" ht="16.5" customHeight="1" x14ac:dyDescent="0.35">
      <c r="B1523" s="253"/>
      <c r="D1523" s="255"/>
      <c r="F1523" s="303"/>
      <c r="H1523" s="41"/>
      <c r="J1523" s="253"/>
      <c r="L1523" s="255"/>
      <c r="N1523" s="293"/>
      <c r="P1523" s="41"/>
    </row>
    <row r="1524" spans="2:16" ht="16.5" customHeight="1" x14ac:dyDescent="0.35">
      <c r="B1524" s="253"/>
      <c r="D1524" s="255"/>
      <c r="F1524" s="303"/>
      <c r="H1524" s="41"/>
      <c r="J1524" s="253"/>
      <c r="L1524" s="255"/>
      <c r="N1524" s="293"/>
      <c r="P1524" s="41"/>
    </row>
    <row r="1525" spans="2:16" ht="16.5" customHeight="1" x14ac:dyDescent="0.35">
      <c r="B1525" s="253"/>
      <c r="D1525" s="255"/>
      <c r="F1525" s="303"/>
      <c r="H1525" s="41"/>
      <c r="J1525" s="253"/>
      <c r="L1525" s="255"/>
      <c r="N1525" s="293"/>
      <c r="P1525" s="41"/>
    </row>
    <row r="1526" spans="2:16" ht="16.5" customHeight="1" x14ac:dyDescent="0.35">
      <c r="B1526" s="253"/>
      <c r="D1526" s="255"/>
      <c r="F1526" s="303"/>
      <c r="H1526" s="41"/>
      <c r="J1526" s="253"/>
      <c r="L1526" s="255"/>
      <c r="N1526" s="293"/>
      <c r="P1526" s="41"/>
    </row>
    <row r="1527" spans="2:16" ht="16.5" customHeight="1" x14ac:dyDescent="0.35">
      <c r="B1527" s="253"/>
      <c r="D1527" s="255"/>
      <c r="F1527" s="303"/>
      <c r="H1527" s="41"/>
      <c r="J1527" s="253"/>
      <c r="L1527" s="255"/>
      <c r="N1527" s="293"/>
      <c r="P1527" s="41"/>
    </row>
    <row r="1528" spans="2:16" ht="16.5" customHeight="1" x14ac:dyDescent="0.35">
      <c r="B1528" s="253"/>
      <c r="D1528" s="255"/>
      <c r="F1528" s="303"/>
      <c r="H1528" s="41"/>
      <c r="J1528" s="253"/>
      <c r="L1528" s="255"/>
      <c r="N1528" s="293"/>
      <c r="P1528" s="41"/>
    </row>
    <row r="1529" spans="2:16" ht="16.5" customHeight="1" x14ac:dyDescent="0.35">
      <c r="B1529" s="253"/>
      <c r="D1529" s="255"/>
      <c r="F1529" s="303"/>
      <c r="H1529" s="41"/>
      <c r="J1529" s="253"/>
      <c r="L1529" s="255"/>
      <c r="N1529" s="293"/>
      <c r="P1529" s="41"/>
    </row>
    <row r="1530" spans="2:16" ht="16.5" customHeight="1" x14ac:dyDescent="0.35">
      <c r="B1530" s="253"/>
      <c r="D1530" s="255"/>
      <c r="F1530" s="303"/>
      <c r="H1530" s="41"/>
      <c r="J1530" s="253"/>
      <c r="L1530" s="255"/>
      <c r="N1530" s="293"/>
      <c r="P1530" s="41"/>
    </row>
    <row r="1531" spans="2:16" ht="16.5" customHeight="1" x14ac:dyDescent="0.35">
      <c r="B1531" s="253"/>
      <c r="D1531" s="255"/>
      <c r="F1531" s="303"/>
      <c r="H1531" s="41"/>
      <c r="J1531" s="253"/>
      <c r="L1531" s="255"/>
      <c r="N1531" s="293"/>
      <c r="P1531" s="41"/>
    </row>
    <row r="1532" spans="2:16" ht="16.5" customHeight="1" x14ac:dyDescent="0.35">
      <c r="B1532" s="253"/>
      <c r="D1532" s="255"/>
      <c r="F1532" s="303"/>
      <c r="H1532" s="41"/>
      <c r="J1532" s="253"/>
      <c r="L1532" s="255"/>
      <c r="N1532" s="293"/>
      <c r="P1532" s="41"/>
    </row>
    <row r="1533" spans="2:16" ht="16.5" customHeight="1" x14ac:dyDescent="0.35">
      <c r="B1533" s="253"/>
      <c r="D1533" s="255"/>
      <c r="F1533" s="303"/>
      <c r="H1533" s="41"/>
      <c r="J1533" s="253"/>
      <c r="L1533" s="255"/>
      <c r="N1533" s="293"/>
      <c r="P1533" s="41"/>
    </row>
    <row r="1534" spans="2:16" ht="16.5" customHeight="1" x14ac:dyDescent="0.35">
      <c r="B1534" s="253"/>
      <c r="D1534" s="255"/>
      <c r="F1534" s="303"/>
      <c r="H1534" s="41"/>
      <c r="J1534" s="253"/>
      <c r="L1534" s="255"/>
      <c r="N1534" s="293"/>
      <c r="P1534" s="41"/>
    </row>
    <row r="1535" spans="2:16" ht="16.5" customHeight="1" x14ac:dyDescent="0.35">
      <c r="B1535" s="253"/>
      <c r="D1535" s="255"/>
      <c r="F1535" s="303"/>
      <c r="H1535" s="41"/>
      <c r="J1535" s="253"/>
      <c r="L1535" s="255"/>
      <c r="N1535" s="293"/>
      <c r="P1535" s="41"/>
    </row>
    <row r="1536" spans="2:16" ht="16.5" customHeight="1" x14ac:dyDescent="0.35">
      <c r="B1536" s="253"/>
      <c r="D1536" s="255"/>
      <c r="F1536" s="303"/>
      <c r="H1536" s="41"/>
      <c r="J1536" s="253"/>
      <c r="L1536" s="255"/>
      <c r="N1536" s="293"/>
      <c r="P1536" s="41"/>
    </row>
    <row r="1537" spans="2:16" ht="16.5" customHeight="1" x14ac:dyDescent="0.35">
      <c r="B1537" s="253"/>
      <c r="D1537" s="255"/>
      <c r="F1537" s="303"/>
      <c r="H1537" s="41"/>
      <c r="J1537" s="253"/>
      <c r="L1537" s="255"/>
      <c r="N1537" s="293"/>
      <c r="P1537" s="41"/>
    </row>
    <row r="1538" spans="2:16" ht="16.5" customHeight="1" x14ac:dyDescent="0.35">
      <c r="B1538" s="253"/>
      <c r="D1538" s="255"/>
      <c r="F1538" s="303"/>
      <c r="H1538" s="41"/>
      <c r="J1538" s="253"/>
      <c r="L1538" s="255"/>
      <c r="N1538" s="293"/>
      <c r="P1538" s="41"/>
    </row>
    <row r="1539" spans="2:16" ht="16.5" customHeight="1" x14ac:dyDescent="0.35">
      <c r="B1539" s="253"/>
      <c r="D1539" s="255"/>
      <c r="F1539" s="303"/>
      <c r="H1539" s="41"/>
      <c r="J1539" s="253"/>
      <c r="L1539" s="255"/>
      <c r="N1539" s="293"/>
      <c r="P1539" s="41"/>
    </row>
    <row r="1540" spans="2:16" ht="16.5" customHeight="1" x14ac:dyDescent="0.35">
      <c r="B1540" s="253"/>
      <c r="D1540" s="255"/>
      <c r="F1540" s="303"/>
      <c r="H1540" s="41"/>
      <c r="J1540" s="253"/>
      <c r="L1540" s="255"/>
      <c r="N1540" s="293"/>
      <c r="P1540" s="41"/>
    </row>
    <row r="1541" spans="2:16" ht="16.5" customHeight="1" x14ac:dyDescent="0.35">
      <c r="B1541" s="253"/>
      <c r="D1541" s="255"/>
      <c r="F1541" s="303"/>
      <c r="H1541" s="41"/>
      <c r="J1541" s="253"/>
      <c r="L1541" s="255"/>
      <c r="N1541" s="293"/>
      <c r="P1541" s="41"/>
    </row>
    <row r="1542" spans="2:16" ht="16.5" customHeight="1" x14ac:dyDescent="0.35">
      <c r="B1542" s="253"/>
      <c r="D1542" s="255"/>
      <c r="F1542" s="303"/>
      <c r="H1542" s="41"/>
      <c r="J1542" s="253"/>
      <c r="L1542" s="255"/>
      <c r="N1542" s="293"/>
      <c r="P1542" s="41"/>
    </row>
    <row r="1543" spans="2:16" ht="16.5" customHeight="1" x14ac:dyDescent="0.35">
      <c r="B1543" s="253"/>
      <c r="D1543" s="255"/>
      <c r="F1543" s="303"/>
      <c r="H1543" s="41"/>
      <c r="J1543" s="253"/>
      <c r="L1543" s="255"/>
      <c r="N1543" s="293"/>
      <c r="P1543" s="41"/>
    </row>
    <row r="1544" spans="2:16" ht="16.5" customHeight="1" x14ac:dyDescent="0.35">
      <c r="B1544" s="253"/>
      <c r="D1544" s="255"/>
      <c r="F1544" s="303"/>
      <c r="H1544" s="41"/>
      <c r="J1544" s="253"/>
      <c r="L1544" s="255"/>
      <c r="N1544" s="293"/>
      <c r="P1544" s="41"/>
    </row>
    <row r="1545" spans="2:16" ht="16.5" customHeight="1" x14ac:dyDescent="0.35">
      <c r="B1545" s="253"/>
      <c r="D1545" s="255"/>
      <c r="F1545" s="303"/>
      <c r="H1545" s="41"/>
      <c r="J1545" s="253"/>
      <c r="L1545" s="255"/>
      <c r="N1545" s="293"/>
      <c r="P1545" s="41"/>
    </row>
    <row r="1546" spans="2:16" ht="16.5" customHeight="1" x14ac:dyDescent="0.35">
      <c r="B1546" s="253"/>
      <c r="D1546" s="255"/>
      <c r="F1546" s="303"/>
      <c r="H1546" s="41"/>
      <c r="J1546" s="253"/>
      <c r="L1546" s="255"/>
      <c r="N1546" s="293"/>
      <c r="P1546" s="41"/>
    </row>
    <row r="1547" spans="2:16" ht="16.5" customHeight="1" x14ac:dyDescent="0.35">
      <c r="B1547" s="253"/>
      <c r="D1547" s="255"/>
      <c r="F1547" s="303"/>
      <c r="H1547" s="41"/>
      <c r="J1547" s="253"/>
      <c r="L1547" s="255"/>
      <c r="N1547" s="293"/>
      <c r="P1547" s="41"/>
    </row>
    <row r="1548" spans="2:16" ht="16.5" customHeight="1" x14ac:dyDescent="0.35">
      <c r="B1548" s="253"/>
      <c r="D1548" s="255"/>
      <c r="F1548" s="303"/>
      <c r="H1548" s="41"/>
      <c r="J1548" s="253"/>
      <c r="L1548" s="255"/>
      <c r="N1548" s="293"/>
      <c r="P1548" s="41"/>
    </row>
    <row r="1549" spans="2:16" ht="16.5" customHeight="1" x14ac:dyDescent="0.35">
      <c r="B1549" s="253"/>
      <c r="D1549" s="255"/>
      <c r="F1549" s="303"/>
      <c r="H1549" s="41"/>
      <c r="J1549" s="253"/>
      <c r="L1549" s="255"/>
      <c r="N1549" s="293"/>
      <c r="P1549" s="41"/>
    </row>
    <row r="1550" spans="2:16" ht="16.5" customHeight="1" x14ac:dyDescent="0.35">
      <c r="B1550" s="253"/>
      <c r="D1550" s="255"/>
      <c r="F1550" s="303"/>
      <c r="H1550" s="41"/>
      <c r="J1550" s="253"/>
      <c r="L1550" s="255"/>
      <c r="N1550" s="293"/>
      <c r="P1550" s="41"/>
    </row>
    <row r="1551" spans="2:16" ht="16.5" customHeight="1" x14ac:dyDescent="0.35">
      <c r="B1551" s="253"/>
      <c r="D1551" s="255"/>
      <c r="F1551" s="303"/>
      <c r="H1551" s="41"/>
      <c r="J1551" s="253"/>
      <c r="L1551" s="255"/>
      <c r="N1551" s="293"/>
      <c r="P1551" s="41"/>
    </row>
    <row r="1552" spans="2:16" ht="16.5" customHeight="1" x14ac:dyDescent="0.35">
      <c r="B1552" s="253"/>
      <c r="D1552" s="255"/>
      <c r="F1552" s="303"/>
      <c r="H1552" s="41"/>
      <c r="J1552" s="253"/>
      <c r="L1552" s="255"/>
      <c r="N1552" s="293"/>
      <c r="P1552" s="41"/>
    </row>
    <row r="1553" spans="2:16" ht="16.5" customHeight="1" x14ac:dyDescent="0.35">
      <c r="B1553" s="253"/>
      <c r="D1553" s="255"/>
      <c r="F1553" s="303"/>
      <c r="H1553" s="41"/>
      <c r="J1553" s="253"/>
      <c r="L1553" s="255"/>
      <c r="N1553" s="293"/>
      <c r="P1553" s="41"/>
    </row>
    <row r="1554" spans="2:16" ht="16.5" customHeight="1" x14ac:dyDescent="0.35">
      <c r="B1554" s="253"/>
      <c r="D1554" s="255"/>
      <c r="F1554" s="303"/>
      <c r="H1554" s="41"/>
      <c r="J1554" s="253"/>
      <c r="L1554" s="255"/>
      <c r="N1554" s="293"/>
      <c r="P1554" s="41"/>
    </row>
    <row r="1555" spans="2:16" ht="16.5" customHeight="1" x14ac:dyDescent="0.35">
      <c r="B1555" s="253"/>
      <c r="D1555" s="255"/>
      <c r="F1555" s="303"/>
      <c r="H1555" s="41"/>
      <c r="J1555" s="253"/>
      <c r="L1555" s="255"/>
      <c r="N1555" s="293"/>
      <c r="P1555" s="41"/>
    </row>
    <row r="1556" spans="2:16" ht="16.5" customHeight="1" x14ac:dyDescent="0.35">
      <c r="B1556" s="253"/>
      <c r="D1556" s="255"/>
      <c r="F1556" s="303"/>
      <c r="H1556" s="41"/>
      <c r="J1556" s="253"/>
      <c r="L1556" s="255"/>
      <c r="N1556" s="293"/>
      <c r="P1556" s="41"/>
    </row>
    <row r="1557" spans="2:16" ht="16.5" customHeight="1" x14ac:dyDescent="0.35">
      <c r="B1557" s="253"/>
      <c r="D1557" s="255"/>
      <c r="F1557" s="303"/>
      <c r="H1557" s="41"/>
      <c r="J1557" s="253"/>
      <c r="L1557" s="255"/>
      <c r="N1557" s="293"/>
      <c r="P1557" s="41"/>
    </row>
    <row r="1558" spans="2:16" ht="16.5" customHeight="1" x14ac:dyDescent="0.35">
      <c r="B1558" s="253"/>
      <c r="D1558" s="255"/>
      <c r="F1558" s="303"/>
      <c r="H1558" s="41"/>
      <c r="J1558" s="253"/>
      <c r="L1558" s="255"/>
      <c r="N1558" s="293"/>
      <c r="P1558" s="41"/>
    </row>
    <row r="1559" spans="2:16" ht="16.5" customHeight="1" x14ac:dyDescent="0.35">
      <c r="B1559" s="253"/>
      <c r="D1559" s="255"/>
      <c r="F1559" s="303"/>
      <c r="H1559" s="41"/>
      <c r="J1559" s="253"/>
      <c r="L1559" s="255"/>
      <c r="N1559" s="293"/>
      <c r="P1559" s="41"/>
    </row>
    <row r="1560" spans="2:16" ht="16.5" customHeight="1" x14ac:dyDescent="0.35">
      <c r="B1560" s="253"/>
      <c r="D1560" s="255"/>
      <c r="F1560" s="303"/>
      <c r="H1560" s="41"/>
      <c r="J1560" s="253"/>
      <c r="L1560" s="255"/>
      <c r="N1560" s="293"/>
      <c r="P1560" s="41"/>
    </row>
    <row r="1561" spans="2:16" ht="16.5" customHeight="1" x14ac:dyDescent="0.35">
      <c r="B1561" s="253"/>
      <c r="D1561" s="255"/>
      <c r="F1561" s="303"/>
      <c r="H1561" s="41"/>
      <c r="J1561" s="253"/>
      <c r="L1561" s="255"/>
      <c r="N1561" s="293"/>
      <c r="P1561" s="41"/>
    </row>
    <row r="1562" spans="2:16" ht="16.5" customHeight="1" x14ac:dyDescent="0.35">
      <c r="B1562" s="253"/>
      <c r="D1562" s="255"/>
      <c r="F1562" s="303"/>
      <c r="H1562" s="41"/>
      <c r="J1562" s="253"/>
      <c r="L1562" s="255"/>
      <c r="N1562" s="293"/>
      <c r="P1562" s="41"/>
    </row>
    <row r="1563" spans="2:16" ht="16.5" customHeight="1" x14ac:dyDescent="0.35">
      <c r="B1563" s="253"/>
      <c r="D1563" s="255"/>
      <c r="F1563" s="303"/>
      <c r="H1563" s="41"/>
      <c r="J1563" s="253"/>
      <c r="L1563" s="255"/>
      <c r="N1563" s="293"/>
      <c r="P1563" s="41"/>
    </row>
    <row r="1564" spans="2:16" ht="16.5" customHeight="1" x14ac:dyDescent="0.35">
      <c r="B1564" s="253"/>
      <c r="D1564" s="255"/>
      <c r="F1564" s="303"/>
      <c r="H1564" s="41"/>
      <c r="J1564" s="253"/>
      <c r="L1564" s="255"/>
      <c r="N1564" s="293"/>
      <c r="P1564" s="41"/>
    </row>
    <row r="1565" spans="2:16" ht="16.5" customHeight="1" x14ac:dyDescent="0.35">
      <c r="B1565" s="253"/>
      <c r="D1565" s="255"/>
      <c r="F1565" s="303"/>
      <c r="H1565" s="41"/>
      <c r="J1565" s="253"/>
      <c r="L1565" s="255"/>
      <c r="N1565" s="293"/>
      <c r="P1565" s="41"/>
    </row>
    <row r="1566" spans="2:16" ht="16.5" customHeight="1" x14ac:dyDescent="0.35">
      <c r="B1566" s="253"/>
      <c r="D1566" s="255"/>
      <c r="F1566" s="303"/>
      <c r="H1566" s="41"/>
      <c r="J1566" s="253"/>
      <c r="L1566" s="255"/>
      <c r="N1566" s="293"/>
      <c r="P1566" s="41"/>
    </row>
    <row r="1567" spans="2:16" ht="16.5" customHeight="1" x14ac:dyDescent="0.35">
      <c r="B1567" s="253"/>
      <c r="D1567" s="255"/>
      <c r="F1567" s="303"/>
      <c r="H1567" s="41"/>
      <c r="J1567" s="253"/>
      <c r="L1567" s="255"/>
      <c r="N1567" s="293"/>
      <c r="P1567" s="41"/>
    </row>
    <row r="1568" spans="2:16" ht="16.5" customHeight="1" x14ac:dyDescent="0.35">
      <c r="B1568" s="253"/>
      <c r="D1568" s="255"/>
      <c r="F1568" s="303"/>
      <c r="H1568" s="41"/>
      <c r="J1568" s="253"/>
      <c r="L1568" s="255"/>
      <c r="N1568" s="293"/>
      <c r="P1568" s="41"/>
    </row>
    <row r="1569" spans="2:16" ht="16.5" customHeight="1" x14ac:dyDescent="0.35">
      <c r="B1569" s="253"/>
      <c r="D1569" s="255"/>
      <c r="F1569" s="303"/>
      <c r="H1569" s="41"/>
      <c r="J1569" s="253"/>
      <c r="L1569" s="255"/>
      <c r="N1569" s="293"/>
      <c r="P1569" s="41"/>
    </row>
    <row r="1570" spans="2:16" ht="16.5" customHeight="1" x14ac:dyDescent="0.35">
      <c r="B1570" s="253"/>
      <c r="D1570" s="255"/>
      <c r="F1570" s="303"/>
      <c r="H1570" s="41"/>
      <c r="J1570" s="253"/>
      <c r="L1570" s="255"/>
      <c r="N1570" s="293"/>
      <c r="P1570" s="41"/>
    </row>
    <row r="1571" spans="2:16" ht="16.5" customHeight="1" x14ac:dyDescent="0.35">
      <c r="B1571" s="253"/>
      <c r="D1571" s="255"/>
      <c r="F1571" s="303"/>
      <c r="H1571" s="41"/>
      <c r="J1571" s="253"/>
      <c r="L1571" s="255"/>
      <c r="N1571" s="293"/>
      <c r="P1571" s="41"/>
    </row>
    <row r="1572" spans="2:16" ht="16.5" customHeight="1" x14ac:dyDescent="0.35">
      <c r="B1572" s="253"/>
      <c r="D1572" s="255"/>
      <c r="F1572" s="303"/>
      <c r="H1572" s="41"/>
      <c r="J1572" s="253"/>
      <c r="L1572" s="255"/>
      <c r="N1572" s="293"/>
      <c r="P1572" s="41"/>
    </row>
    <row r="1573" spans="2:16" ht="16.5" customHeight="1" x14ac:dyDescent="0.35">
      <c r="B1573" s="253"/>
      <c r="D1573" s="255"/>
      <c r="F1573" s="303"/>
      <c r="H1573" s="41"/>
      <c r="J1573" s="253"/>
      <c r="L1573" s="255"/>
      <c r="N1573" s="293"/>
      <c r="P1573" s="41"/>
    </row>
    <row r="1574" spans="2:16" ht="16.5" customHeight="1" x14ac:dyDescent="0.35">
      <c r="B1574" s="253"/>
      <c r="D1574" s="255"/>
      <c r="F1574" s="303"/>
      <c r="H1574" s="41"/>
      <c r="J1574" s="253"/>
      <c r="L1574" s="255"/>
      <c r="N1574" s="293"/>
      <c r="P1574" s="41"/>
    </row>
    <row r="1575" spans="2:16" ht="16.5" customHeight="1" x14ac:dyDescent="0.35">
      <c r="B1575" s="253"/>
      <c r="D1575" s="255"/>
      <c r="F1575" s="303"/>
      <c r="H1575" s="41"/>
      <c r="J1575" s="253"/>
      <c r="L1575" s="255"/>
      <c r="N1575" s="293"/>
      <c r="P1575" s="41"/>
    </row>
    <row r="1576" spans="2:16" ht="16.5" customHeight="1" x14ac:dyDescent="0.35">
      <c r="B1576" s="253"/>
      <c r="D1576" s="255"/>
      <c r="F1576" s="303"/>
      <c r="H1576" s="41"/>
      <c r="J1576" s="253"/>
      <c r="L1576" s="255"/>
      <c r="N1576" s="293"/>
      <c r="P1576" s="41"/>
    </row>
    <row r="1577" spans="2:16" ht="16.5" customHeight="1" x14ac:dyDescent="0.35">
      <c r="B1577" s="253"/>
      <c r="D1577" s="255"/>
      <c r="F1577" s="303"/>
      <c r="H1577" s="41"/>
      <c r="J1577" s="253"/>
      <c r="L1577" s="255"/>
      <c r="N1577" s="293"/>
      <c r="P1577" s="41"/>
    </row>
    <row r="1578" spans="2:16" ht="16.5" customHeight="1" x14ac:dyDescent="0.35">
      <c r="B1578" s="253"/>
      <c r="D1578" s="255"/>
      <c r="F1578" s="303"/>
      <c r="H1578" s="41"/>
      <c r="J1578" s="253"/>
      <c r="L1578" s="255"/>
      <c r="N1578" s="293"/>
      <c r="P1578" s="41"/>
    </row>
    <row r="1579" spans="2:16" ht="16.5" customHeight="1" x14ac:dyDescent="0.35">
      <c r="B1579" s="253"/>
      <c r="D1579" s="255"/>
      <c r="F1579" s="303"/>
      <c r="H1579" s="41"/>
      <c r="J1579" s="253"/>
      <c r="L1579" s="255"/>
      <c r="N1579" s="293"/>
      <c r="P1579" s="41"/>
    </row>
    <row r="1580" spans="2:16" ht="16.5" customHeight="1" x14ac:dyDescent="0.35">
      <c r="B1580" s="253"/>
      <c r="D1580" s="255"/>
      <c r="F1580" s="303"/>
      <c r="H1580" s="41"/>
      <c r="J1580" s="253"/>
      <c r="L1580" s="255"/>
      <c r="N1580" s="293"/>
      <c r="P1580" s="41"/>
    </row>
    <row r="1581" spans="2:16" ht="16.5" customHeight="1" x14ac:dyDescent="0.35">
      <c r="B1581" s="253"/>
      <c r="D1581" s="255"/>
      <c r="F1581" s="303"/>
      <c r="H1581" s="41"/>
      <c r="J1581" s="253"/>
      <c r="L1581" s="255"/>
      <c r="N1581" s="293"/>
      <c r="P1581" s="41"/>
    </row>
    <row r="1582" spans="2:16" ht="16.5" customHeight="1" x14ac:dyDescent="0.35">
      <c r="B1582" s="253"/>
      <c r="D1582" s="255"/>
      <c r="F1582" s="303"/>
      <c r="H1582" s="41"/>
      <c r="J1582" s="253"/>
      <c r="L1582" s="255"/>
      <c r="N1582" s="293"/>
      <c r="P1582" s="41"/>
    </row>
    <row r="1583" spans="2:16" ht="16.5" customHeight="1" x14ac:dyDescent="0.35">
      <c r="B1583" s="253"/>
      <c r="D1583" s="255"/>
      <c r="F1583" s="303"/>
      <c r="H1583" s="41"/>
      <c r="J1583" s="253"/>
      <c r="L1583" s="255"/>
      <c r="N1583" s="293"/>
      <c r="P1583" s="41"/>
    </row>
    <row r="1584" spans="2:16" ht="16.5" customHeight="1" x14ac:dyDescent="0.35">
      <c r="B1584" s="253"/>
      <c r="D1584" s="255"/>
      <c r="F1584" s="303"/>
      <c r="H1584" s="41"/>
      <c r="J1584" s="253"/>
      <c r="L1584" s="255"/>
      <c r="N1584" s="293"/>
      <c r="P1584" s="41"/>
    </row>
    <row r="1585" spans="2:16" ht="16.5" customHeight="1" x14ac:dyDescent="0.35">
      <c r="B1585" s="253"/>
      <c r="D1585" s="255"/>
      <c r="F1585" s="303"/>
      <c r="H1585" s="41"/>
      <c r="J1585" s="253"/>
      <c r="L1585" s="255"/>
      <c r="N1585" s="293"/>
      <c r="P1585" s="41"/>
    </row>
    <row r="1586" spans="2:16" ht="16.5" customHeight="1" x14ac:dyDescent="0.35">
      <c r="B1586" s="253"/>
      <c r="D1586" s="255"/>
      <c r="F1586" s="303"/>
      <c r="H1586" s="41"/>
      <c r="J1586" s="253"/>
      <c r="L1586" s="255"/>
      <c r="N1586" s="293"/>
      <c r="P1586" s="41"/>
    </row>
    <row r="1587" spans="2:16" ht="16.5" customHeight="1" x14ac:dyDescent="0.35">
      <c r="B1587" s="253"/>
      <c r="D1587" s="255"/>
      <c r="F1587" s="303"/>
      <c r="H1587" s="41"/>
      <c r="J1587" s="253"/>
      <c r="L1587" s="255"/>
      <c r="N1587" s="293"/>
      <c r="P1587" s="41"/>
    </row>
    <row r="1588" spans="2:16" ht="16.5" customHeight="1" x14ac:dyDescent="0.35">
      <c r="B1588" s="253"/>
      <c r="D1588" s="255"/>
      <c r="F1588" s="303"/>
      <c r="H1588" s="41"/>
      <c r="J1588" s="253"/>
      <c r="L1588" s="255"/>
      <c r="N1588" s="293"/>
      <c r="P1588" s="41"/>
    </row>
    <row r="1589" spans="2:16" ht="16.5" customHeight="1" x14ac:dyDescent="0.35">
      <c r="B1589" s="253"/>
      <c r="D1589" s="255"/>
      <c r="F1589" s="303"/>
      <c r="H1589" s="41"/>
      <c r="J1589" s="253"/>
      <c r="L1589" s="255"/>
      <c r="N1589" s="293"/>
      <c r="P1589" s="41"/>
    </row>
    <row r="1590" spans="2:16" ht="16.5" customHeight="1" x14ac:dyDescent="0.35">
      <c r="B1590" s="253"/>
      <c r="D1590" s="255"/>
      <c r="F1590" s="303"/>
      <c r="H1590" s="41"/>
      <c r="J1590" s="253"/>
      <c r="L1590" s="255"/>
      <c r="N1590" s="293"/>
      <c r="P1590" s="41"/>
    </row>
    <row r="1591" spans="2:16" ht="16.5" customHeight="1" x14ac:dyDescent="0.35">
      <c r="B1591" s="253"/>
      <c r="D1591" s="255"/>
      <c r="F1591" s="303"/>
      <c r="H1591" s="41"/>
      <c r="J1591" s="253"/>
      <c r="L1591" s="255"/>
      <c r="N1591" s="293"/>
      <c r="P1591" s="41"/>
    </row>
    <row r="1592" spans="2:16" ht="16.5" customHeight="1" x14ac:dyDescent="0.35">
      <c r="B1592" s="253"/>
      <c r="D1592" s="255"/>
      <c r="F1592" s="303"/>
      <c r="H1592" s="41"/>
      <c r="J1592" s="253"/>
      <c r="L1592" s="255"/>
      <c r="N1592" s="293"/>
      <c r="P1592" s="41"/>
    </row>
    <row r="1593" spans="2:16" ht="16.5" customHeight="1" x14ac:dyDescent="0.35">
      <c r="B1593" s="253"/>
      <c r="D1593" s="255"/>
      <c r="F1593" s="303"/>
      <c r="H1593" s="41"/>
      <c r="J1593" s="253"/>
      <c r="L1593" s="255"/>
      <c r="N1593" s="293"/>
      <c r="P1593" s="41"/>
    </row>
    <row r="1594" spans="2:16" ht="16.5" customHeight="1" x14ac:dyDescent="0.35">
      <c r="B1594" s="253"/>
      <c r="D1594" s="255"/>
      <c r="F1594" s="303"/>
      <c r="H1594" s="41"/>
      <c r="J1594" s="253"/>
      <c r="L1594" s="255"/>
      <c r="N1594" s="293"/>
      <c r="P1594" s="41"/>
    </row>
    <row r="1595" spans="2:16" ht="16.5" customHeight="1" x14ac:dyDescent="0.35">
      <c r="B1595" s="253"/>
      <c r="D1595" s="255"/>
      <c r="F1595" s="303"/>
      <c r="H1595" s="41"/>
      <c r="J1595" s="253"/>
      <c r="L1595" s="255"/>
      <c r="N1595" s="293"/>
      <c r="P1595" s="41"/>
    </row>
    <row r="1596" spans="2:16" ht="16.5" customHeight="1" x14ac:dyDescent="0.35">
      <c r="B1596" s="253"/>
      <c r="D1596" s="255"/>
      <c r="F1596" s="303"/>
      <c r="H1596" s="41"/>
      <c r="J1596" s="253"/>
      <c r="L1596" s="255"/>
      <c r="N1596" s="293"/>
      <c r="P1596" s="41"/>
    </row>
    <row r="1597" spans="2:16" ht="16.5" customHeight="1" x14ac:dyDescent="0.35">
      <c r="B1597" s="253"/>
      <c r="D1597" s="255"/>
      <c r="F1597" s="303"/>
      <c r="H1597" s="41"/>
      <c r="J1597" s="253"/>
      <c r="L1597" s="255"/>
      <c r="N1597" s="293"/>
      <c r="P1597" s="41"/>
    </row>
    <row r="1598" spans="2:16" ht="16.5" customHeight="1" x14ac:dyDescent="0.35">
      <c r="B1598" s="253"/>
      <c r="D1598" s="255"/>
      <c r="F1598" s="303"/>
      <c r="H1598" s="41"/>
      <c r="J1598" s="253"/>
      <c r="L1598" s="255"/>
      <c r="N1598" s="293"/>
      <c r="P1598" s="41"/>
    </row>
    <row r="1599" spans="2:16" ht="16.5" customHeight="1" x14ac:dyDescent="0.35">
      <c r="B1599" s="253"/>
      <c r="D1599" s="255"/>
      <c r="F1599" s="303"/>
      <c r="H1599" s="41"/>
      <c r="J1599" s="253"/>
      <c r="L1599" s="255"/>
      <c r="N1599" s="293"/>
      <c r="P1599" s="41"/>
    </row>
    <row r="1600" spans="2:16" ht="16.5" customHeight="1" x14ac:dyDescent="0.35">
      <c r="B1600" s="253"/>
      <c r="D1600" s="255"/>
      <c r="F1600" s="303"/>
      <c r="H1600" s="41"/>
      <c r="J1600" s="253"/>
      <c r="L1600" s="255"/>
      <c r="N1600" s="293"/>
      <c r="P1600" s="41"/>
    </row>
    <row r="1601" spans="2:16" ht="16.5" customHeight="1" x14ac:dyDescent="0.35">
      <c r="B1601" s="253"/>
      <c r="D1601" s="255"/>
      <c r="F1601" s="303"/>
      <c r="H1601" s="41"/>
      <c r="J1601" s="253"/>
      <c r="L1601" s="255"/>
      <c r="N1601" s="293"/>
      <c r="P1601" s="41"/>
    </row>
    <row r="1602" spans="2:16" ht="16.5" customHeight="1" x14ac:dyDescent="0.35">
      <c r="B1602" s="253"/>
      <c r="D1602" s="255"/>
      <c r="F1602" s="303"/>
      <c r="H1602" s="41"/>
      <c r="J1602" s="253"/>
      <c r="L1602" s="255"/>
      <c r="N1602" s="293"/>
      <c r="P1602" s="41"/>
    </row>
    <row r="1603" spans="2:16" ht="16.5" customHeight="1" x14ac:dyDescent="0.35">
      <c r="B1603" s="253"/>
      <c r="D1603" s="255"/>
      <c r="F1603" s="303"/>
      <c r="H1603" s="41"/>
      <c r="J1603" s="253"/>
      <c r="L1603" s="255"/>
      <c r="N1603" s="293"/>
      <c r="P1603" s="41"/>
    </row>
    <row r="1604" spans="2:16" ht="16.5" customHeight="1" x14ac:dyDescent="0.35">
      <c r="B1604" s="253"/>
      <c r="D1604" s="255"/>
      <c r="F1604" s="303"/>
      <c r="H1604" s="41"/>
      <c r="J1604" s="253"/>
      <c r="L1604" s="255"/>
      <c r="N1604" s="293"/>
      <c r="P1604" s="41"/>
    </row>
    <row r="1605" spans="2:16" ht="16.5" customHeight="1" x14ac:dyDescent="0.35">
      <c r="B1605" s="253"/>
      <c r="D1605" s="255"/>
      <c r="F1605" s="303"/>
      <c r="H1605" s="41"/>
      <c r="J1605" s="253"/>
      <c r="L1605" s="255"/>
      <c r="N1605" s="293"/>
      <c r="P1605" s="41"/>
    </row>
    <row r="1606" spans="2:16" ht="16.5" customHeight="1" x14ac:dyDescent="0.35">
      <c r="B1606" s="253"/>
      <c r="D1606" s="255"/>
      <c r="F1606" s="303"/>
      <c r="H1606" s="41"/>
      <c r="J1606" s="253"/>
      <c r="L1606" s="255"/>
      <c r="N1606" s="293"/>
      <c r="P1606" s="41"/>
    </row>
    <row r="1607" spans="2:16" ht="16.5" customHeight="1" x14ac:dyDescent="0.35">
      <c r="B1607" s="253"/>
      <c r="D1607" s="255"/>
      <c r="F1607" s="303"/>
      <c r="H1607" s="41"/>
      <c r="J1607" s="253"/>
      <c r="L1607" s="255"/>
      <c r="N1607" s="293"/>
      <c r="P1607" s="41"/>
    </row>
    <row r="1608" spans="2:16" ht="16.5" customHeight="1" x14ac:dyDescent="0.35">
      <c r="B1608" s="253"/>
      <c r="D1608" s="255"/>
      <c r="F1608" s="303"/>
      <c r="H1608" s="41"/>
      <c r="J1608" s="253"/>
      <c r="L1608" s="255"/>
      <c r="N1608" s="293"/>
      <c r="P1608" s="41"/>
    </row>
    <row r="1609" spans="2:16" ht="16.5" customHeight="1" x14ac:dyDescent="0.35">
      <c r="B1609" s="253"/>
      <c r="D1609" s="255"/>
      <c r="F1609" s="303"/>
      <c r="H1609" s="41"/>
      <c r="J1609" s="253"/>
      <c r="L1609" s="255"/>
      <c r="N1609" s="293"/>
      <c r="P1609" s="41"/>
    </row>
    <row r="1610" spans="2:16" ht="16.5" customHeight="1" x14ac:dyDescent="0.35">
      <c r="B1610" s="253"/>
      <c r="D1610" s="255"/>
      <c r="F1610" s="303"/>
      <c r="H1610" s="41"/>
      <c r="J1610" s="253"/>
      <c r="L1610" s="255"/>
      <c r="N1610" s="293"/>
      <c r="P1610" s="41"/>
    </row>
    <row r="1611" spans="2:16" ht="16.5" customHeight="1" x14ac:dyDescent="0.35">
      <c r="B1611" s="253"/>
      <c r="D1611" s="255"/>
      <c r="F1611" s="303"/>
      <c r="H1611" s="41"/>
      <c r="J1611" s="253"/>
      <c r="L1611" s="255"/>
      <c r="N1611" s="293"/>
      <c r="P1611" s="41"/>
    </row>
    <row r="1612" spans="2:16" ht="16.5" customHeight="1" x14ac:dyDescent="0.35">
      <c r="B1612" s="253"/>
      <c r="D1612" s="255"/>
      <c r="F1612" s="303"/>
      <c r="H1612" s="41"/>
      <c r="J1612" s="253"/>
      <c r="L1612" s="255"/>
      <c r="N1612" s="293"/>
      <c r="P1612" s="41"/>
    </row>
    <row r="1613" spans="2:16" ht="16.5" customHeight="1" x14ac:dyDescent="0.35">
      <c r="B1613" s="253"/>
      <c r="D1613" s="255"/>
      <c r="F1613" s="303"/>
      <c r="H1613" s="41"/>
      <c r="J1613" s="253"/>
      <c r="L1613" s="255"/>
      <c r="N1613" s="293"/>
      <c r="P1613" s="41"/>
    </row>
    <row r="1614" spans="2:16" ht="16.5" customHeight="1" x14ac:dyDescent="0.35">
      <c r="B1614" s="253"/>
      <c r="D1614" s="255"/>
      <c r="F1614" s="303"/>
      <c r="H1614" s="41"/>
      <c r="J1614" s="253"/>
      <c r="L1614" s="255"/>
      <c r="N1614" s="293"/>
      <c r="P1614" s="41"/>
    </row>
    <row r="1615" spans="2:16" ht="16.5" customHeight="1" x14ac:dyDescent="0.35">
      <c r="B1615" s="253"/>
      <c r="D1615" s="255"/>
      <c r="F1615" s="303"/>
      <c r="H1615" s="41"/>
      <c r="J1615" s="253"/>
      <c r="L1615" s="255"/>
      <c r="N1615" s="293"/>
      <c r="P1615" s="41"/>
    </row>
    <row r="1616" spans="2:16" ht="16.5" customHeight="1" x14ac:dyDescent="0.35">
      <c r="B1616" s="253"/>
      <c r="D1616" s="255"/>
      <c r="F1616" s="303"/>
      <c r="H1616" s="41"/>
      <c r="J1616" s="253"/>
      <c r="L1616" s="255"/>
      <c r="N1616" s="293"/>
      <c r="P1616" s="41"/>
    </row>
    <row r="1617" spans="2:16" ht="16.5" customHeight="1" x14ac:dyDescent="0.35">
      <c r="B1617" s="253"/>
      <c r="D1617" s="255"/>
      <c r="F1617" s="303"/>
      <c r="H1617" s="41"/>
      <c r="J1617" s="253"/>
      <c r="L1617" s="255"/>
      <c r="N1617" s="293"/>
      <c r="P1617" s="41"/>
    </row>
    <row r="1618" spans="2:16" ht="16.5" customHeight="1" x14ac:dyDescent="0.35">
      <c r="B1618" s="253"/>
      <c r="D1618" s="255"/>
      <c r="F1618" s="303"/>
      <c r="H1618" s="41"/>
      <c r="J1618" s="253"/>
      <c r="L1618" s="255"/>
      <c r="N1618" s="293"/>
      <c r="P1618" s="41"/>
    </row>
    <row r="1619" spans="2:16" ht="16.5" customHeight="1" x14ac:dyDescent="0.35">
      <c r="B1619" s="253"/>
      <c r="D1619" s="255"/>
      <c r="F1619" s="303"/>
      <c r="H1619" s="41"/>
      <c r="J1619" s="253"/>
      <c r="L1619" s="255"/>
      <c r="N1619" s="293"/>
      <c r="P1619" s="41"/>
    </row>
    <row r="1620" spans="2:16" ht="16.5" customHeight="1" x14ac:dyDescent="0.35">
      <c r="B1620" s="253"/>
      <c r="D1620" s="255"/>
      <c r="F1620" s="303"/>
      <c r="H1620" s="41"/>
      <c r="J1620" s="253"/>
      <c r="L1620" s="255"/>
      <c r="N1620" s="293"/>
      <c r="P1620" s="41"/>
    </row>
    <row r="1621" spans="2:16" ht="16.5" customHeight="1" x14ac:dyDescent="0.35">
      <c r="B1621" s="253"/>
      <c r="D1621" s="255"/>
      <c r="F1621" s="303"/>
      <c r="H1621" s="41"/>
      <c r="J1621" s="253"/>
      <c r="L1621" s="255"/>
      <c r="N1621" s="293"/>
      <c r="P1621" s="41"/>
    </row>
    <row r="1622" spans="2:16" ht="16.5" customHeight="1" x14ac:dyDescent="0.35">
      <c r="B1622" s="253"/>
      <c r="D1622" s="255"/>
      <c r="F1622" s="303"/>
      <c r="H1622" s="41"/>
      <c r="J1622" s="253"/>
      <c r="L1622" s="255"/>
      <c r="N1622" s="293"/>
      <c r="P1622" s="41"/>
    </row>
    <row r="1623" spans="2:16" ht="16.5" customHeight="1" x14ac:dyDescent="0.35">
      <c r="B1623" s="253"/>
      <c r="D1623" s="255"/>
      <c r="F1623" s="303"/>
      <c r="H1623" s="41"/>
      <c r="J1623" s="253"/>
      <c r="L1623" s="255"/>
      <c r="N1623" s="293"/>
      <c r="P1623" s="41"/>
    </row>
    <row r="1624" spans="2:16" ht="16.5" customHeight="1" x14ac:dyDescent="0.35">
      <c r="B1624" s="253"/>
      <c r="D1624" s="255"/>
      <c r="F1624" s="303"/>
      <c r="H1624" s="41"/>
      <c r="J1624" s="253"/>
      <c r="L1624" s="255"/>
      <c r="N1624" s="293"/>
      <c r="P1624" s="41"/>
    </row>
    <row r="1625" spans="2:16" ht="16.5" customHeight="1" x14ac:dyDescent="0.35">
      <c r="B1625" s="253"/>
      <c r="D1625" s="255"/>
      <c r="F1625" s="303"/>
      <c r="H1625" s="41"/>
      <c r="J1625" s="253"/>
      <c r="L1625" s="255"/>
      <c r="N1625" s="293"/>
      <c r="P1625" s="41"/>
    </row>
    <row r="1626" spans="2:16" ht="16.5" customHeight="1" x14ac:dyDescent="0.35">
      <c r="B1626" s="253"/>
      <c r="D1626" s="255"/>
      <c r="F1626" s="303"/>
      <c r="H1626" s="41"/>
      <c r="J1626" s="253"/>
      <c r="L1626" s="255"/>
      <c r="N1626" s="293"/>
      <c r="P1626" s="41"/>
    </row>
    <row r="1627" spans="2:16" ht="16.5" customHeight="1" x14ac:dyDescent="0.35">
      <c r="B1627" s="253"/>
      <c r="D1627" s="255"/>
      <c r="F1627" s="303"/>
      <c r="H1627" s="41"/>
      <c r="J1627" s="253"/>
      <c r="L1627" s="255"/>
      <c r="N1627" s="293"/>
      <c r="P1627" s="41"/>
    </row>
    <row r="1628" spans="2:16" ht="16.5" customHeight="1" x14ac:dyDescent="0.35">
      <c r="B1628" s="253"/>
      <c r="D1628" s="255"/>
      <c r="F1628" s="303"/>
      <c r="H1628" s="41"/>
      <c r="J1628" s="253"/>
      <c r="L1628" s="255"/>
      <c r="N1628" s="293"/>
      <c r="P1628" s="41"/>
    </row>
    <row r="1629" spans="2:16" ht="16.5" customHeight="1" x14ac:dyDescent="0.35">
      <c r="B1629" s="253"/>
      <c r="D1629" s="255"/>
      <c r="F1629" s="303"/>
      <c r="H1629" s="41"/>
      <c r="J1629" s="253"/>
      <c r="L1629" s="255"/>
      <c r="N1629" s="293"/>
      <c r="P1629" s="41"/>
    </row>
    <row r="1630" spans="2:16" ht="16.5" customHeight="1" x14ac:dyDescent="0.35">
      <c r="B1630" s="253"/>
      <c r="D1630" s="255"/>
      <c r="F1630" s="303"/>
      <c r="H1630" s="41"/>
      <c r="J1630" s="253"/>
      <c r="L1630" s="255"/>
      <c r="N1630" s="293"/>
      <c r="P1630" s="41"/>
    </row>
    <row r="1631" spans="2:16" ht="16.5" customHeight="1" x14ac:dyDescent="0.35">
      <c r="B1631" s="253"/>
      <c r="D1631" s="255"/>
      <c r="F1631" s="303"/>
      <c r="H1631" s="41"/>
      <c r="J1631" s="253"/>
      <c r="L1631" s="255"/>
      <c r="N1631" s="293"/>
      <c r="P1631" s="41"/>
    </row>
    <row r="1632" spans="2:16" ht="16.5" customHeight="1" x14ac:dyDescent="0.35">
      <c r="B1632" s="253"/>
      <c r="D1632" s="255"/>
      <c r="F1632" s="303"/>
      <c r="H1632" s="41"/>
      <c r="J1632" s="253"/>
      <c r="L1632" s="255"/>
      <c r="N1632" s="293"/>
      <c r="P1632" s="41"/>
    </row>
    <row r="1633" spans="2:16" ht="16.5" customHeight="1" x14ac:dyDescent="0.35">
      <c r="B1633" s="253"/>
      <c r="D1633" s="255"/>
      <c r="F1633" s="303"/>
      <c r="H1633" s="41"/>
      <c r="J1633" s="253"/>
      <c r="L1633" s="255"/>
      <c r="N1633" s="293"/>
      <c r="P1633" s="41"/>
    </row>
    <row r="1634" spans="2:16" ht="16.5" customHeight="1" x14ac:dyDescent="0.35">
      <c r="B1634" s="253"/>
      <c r="D1634" s="255"/>
      <c r="F1634" s="303"/>
      <c r="H1634" s="41"/>
      <c r="J1634" s="253"/>
      <c r="L1634" s="255"/>
      <c r="N1634" s="293"/>
      <c r="P1634" s="41"/>
    </row>
    <row r="1635" spans="2:16" ht="16.5" customHeight="1" x14ac:dyDescent="0.35">
      <c r="B1635" s="253"/>
      <c r="D1635" s="255"/>
      <c r="F1635" s="303"/>
      <c r="H1635" s="41"/>
      <c r="J1635" s="253"/>
      <c r="L1635" s="255"/>
      <c r="N1635" s="293"/>
      <c r="P1635" s="41"/>
    </row>
    <row r="1636" spans="2:16" ht="16.5" customHeight="1" x14ac:dyDescent="0.35">
      <c r="B1636" s="253"/>
      <c r="D1636" s="255"/>
      <c r="F1636" s="303"/>
      <c r="H1636" s="41"/>
      <c r="J1636" s="253"/>
      <c r="L1636" s="255"/>
      <c r="N1636" s="293"/>
      <c r="P1636" s="41"/>
    </row>
    <row r="1637" spans="2:16" ht="16.5" customHeight="1" x14ac:dyDescent="0.35">
      <c r="B1637" s="253"/>
      <c r="D1637" s="255"/>
      <c r="F1637" s="303"/>
      <c r="H1637" s="41"/>
      <c r="J1637" s="253"/>
      <c r="L1637" s="255"/>
      <c r="N1637" s="293"/>
      <c r="P1637" s="41"/>
    </row>
    <row r="1638" spans="2:16" ht="16.5" customHeight="1" x14ac:dyDescent="0.35">
      <c r="B1638" s="253"/>
      <c r="D1638" s="255"/>
      <c r="F1638" s="303"/>
      <c r="H1638" s="41"/>
      <c r="J1638" s="253"/>
      <c r="L1638" s="255"/>
      <c r="N1638" s="293"/>
      <c r="P1638" s="41"/>
    </row>
    <row r="1639" spans="2:16" ht="16.5" customHeight="1" x14ac:dyDescent="0.35">
      <c r="B1639" s="253"/>
      <c r="D1639" s="255"/>
      <c r="F1639" s="303"/>
      <c r="H1639" s="41"/>
      <c r="J1639" s="253"/>
      <c r="L1639" s="255"/>
      <c r="N1639" s="293"/>
      <c r="P1639" s="41"/>
    </row>
    <row r="1640" spans="2:16" ht="16.5" customHeight="1" x14ac:dyDescent="0.35">
      <c r="B1640" s="253"/>
      <c r="D1640" s="255"/>
      <c r="F1640" s="303"/>
      <c r="H1640" s="41"/>
      <c r="J1640" s="253"/>
      <c r="L1640" s="255"/>
      <c r="N1640" s="293"/>
      <c r="P1640" s="41"/>
    </row>
    <row r="1641" spans="2:16" ht="16.5" customHeight="1" x14ac:dyDescent="0.35">
      <c r="B1641" s="253"/>
      <c r="D1641" s="255"/>
      <c r="F1641" s="303"/>
      <c r="H1641" s="41"/>
      <c r="J1641" s="253"/>
      <c r="L1641" s="255"/>
      <c r="N1641" s="293"/>
      <c r="P1641" s="41"/>
    </row>
    <row r="1642" spans="2:16" ht="16.5" customHeight="1" x14ac:dyDescent="0.35">
      <c r="B1642" s="253"/>
      <c r="D1642" s="255"/>
      <c r="F1642" s="303"/>
      <c r="H1642" s="41"/>
      <c r="J1642" s="253"/>
      <c r="L1642" s="255"/>
      <c r="N1642" s="293"/>
      <c r="P1642" s="41"/>
    </row>
    <row r="1643" spans="2:16" ht="16.5" customHeight="1" x14ac:dyDescent="0.35">
      <c r="B1643" s="253"/>
      <c r="D1643" s="255"/>
      <c r="F1643" s="303"/>
      <c r="H1643" s="41"/>
      <c r="J1643" s="253"/>
      <c r="L1643" s="255"/>
      <c r="N1643" s="293"/>
      <c r="P1643" s="41"/>
    </row>
    <row r="1644" spans="2:16" ht="16.5" customHeight="1" x14ac:dyDescent="0.35">
      <c r="B1644" s="253"/>
      <c r="D1644" s="255"/>
      <c r="F1644" s="303"/>
      <c r="H1644" s="41"/>
      <c r="J1644" s="253"/>
      <c r="L1644" s="255"/>
      <c r="N1644" s="293"/>
      <c r="P1644" s="41"/>
    </row>
    <row r="1645" spans="2:16" ht="16.5" customHeight="1" x14ac:dyDescent="0.35">
      <c r="B1645" s="253"/>
      <c r="D1645" s="255"/>
      <c r="F1645" s="303"/>
      <c r="H1645" s="41"/>
      <c r="J1645" s="253"/>
      <c r="L1645" s="255"/>
      <c r="N1645" s="293"/>
      <c r="P1645" s="41"/>
    </row>
    <row r="1646" spans="2:16" ht="16.5" customHeight="1" x14ac:dyDescent="0.35">
      <c r="B1646" s="253"/>
      <c r="D1646" s="255"/>
      <c r="F1646" s="303"/>
      <c r="H1646" s="41"/>
      <c r="J1646" s="253"/>
      <c r="L1646" s="255"/>
      <c r="N1646" s="293"/>
      <c r="P1646" s="41"/>
    </row>
    <row r="1647" spans="2:16" ht="16.5" customHeight="1" x14ac:dyDescent="0.35">
      <c r="B1647" s="253"/>
      <c r="D1647" s="255"/>
      <c r="F1647" s="303"/>
      <c r="H1647" s="41"/>
      <c r="J1647" s="253"/>
      <c r="L1647" s="255"/>
      <c r="N1647" s="293"/>
      <c r="P1647" s="41"/>
    </row>
    <row r="1648" spans="2:16" ht="16.5" customHeight="1" x14ac:dyDescent="0.35">
      <c r="B1648" s="253"/>
      <c r="D1648" s="255"/>
      <c r="F1648" s="303"/>
      <c r="H1648" s="41"/>
      <c r="J1648" s="253"/>
      <c r="L1648" s="255"/>
      <c r="N1648" s="293"/>
      <c r="P1648" s="41"/>
    </row>
    <row r="1649" spans="2:16" ht="16.5" customHeight="1" x14ac:dyDescent="0.35">
      <c r="B1649" s="253"/>
      <c r="D1649" s="255"/>
      <c r="F1649" s="303"/>
      <c r="H1649" s="41"/>
      <c r="J1649" s="253"/>
      <c r="L1649" s="255"/>
      <c r="N1649" s="293"/>
      <c r="P1649" s="41"/>
    </row>
    <row r="1650" spans="2:16" ht="16.5" customHeight="1" x14ac:dyDescent="0.35">
      <c r="B1650" s="253"/>
      <c r="D1650" s="255"/>
      <c r="F1650" s="303"/>
      <c r="H1650" s="41"/>
      <c r="J1650" s="253"/>
      <c r="L1650" s="255"/>
      <c r="N1650" s="293"/>
      <c r="P1650" s="41"/>
    </row>
    <row r="1651" spans="2:16" ht="16.5" customHeight="1" x14ac:dyDescent="0.35">
      <c r="B1651" s="253"/>
      <c r="D1651" s="255"/>
      <c r="F1651" s="303"/>
      <c r="H1651" s="41"/>
      <c r="J1651" s="253"/>
      <c r="L1651" s="255"/>
      <c r="N1651" s="293"/>
      <c r="P1651" s="41"/>
    </row>
    <row r="1652" spans="2:16" ht="16.5" customHeight="1" x14ac:dyDescent="0.35">
      <c r="B1652" s="253"/>
      <c r="D1652" s="255"/>
      <c r="F1652" s="303"/>
      <c r="H1652" s="41"/>
      <c r="J1652" s="253"/>
      <c r="L1652" s="255"/>
      <c r="N1652" s="293"/>
      <c r="P1652" s="41"/>
    </row>
    <row r="1653" spans="2:16" ht="16.5" customHeight="1" x14ac:dyDescent="0.35">
      <c r="B1653" s="253"/>
      <c r="D1653" s="255"/>
      <c r="F1653" s="303"/>
      <c r="H1653" s="41"/>
      <c r="J1653" s="253"/>
      <c r="L1653" s="255"/>
      <c r="N1653" s="293"/>
      <c r="P1653" s="41"/>
    </row>
    <row r="1654" spans="2:16" ht="16.5" customHeight="1" x14ac:dyDescent="0.35">
      <c r="B1654" s="253"/>
      <c r="D1654" s="255"/>
      <c r="F1654" s="303"/>
      <c r="H1654" s="41"/>
      <c r="J1654" s="253"/>
      <c r="L1654" s="255"/>
      <c r="N1654" s="293"/>
      <c r="P1654" s="41"/>
    </row>
    <row r="1655" spans="2:16" ht="16.5" customHeight="1" x14ac:dyDescent="0.35">
      <c r="B1655" s="253"/>
      <c r="D1655" s="255"/>
      <c r="F1655" s="303"/>
      <c r="H1655" s="41"/>
      <c r="J1655" s="253"/>
      <c r="L1655" s="255"/>
      <c r="N1655" s="293"/>
      <c r="P1655" s="41"/>
    </row>
    <row r="1656" spans="2:16" ht="16.5" customHeight="1" x14ac:dyDescent="0.35">
      <c r="B1656" s="253"/>
      <c r="D1656" s="255"/>
      <c r="F1656" s="303"/>
      <c r="H1656" s="41"/>
      <c r="J1656" s="253"/>
      <c r="L1656" s="255"/>
      <c r="N1656" s="293"/>
      <c r="P1656" s="41"/>
    </row>
    <row r="1657" spans="2:16" ht="16.5" customHeight="1" x14ac:dyDescent="0.35">
      <c r="B1657" s="253"/>
      <c r="D1657" s="255"/>
      <c r="F1657" s="303"/>
      <c r="H1657" s="41"/>
      <c r="J1657" s="253"/>
      <c r="L1657" s="255"/>
      <c r="N1657" s="293"/>
      <c r="P1657" s="41"/>
    </row>
    <row r="1658" spans="2:16" ht="16.5" customHeight="1" x14ac:dyDescent="0.35">
      <c r="B1658" s="253"/>
      <c r="D1658" s="255"/>
      <c r="F1658" s="303"/>
      <c r="H1658" s="41"/>
      <c r="J1658" s="253"/>
      <c r="L1658" s="255"/>
      <c r="N1658" s="293"/>
      <c r="P1658" s="41"/>
    </row>
    <row r="1659" spans="2:16" ht="16.5" customHeight="1" x14ac:dyDescent="0.35">
      <c r="B1659" s="253"/>
      <c r="D1659" s="255"/>
      <c r="F1659" s="303"/>
      <c r="H1659" s="41"/>
      <c r="J1659" s="253"/>
      <c r="L1659" s="255"/>
      <c r="N1659" s="293"/>
      <c r="P1659" s="41"/>
    </row>
    <row r="1660" spans="2:16" ht="16.5" customHeight="1" x14ac:dyDescent="0.35">
      <c r="B1660" s="253"/>
      <c r="D1660" s="255"/>
      <c r="F1660" s="303"/>
      <c r="H1660" s="41"/>
      <c r="J1660" s="253"/>
      <c r="L1660" s="255"/>
      <c r="N1660" s="293"/>
      <c r="P1660" s="41"/>
    </row>
    <row r="1661" spans="2:16" ht="16.5" customHeight="1" x14ac:dyDescent="0.35">
      <c r="B1661" s="253"/>
      <c r="D1661" s="255"/>
      <c r="F1661" s="303"/>
      <c r="H1661" s="41"/>
      <c r="J1661" s="253"/>
      <c r="L1661" s="255"/>
      <c r="N1661" s="293"/>
      <c r="P1661" s="41"/>
    </row>
    <row r="1662" spans="2:16" ht="16.5" customHeight="1" x14ac:dyDescent="0.35">
      <c r="B1662" s="253"/>
      <c r="D1662" s="255"/>
      <c r="F1662" s="303"/>
      <c r="H1662" s="41"/>
      <c r="J1662" s="253"/>
      <c r="L1662" s="255"/>
      <c r="N1662" s="293"/>
      <c r="P1662" s="41"/>
    </row>
    <row r="1663" spans="2:16" ht="16.5" customHeight="1" x14ac:dyDescent="0.35">
      <c r="B1663" s="253"/>
      <c r="D1663" s="255"/>
      <c r="F1663" s="303"/>
      <c r="H1663" s="41"/>
      <c r="J1663" s="253"/>
      <c r="L1663" s="255"/>
      <c r="N1663" s="293"/>
      <c r="P1663" s="41"/>
    </row>
    <row r="1664" spans="2:16" ht="16.5" customHeight="1" x14ac:dyDescent="0.35">
      <c r="B1664" s="253"/>
      <c r="D1664" s="255"/>
      <c r="F1664" s="303"/>
      <c r="H1664" s="41"/>
      <c r="J1664" s="253"/>
      <c r="L1664" s="255"/>
      <c r="N1664" s="293"/>
      <c r="P1664" s="41"/>
    </row>
    <row r="1665" spans="2:16" ht="16.5" customHeight="1" x14ac:dyDescent="0.35">
      <c r="B1665" s="253"/>
      <c r="D1665" s="255"/>
      <c r="F1665" s="303"/>
      <c r="H1665" s="41"/>
      <c r="J1665" s="253"/>
      <c r="L1665" s="255"/>
      <c r="N1665" s="293"/>
      <c r="P1665" s="41"/>
    </row>
    <row r="1666" spans="2:16" ht="16.5" customHeight="1" x14ac:dyDescent="0.35">
      <c r="B1666" s="253"/>
      <c r="D1666" s="255"/>
      <c r="F1666" s="303"/>
      <c r="H1666" s="41"/>
      <c r="J1666" s="253"/>
      <c r="L1666" s="255"/>
      <c r="N1666" s="293"/>
      <c r="P1666" s="41"/>
    </row>
    <row r="1667" spans="2:16" ht="16.5" customHeight="1" x14ac:dyDescent="0.35">
      <c r="B1667" s="253"/>
      <c r="D1667" s="255"/>
      <c r="F1667" s="303"/>
      <c r="H1667" s="41"/>
      <c r="J1667" s="253"/>
      <c r="L1667" s="255"/>
      <c r="N1667" s="293"/>
      <c r="P1667" s="41"/>
    </row>
    <row r="1668" spans="2:16" ht="16.5" customHeight="1" x14ac:dyDescent="0.35">
      <c r="B1668" s="253"/>
      <c r="D1668" s="255"/>
      <c r="F1668" s="303"/>
      <c r="H1668" s="41"/>
      <c r="J1668" s="253"/>
      <c r="L1668" s="255"/>
      <c r="N1668" s="293"/>
      <c r="P1668" s="41"/>
    </row>
    <row r="1669" spans="2:16" ht="16.5" customHeight="1" x14ac:dyDescent="0.35">
      <c r="B1669" s="253"/>
      <c r="D1669" s="255"/>
      <c r="F1669" s="303"/>
      <c r="H1669" s="41"/>
      <c r="J1669" s="253"/>
      <c r="L1669" s="255"/>
      <c r="N1669" s="293"/>
      <c r="P1669" s="41"/>
    </row>
    <row r="1670" spans="2:16" ht="16.5" customHeight="1" x14ac:dyDescent="0.35">
      <c r="B1670" s="253"/>
      <c r="D1670" s="255"/>
      <c r="F1670" s="303"/>
      <c r="H1670" s="41"/>
      <c r="J1670" s="253"/>
      <c r="L1670" s="255"/>
      <c r="N1670" s="293"/>
      <c r="P1670" s="41"/>
    </row>
    <row r="1671" spans="2:16" ht="16.5" customHeight="1" x14ac:dyDescent="0.35">
      <c r="B1671" s="253"/>
      <c r="D1671" s="255"/>
      <c r="F1671" s="303"/>
      <c r="H1671" s="41"/>
      <c r="J1671" s="253"/>
      <c r="L1671" s="255"/>
      <c r="N1671" s="293"/>
      <c r="P1671" s="41"/>
    </row>
    <row r="1672" spans="2:16" ht="16.5" customHeight="1" x14ac:dyDescent="0.35">
      <c r="B1672" s="253"/>
      <c r="D1672" s="255"/>
      <c r="F1672" s="303"/>
      <c r="H1672" s="41"/>
      <c r="J1672" s="253"/>
      <c r="L1672" s="255"/>
      <c r="N1672" s="293"/>
      <c r="P1672" s="41"/>
    </row>
    <row r="1673" spans="2:16" ht="16.5" customHeight="1" x14ac:dyDescent="0.35">
      <c r="B1673" s="253"/>
      <c r="D1673" s="255"/>
      <c r="F1673" s="303"/>
      <c r="H1673" s="41"/>
      <c r="J1673" s="253"/>
      <c r="L1673" s="255"/>
      <c r="N1673" s="293"/>
      <c r="P1673" s="41"/>
    </row>
    <row r="1674" spans="2:16" ht="16.5" customHeight="1" x14ac:dyDescent="0.35">
      <c r="B1674" s="253"/>
      <c r="D1674" s="255"/>
      <c r="F1674" s="303"/>
      <c r="H1674" s="41"/>
      <c r="J1674" s="253"/>
      <c r="L1674" s="255"/>
      <c r="N1674" s="293"/>
      <c r="P1674" s="41"/>
    </row>
    <row r="1675" spans="2:16" ht="16.5" customHeight="1" x14ac:dyDescent="0.35">
      <c r="B1675" s="253"/>
      <c r="D1675" s="255"/>
      <c r="F1675" s="303"/>
      <c r="H1675" s="41"/>
      <c r="J1675" s="253"/>
      <c r="L1675" s="255"/>
      <c r="N1675" s="293"/>
      <c r="P1675" s="41"/>
    </row>
    <row r="1676" spans="2:16" ht="16.5" customHeight="1" x14ac:dyDescent="0.35">
      <c r="B1676" s="253"/>
      <c r="D1676" s="255"/>
      <c r="F1676" s="303"/>
      <c r="H1676" s="41"/>
      <c r="J1676" s="253"/>
      <c r="L1676" s="255"/>
      <c r="N1676" s="293"/>
      <c r="P1676" s="41"/>
    </row>
    <row r="1677" spans="2:16" ht="16.5" customHeight="1" x14ac:dyDescent="0.35">
      <c r="B1677" s="253"/>
      <c r="D1677" s="255"/>
      <c r="F1677" s="303"/>
      <c r="H1677" s="41"/>
      <c r="J1677" s="253"/>
      <c r="L1677" s="255"/>
      <c r="N1677" s="293"/>
      <c r="P1677" s="41"/>
    </row>
    <row r="1678" spans="2:16" ht="16.5" customHeight="1" x14ac:dyDescent="0.35">
      <c r="B1678" s="253"/>
      <c r="D1678" s="255"/>
      <c r="F1678" s="303"/>
      <c r="H1678" s="41"/>
      <c r="J1678" s="253"/>
      <c r="L1678" s="255"/>
      <c r="N1678" s="293"/>
      <c r="P1678" s="41"/>
    </row>
    <row r="1679" spans="2:16" ht="16.5" customHeight="1" x14ac:dyDescent="0.35">
      <c r="B1679" s="253"/>
      <c r="D1679" s="255"/>
      <c r="F1679" s="303"/>
      <c r="H1679" s="41"/>
      <c r="J1679" s="253"/>
      <c r="L1679" s="255"/>
      <c r="N1679" s="293"/>
      <c r="P1679" s="41"/>
    </row>
    <row r="1680" spans="2:16" ht="16.5" customHeight="1" x14ac:dyDescent="0.35">
      <c r="B1680" s="253"/>
      <c r="D1680" s="255"/>
      <c r="F1680" s="303"/>
      <c r="H1680" s="41"/>
      <c r="J1680" s="253"/>
      <c r="L1680" s="255"/>
      <c r="N1680" s="293"/>
      <c r="P1680" s="41"/>
    </row>
    <row r="1681" spans="2:16" ht="16.5" customHeight="1" x14ac:dyDescent="0.35">
      <c r="B1681" s="253"/>
      <c r="D1681" s="255"/>
      <c r="F1681" s="303"/>
      <c r="H1681" s="41"/>
      <c r="J1681" s="253"/>
      <c r="L1681" s="255"/>
      <c r="N1681" s="293"/>
      <c r="P1681" s="41"/>
    </row>
    <row r="1682" spans="2:16" ht="16.5" customHeight="1" x14ac:dyDescent="0.35">
      <c r="B1682" s="253"/>
      <c r="D1682" s="255"/>
      <c r="F1682" s="303"/>
      <c r="H1682" s="41"/>
      <c r="J1682" s="253"/>
      <c r="L1682" s="255"/>
      <c r="N1682" s="293"/>
      <c r="P1682" s="41"/>
    </row>
    <row r="1683" spans="2:16" ht="16.5" customHeight="1" x14ac:dyDescent="0.35">
      <c r="B1683" s="253"/>
      <c r="D1683" s="255"/>
      <c r="F1683" s="303"/>
      <c r="H1683" s="41"/>
      <c r="J1683" s="253"/>
      <c r="L1683" s="255"/>
      <c r="N1683" s="293"/>
      <c r="P1683" s="41"/>
    </row>
    <row r="1684" spans="2:16" ht="16.5" customHeight="1" x14ac:dyDescent="0.35">
      <c r="B1684" s="253"/>
      <c r="D1684" s="255"/>
      <c r="F1684" s="303"/>
      <c r="H1684" s="41"/>
      <c r="J1684" s="253"/>
      <c r="L1684" s="255"/>
      <c r="N1684" s="293"/>
      <c r="P1684" s="41"/>
    </row>
    <row r="1685" spans="2:16" ht="16.5" customHeight="1" x14ac:dyDescent="0.35">
      <c r="B1685" s="253"/>
      <c r="D1685" s="255"/>
      <c r="F1685" s="303"/>
      <c r="H1685" s="41"/>
      <c r="J1685" s="253"/>
      <c r="L1685" s="255"/>
      <c r="N1685" s="293"/>
      <c r="P1685" s="41"/>
    </row>
  </sheetData>
  <mergeCells count="13">
    <mergeCell ref="B1:E1"/>
    <mergeCell ref="D2:E2"/>
    <mergeCell ref="B2:C2"/>
    <mergeCell ref="U16:AK16"/>
    <mergeCell ref="F1:I1"/>
    <mergeCell ref="N1:Q1"/>
    <mergeCell ref="N2:O2"/>
    <mergeCell ref="P2:Q2"/>
    <mergeCell ref="F2:G2"/>
    <mergeCell ref="H2:I2"/>
    <mergeCell ref="J1:M1"/>
    <mergeCell ref="J2:K2"/>
    <mergeCell ref="L2:M2"/>
  </mergeCells>
  <dataValidations count="2">
    <dataValidation type="list" allowBlank="1" showInputMessage="1" sqref="F36:F1685 F4:F17 J4:J12 N18:N1685 N4:N10 N13:N16 J14:J1685 F19:F34 B4:B1685" xr:uid="{C621CFF1-BEBD-4C5C-B599-1A1C605E8F81}">
      <formula1>"1M NaOH, 0.1M NaOH, IE buffer A"</formula1>
    </dataValidation>
    <dataValidation type="list" allowBlank="1" showInputMessage="1" sqref="L16:L1685 H4:H17 P18:P1685 L4:L12 L14 P4:P10 P13:P16 D4:D1685 H19:H34 H36:H1685" xr:uid="{9C63AD38-01FD-4A06-8FCA-B573B76DAF3B}">
      <formula1>"30 min, 1h, 2h, overnight"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1FAB-6B5E-4DB8-A682-798FDF23572A}">
  <dimension ref="A1:CD135"/>
  <sheetViews>
    <sheetView zoomScaleNormal="90" workbookViewId="0">
      <pane xSplit="6" ySplit="2" topLeftCell="S4" activePane="bottomRight" state="frozen"/>
      <selection pane="topRight" activeCell="G1" sqref="G1"/>
      <selection pane="bottomLeft" activeCell="A4" sqref="A4"/>
      <selection pane="bottomRight" activeCell="Z17" sqref="Z17"/>
    </sheetView>
  </sheetViews>
  <sheetFormatPr defaultColWidth="9.1796875" defaultRowHeight="14.5" x14ac:dyDescent="0.35"/>
  <cols>
    <col min="1" max="1" width="6.81640625" style="74" customWidth="1"/>
    <col min="2" max="2" width="5.54296875" style="43" customWidth="1"/>
    <col min="3" max="3" width="9.54296875" style="43" hidden="1" customWidth="1"/>
    <col min="4" max="4" width="20.7265625" style="43" bestFit="1" customWidth="1"/>
    <col min="5" max="5" width="20" style="43" customWidth="1"/>
    <col min="6" max="6" width="10.453125" style="3" customWidth="1"/>
    <col min="7" max="7" width="11.1796875" style="3" customWidth="1"/>
    <col min="8" max="8" width="10.1796875" style="3" customWidth="1"/>
    <col min="9" max="9" width="11.1796875" style="3" customWidth="1"/>
    <col min="10" max="10" width="10.1796875" style="3" customWidth="1"/>
    <col min="11" max="11" width="11.1796875" style="3" customWidth="1"/>
    <col min="12" max="12" width="10.1796875" style="3" customWidth="1"/>
    <col min="13" max="13" width="11.1796875" style="3" customWidth="1"/>
    <col min="14" max="14" width="10.1796875" style="3" customWidth="1"/>
    <col min="15" max="15" width="11.1796875" style="3" customWidth="1"/>
    <col min="16" max="16" width="10.1796875" style="3" customWidth="1"/>
    <col min="17" max="17" width="11.81640625" style="3" bestFit="1" customWidth="1"/>
    <col min="18" max="18" width="10.1796875" style="3" customWidth="1"/>
    <col min="19" max="19" width="11.1796875" style="3" customWidth="1"/>
    <col min="20" max="20" width="10.1796875" style="3" customWidth="1"/>
    <col min="21" max="21" width="11.1796875" style="3" customWidth="1"/>
    <col min="22" max="22" width="10.1796875" style="3" customWidth="1"/>
    <col min="23" max="23" width="11.1796875" style="3" customWidth="1"/>
    <col min="24" max="24" width="10.1796875" style="3" customWidth="1"/>
    <col min="25" max="25" width="11.1796875" style="3" customWidth="1"/>
    <col min="26" max="26" width="10.1796875" style="3" customWidth="1"/>
    <col min="27" max="27" width="11.1796875" style="3" customWidth="1"/>
    <col min="28" max="28" width="10.1796875" style="3" customWidth="1"/>
    <col min="29" max="29" width="11.1796875" style="3" customWidth="1"/>
    <col min="30" max="30" width="10.1796875" style="3" customWidth="1"/>
    <col min="31" max="31" width="11.1796875" style="3" customWidth="1"/>
    <col min="32" max="32" width="10.1796875" style="3" customWidth="1"/>
    <col min="33" max="33" width="11.1796875" style="3" customWidth="1"/>
    <col min="34" max="34" width="10.1796875" style="3" customWidth="1"/>
    <col min="35" max="35" width="11.1796875" style="3" customWidth="1"/>
    <col min="36" max="36" width="10.1796875" style="3" customWidth="1"/>
    <col min="37" max="37" width="11.1796875" style="3" customWidth="1"/>
    <col min="38" max="38" width="10.1796875" style="3" customWidth="1"/>
    <col min="39" max="39" width="11.1796875" style="3" customWidth="1"/>
    <col min="40" max="40" width="10.1796875" style="3" customWidth="1"/>
    <col min="41" max="41" width="11.1796875" style="3" customWidth="1"/>
    <col min="42" max="42" width="10.1796875" style="3" customWidth="1"/>
    <col min="43" max="43" width="11.1796875" style="3" customWidth="1"/>
    <col min="44" max="44" width="10.1796875" style="3" customWidth="1"/>
    <col min="45" max="45" width="11.1796875" style="3" customWidth="1"/>
    <col min="46" max="46" width="10.1796875" style="3" customWidth="1"/>
    <col min="47" max="47" width="11.1796875" style="3" customWidth="1"/>
    <col min="48" max="48" width="10.1796875" style="3" customWidth="1"/>
    <col min="49" max="49" width="11.1796875" style="3" customWidth="1"/>
    <col min="50" max="50" width="10.1796875" style="3" customWidth="1"/>
    <col min="51" max="51" width="11.1796875" style="3" customWidth="1"/>
    <col min="52" max="52" width="10.1796875" style="3" customWidth="1"/>
    <col min="53" max="53" width="11.1796875" style="3" customWidth="1"/>
    <col min="54" max="54" width="10.1796875" style="3" customWidth="1"/>
    <col min="55" max="55" width="11.1796875" style="3" customWidth="1"/>
    <col min="56" max="56" width="10.1796875" style="3" customWidth="1"/>
    <col min="57" max="57" width="11.1796875" style="3" customWidth="1"/>
    <col min="58" max="58" width="10.1796875" style="3" customWidth="1"/>
    <col min="59" max="59" width="11.1796875" style="3" customWidth="1"/>
    <col min="60" max="60" width="10.1796875" style="3" customWidth="1"/>
    <col min="61" max="61" width="11.1796875" style="3" customWidth="1"/>
    <col min="62" max="62" width="10.1796875" style="3" customWidth="1"/>
    <col min="63" max="63" width="11.1796875" style="3" customWidth="1"/>
    <col min="64" max="64" width="10.1796875" style="3" customWidth="1"/>
    <col min="65" max="65" width="11.1796875" style="3" customWidth="1"/>
    <col min="66" max="66" width="10.1796875" style="3" customWidth="1"/>
    <col min="67" max="67" width="11.1796875" style="3" customWidth="1"/>
    <col min="68" max="68" width="10.1796875" style="3" customWidth="1"/>
    <col min="69" max="69" width="11.1796875" style="3" customWidth="1"/>
    <col min="70" max="70" width="10.1796875" style="3" customWidth="1"/>
    <col min="71" max="71" width="11.1796875" style="3" customWidth="1"/>
    <col min="72" max="72" width="10.1796875" style="3" customWidth="1"/>
    <col min="73" max="73" width="11.1796875" style="3" customWidth="1"/>
    <col min="74" max="74" width="10.1796875" style="3" customWidth="1"/>
    <col min="75" max="75" width="11.1796875" style="3" customWidth="1"/>
    <col min="76" max="76" width="10.1796875" style="3" customWidth="1"/>
    <col min="77" max="77" width="11.1796875" style="3" customWidth="1"/>
    <col min="78" max="78" width="10.1796875" style="3" customWidth="1"/>
    <col min="79" max="79" width="11.1796875" style="3" customWidth="1"/>
    <col min="80" max="80" width="10.1796875" style="3" customWidth="1"/>
    <col min="81" max="81" width="11.1796875" style="3" customWidth="1"/>
    <col min="82" max="82" width="10.1796875" style="3" customWidth="1"/>
    <col min="83" max="16384" width="9.1796875" style="43"/>
  </cols>
  <sheetData>
    <row r="1" spans="1:82" s="73" customFormat="1" ht="22" customHeight="1" x14ac:dyDescent="0.35">
      <c r="A1" s="72"/>
      <c r="B1" s="401" t="s">
        <v>79</v>
      </c>
      <c r="C1" s="401"/>
      <c r="D1" s="401"/>
      <c r="E1" s="401"/>
      <c r="F1" s="401"/>
    </row>
    <row r="2" spans="1:82" s="55" customFormat="1" ht="20.149999999999999" customHeight="1" x14ac:dyDescent="0.35">
      <c r="A2" s="58"/>
      <c r="B2" s="57" t="s">
        <v>6</v>
      </c>
      <c r="C2" s="55" t="s">
        <v>75</v>
      </c>
      <c r="D2" s="55" t="s">
        <v>78</v>
      </c>
      <c r="E2" s="55" t="s">
        <v>73</v>
      </c>
      <c r="F2" s="55" t="s">
        <v>72</v>
      </c>
      <c r="G2" s="55" t="s">
        <v>71</v>
      </c>
      <c r="H2" s="55" t="s">
        <v>1</v>
      </c>
      <c r="I2" s="55" t="s">
        <v>71</v>
      </c>
      <c r="J2" s="55" t="s">
        <v>1</v>
      </c>
      <c r="K2" s="55" t="s">
        <v>71</v>
      </c>
      <c r="L2" s="55" t="s">
        <v>1</v>
      </c>
      <c r="M2" s="55" t="s">
        <v>71</v>
      </c>
      <c r="N2" s="55" t="s">
        <v>1</v>
      </c>
      <c r="O2" s="55" t="s">
        <v>71</v>
      </c>
      <c r="P2" s="55" t="s">
        <v>1</v>
      </c>
      <c r="Q2" s="55" t="s">
        <v>71</v>
      </c>
      <c r="R2" s="55" t="s">
        <v>1</v>
      </c>
      <c r="S2" s="55" t="s">
        <v>71</v>
      </c>
      <c r="T2" s="55" t="s">
        <v>1</v>
      </c>
      <c r="U2" s="55" t="s">
        <v>71</v>
      </c>
      <c r="V2" s="55" t="s">
        <v>1</v>
      </c>
      <c r="W2" s="55" t="s">
        <v>71</v>
      </c>
      <c r="X2" s="55" t="s">
        <v>1</v>
      </c>
      <c r="Y2" s="55" t="s">
        <v>71</v>
      </c>
      <c r="Z2" s="55" t="s">
        <v>1</v>
      </c>
      <c r="AA2" s="55" t="s">
        <v>71</v>
      </c>
      <c r="AB2" s="55" t="s">
        <v>1</v>
      </c>
      <c r="AC2" s="55" t="s">
        <v>71</v>
      </c>
      <c r="AD2" s="55" t="s">
        <v>1</v>
      </c>
      <c r="AE2" s="55" t="s">
        <v>71</v>
      </c>
      <c r="AF2" s="55" t="s">
        <v>1</v>
      </c>
      <c r="AG2" s="55" t="s">
        <v>71</v>
      </c>
      <c r="AH2" s="55" t="s">
        <v>1</v>
      </c>
      <c r="AI2" s="55" t="s">
        <v>71</v>
      </c>
      <c r="AJ2" s="55" t="s">
        <v>1</v>
      </c>
      <c r="AK2" s="55" t="s">
        <v>71</v>
      </c>
      <c r="AL2" s="55" t="s">
        <v>1</v>
      </c>
      <c r="AM2" s="55" t="s">
        <v>71</v>
      </c>
      <c r="AN2" s="55" t="s">
        <v>1</v>
      </c>
      <c r="AO2" s="55" t="s">
        <v>71</v>
      </c>
      <c r="AP2" s="55" t="s">
        <v>1</v>
      </c>
      <c r="AQ2" s="55" t="s">
        <v>71</v>
      </c>
      <c r="AR2" s="55" t="s">
        <v>1</v>
      </c>
      <c r="AS2" s="55" t="s">
        <v>71</v>
      </c>
      <c r="AT2" s="55" t="s">
        <v>1</v>
      </c>
      <c r="AU2" s="55" t="s">
        <v>71</v>
      </c>
      <c r="AV2" s="55" t="s">
        <v>1</v>
      </c>
      <c r="AW2" s="55" t="s">
        <v>71</v>
      </c>
      <c r="AX2" s="55" t="s">
        <v>1</v>
      </c>
      <c r="AY2" s="55" t="s">
        <v>71</v>
      </c>
      <c r="AZ2" s="55" t="s">
        <v>1</v>
      </c>
      <c r="BA2" s="55" t="s">
        <v>71</v>
      </c>
      <c r="BB2" s="55" t="s">
        <v>1</v>
      </c>
      <c r="BC2" s="55" t="s">
        <v>71</v>
      </c>
      <c r="BD2" s="55" t="s">
        <v>1</v>
      </c>
      <c r="BE2" s="55" t="s">
        <v>71</v>
      </c>
      <c r="BF2" s="55" t="s">
        <v>1</v>
      </c>
      <c r="BG2" s="55" t="s">
        <v>71</v>
      </c>
      <c r="BH2" s="55" t="s">
        <v>1</v>
      </c>
      <c r="BI2" s="55" t="s">
        <v>71</v>
      </c>
      <c r="BJ2" s="55" t="s">
        <v>1</v>
      </c>
      <c r="BK2" s="55" t="s">
        <v>71</v>
      </c>
      <c r="BL2" s="55" t="s">
        <v>1</v>
      </c>
      <c r="BM2" s="55" t="s">
        <v>71</v>
      </c>
      <c r="BN2" s="55" t="s">
        <v>1</v>
      </c>
      <c r="BO2" s="55" t="s">
        <v>71</v>
      </c>
      <c r="BP2" s="55" t="s">
        <v>1</v>
      </c>
      <c r="BQ2" s="55" t="s">
        <v>71</v>
      </c>
      <c r="BR2" s="55" t="s">
        <v>1</v>
      </c>
      <c r="BS2" s="55" t="s">
        <v>71</v>
      </c>
      <c r="BT2" s="55" t="s">
        <v>1</v>
      </c>
      <c r="BU2" s="55" t="s">
        <v>71</v>
      </c>
      <c r="BV2" s="55" t="s">
        <v>1</v>
      </c>
      <c r="BW2" s="55" t="s">
        <v>71</v>
      </c>
      <c r="BX2" s="55" t="s">
        <v>1</v>
      </c>
      <c r="BY2" s="55" t="s">
        <v>71</v>
      </c>
      <c r="BZ2" s="55" t="s">
        <v>1</v>
      </c>
      <c r="CA2" s="55" t="s">
        <v>71</v>
      </c>
      <c r="CB2" s="55" t="s">
        <v>1</v>
      </c>
    </row>
    <row r="3" spans="1:82" s="274" customFormat="1" ht="20.149999999999999" customHeight="1" x14ac:dyDescent="0.35">
      <c r="A3" s="309" t="s">
        <v>27</v>
      </c>
      <c r="B3" s="398" t="s">
        <v>77</v>
      </c>
      <c r="C3" s="273"/>
      <c r="D3" s="70" t="s">
        <v>81</v>
      </c>
      <c r="E3" s="53" t="s">
        <v>23</v>
      </c>
      <c r="F3" s="69">
        <v>45684</v>
      </c>
      <c r="G3" s="68" t="s">
        <v>68</v>
      </c>
      <c r="H3" s="69">
        <v>45789</v>
      </c>
      <c r="I3" s="68" t="s">
        <v>231</v>
      </c>
      <c r="J3" s="69">
        <v>45891</v>
      </c>
      <c r="K3" s="68" t="s">
        <v>232</v>
      </c>
      <c r="L3" s="69">
        <v>45894</v>
      </c>
      <c r="M3" s="68"/>
      <c r="N3" s="69"/>
      <c r="O3" s="68"/>
      <c r="P3" s="69"/>
      <c r="Q3" s="68"/>
      <c r="R3" s="69"/>
      <c r="S3" s="68"/>
      <c r="T3" s="69"/>
      <c r="U3" s="68"/>
      <c r="V3" s="69"/>
      <c r="W3" s="68"/>
      <c r="X3" s="69"/>
      <c r="Y3" s="68"/>
      <c r="Z3" s="69"/>
      <c r="AA3" s="68"/>
      <c r="AB3" s="69"/>
      <c r="AC3" s="68"/>
      <c r="AD3" s="69"/>
      <c r="AE3" s="68"/>
      <c r="AF3" s="69"/>
      <c r="AG3" s="68"/>
      <c r="AH3" s="69"/>
      <c r="AI3" s="68"/>
      <c r="AJ3" s="69"/>
      <c r="AK3" s="68"/>
      <c r="AL3" s="69"/>
      <c r="AM3" s="68"/>
      <c r="AN3" s="69"/>
      <c r="AO3" s="68"/>
      <c r="AP3" s="69"/>
      <c r="AQ3" s="68"/>
      <c r="AR3" s="69"/>
      <c r="AS3" s="68"/>
      <c r="AT3" s="69"/>
      <c r="AU3" s="68"/>
      <c r="AV3" s="69"/>
      <c r="AW3" s="68"/>
      <c r="AX3" s="69"/>
      <c r="AY3" s="68"/>
      <c r="AZ3" s="69"/>
      <c r="BA3" s="68"/>
      <c r="BB3" s="69"/>
      <c r="BC3" s="68"/>
      <c r="BD3" s="69"/>
      <c r="BE3" s="68"/>
      <c r="BF3" s="69"/>
      <c r="BG3" s="68"/>
      <c r="BH3" s="69"/>
      <c r="BI3" s="68"/>
      <c r="BJ3" s="69"/>
      <c r="BK3" s="68"/>
      <c r="BL3" s="69"/>
      <c r="BM3" s="68"/>
      <c r="BN3" s="69"/>
      <c r="BO3" s="68"/>
      <c r="BP3" s="69"/>
      <c r="BQ3" s="68"/>
      <c r="BR3" s="69"/>
      <c r="BS3" s="68"/>
      <c r="BT3" s="69"/>
      <c r="BU3" s="68"/>
      <c r="BV3" s="69"/>
      <c r="BW3" s="68"/>
      <c r="BX3" s="69"/>
      <c r="BY3" s="68"/>
      <c r="BZ3" s="69"/>
      <c r="CA3" s="68"/>
      <c r="CB3" s="69"/>
      <c r="CC3" s="68"/>
      <c r="CD3" s="69"/>
    </row>
    <row r="4" spans="1:82" s="44" customFormat="1" ht="20.149999999999999" customHeight="1" x14ac:dyDescent="0.35">
      <c r="A4" s="309"/>
      <c r="B4" s="399"/>
      <c r="C4" s="3"/>
      <c r="D4" s="67" t="s">
        <v>80</v>
      </c>
      <c r="E4" s="48" t="s">
        <v>23</v>
      </c>
      <c r="F4" s="45">
        <v>45826</v>
      </c>
      <c r="G4" s="46" t="s">
        <v>68</v>
      </c>
      <c r="H4" s="45">
        <v>45805</v>
      </c>
      <c r="I4" s="46"/>
      <c r="J4" s="45"/>
      <c r="K4" s="46"/>
      <c r="L4" s="45"/>
      <c r="M4" s="46"/>
      <c r="N4" s="45"/>
      <c r="O4" s="46"/>
      <c r="P4" s="45"/>
      <c r="Q4" s="46"/>
      <c r="R4" s="45"/>
      <c r="S4" s="46"/>
      <c r="T4" s="45"/>
      <c r="U4" s="46"/>
      <c r="V4" s="45"/>
      <c r="W4" s="46"/>
      <c r="X4" s="45"/>
      <c r="Y4" s="46"/>
      <c r="Z4" s="45"/>
      <c r="AA4" s="46"/>
      <c r="AB4" s="45"/>
      <c r="AC4" s="46"/>
      <c r="AD4" s="45"/>
      <c r="AE4" s="46"/>
      <c r="AF4" s="45"/>
      <c r="AG4" s="46"/>
      <c r="AH4" s="45"/>
      <c r="AI4" s="46"/>
      <c r="AJ4" s="45"/>
      <c r="AK4" s="46"/>
      <c r="AL4" s="45"/>
      <c r="AM4" s="46"/>
      <c r="AN4" s="45"/>
      <c r="AO4" s="46"/>
      <c r="AP4" s="45"/>
      <c r="AQ4" s="46"/>
      <c r="AR4" s="45"/>
      <c r="AS4" s="46"/>
      <c r="AT4" s="45"/>
      <c r="AU4" s="46"/>
      <c r="AV4" s="45"/>
      <c r="AW4" s="46"/>
      <c r="AX4" s="45"/>
      <c r="AY4" s="46"/>
      <c r="AZ4" s="45"/>
      <c r="BA4" s="46"/>
      <c r="BB4" s="45"/>
      <c r="BC4" s="46"/>
      <c r="BD4" s="45"/>
      <c r="BE4" s="46"/>
      <c r="BF4" s="45"/>
      <c r="BG4" s="46"/>
      <c r="BH4" s="45"/>
      <c r="BI4" s="46"/>
      <c r="BJ4" s="45"/>
      <c r="BK4" s="46"/>
      <c r="BL4" s="45"/>
      <c r="BM4" s="46"/>
      <c r="BN4" s="45"/>
      <c r="BO4" s="46"/>
      <c r="BP4" s="45"/>
      <c r="BQ4" s="46"/>
      <c r="BR4" s="45"/>
      <c r="BS4" s="46"/>
      <c r="BT4" s="45"/>
      <c r="BU4" s="46"/>
      <c r="BV4" s="45"/>
      <c r="BW4" s="46"/>
      <c r="BX4" s="45"/>
      <c r="BY4" s="46"/>
      <c r="BZ4" s="45"/>
      <c r="CA4" s="46"/>
      <c r="CB4" s="45"/>
      <c r="CC4" s="46"/>
      <c r="CD4" s="45"/>
    </row>
    <row r="5" spans="1:82" s="47" customFormat="1" ht="20.149999999999999" customHeight="1" x14ac:dyDescent="0.35">
      <c r="A5" s="309" t="s">
        <v>27</v>
      </c>
      <c r="B5" s="399"/>
      <c r="C5" s="3"/>
      <c r="D5" s="66" t="s">
        <v>363</v>
      </c>
      <c r="E5" s="50" t="s">
        <v>23</v>
      </c>
      <c r="F5" s="65" t="s">
        <v>26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</row>
    <row r="6" spans="1:82" s="44" customFormat="1" ht="20.149999999999999" customHeight="1" x14ac:dyDescent="0.35">
      <c r="A6" s="309" t="s">
        <v>386</v>
      </c>
      <c r="B6" s="399"/>
      <c r="C6" s="3"/>
      <c r="D6" s="67" t="s">
        <v>364</v>
      </c>
      <c r="E6" s="48" t="s">
        <v>29</v>
      </c>
      <c r="F6" s="45">
        <v>45714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</row>
    <row r="7" spans="1:82" s="47" customFormat="1" ht="20.149999999999999" customHeight="1" x14ac:dyDescent="0.35">
      <c r="A7" s="309"/>
      <c r="B7" s="399"/>
      <c r="C7" s="3"/>
      <c r="D7" s="66" t="s">
        <v>524</v>
      </c>
      <c r="E7" s="50" t="s">
        <v>23</v>
      </c>
      <c r="F7" s="65">
        <v>45827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</row>
    <row r="8" spans="1:82" s="47" customFormat="1" ht="14.5" hidden="1" customHeight="1" x14ac:dyDescent="0.35">
      <c r="A8" s="309">
        <v>-3</v>
      </c>
      <c r="B8" s="399"/>
      <c r="C8" s="3"/>
      <c r="D8" s="66" t="s">
        <v>256</v>
      </c>
      <c r="E8" s="50" t="s">
        <v>29</v>
      </c>
      <c r="F8" s="65">
        <v>45869</v>
      </c>
      <c r="G8" s="49" t="s">
        <v>68</v>
      </c>
      <c r="H8" s="65">
        <v>45778</v>
      </c>
      <c r="I8" s="49" t="s">
        <v>68</v>
      </c>
      <c r="J8" s="65">
        <v>45805</v>
      </c>
      <c r="K8" s="49" t="s">
        <v>68</v>
      </c>
      <c r="L8" s="65">
        <v>45847</v>
      </c>
      <c r="M8" s="49" t="s">
        <v>68</v>
      </c>
      <c r="N8" s="65">
        <v>45868</v>
      </c>
      <c r="O8" s="49"/>
      <c r="P8" s="65"/>
      <c r="Q8" s="49"/>
      <c r="R8" s="65"/>
      <c r="S8" s="49"/>
      <c r="T8" s="65"/>
      <c r="U8" s="49"/>
      <c r="V8" s="65"/>
      <c r="W8" s="49"/>
      <c r="X8" s="65"/>
      <c r="Y8" s="49"/>
      <c r="Z8" s="65"/>
      <c r="AA8" s="49"/>
      <c r="AB8" s="65"/>
      <c r="AC8" s="49"/>
      <c r="AD8" s="65"/>
      <c r="AE8" s="49"/>
      <c r="AF8" s="65"/>
      <c r="AG8" s="49"/>
      <c r="AH8" s="65"/>
      <c r="AI8" s="49"/>
      <c r="AJ8" s="65"/>
      <c r="AK8" s="49"/>
      <c r="AL8" s="65"/>
      <c r="AM8" s="49"/>
      <c r="AN8" s="65"/>
      <c r="AO8" s="49"/>
      <c r="AP8" s="65"/>
      <c r="AQ8" s="49"/>
      <c r="AR8" s="65"/>
      <c r="AS8" s="49"/>
      <c r="AT8" s="65"/>
      <c r="AU8" s="49"/>
      <c r="AV8" s="65"/>
      <c r="AW8" s="49"/>
      <c r="AX8" s="65"/>
      <c r="AY8" s="49"/>
      <c r="AZ8" s="65"/>
      <c r="BA8" s="49"/>
      <c r="BB8" s="65"/>
      <c r="BC8" s="49"/>
      <c r="BD8" s="65"/>
      <c r="BE8" s="49"/>
      <c r="BF8" s="65"/>
      <c r="BG8" s="49"/>
      <c r="BH8" s="65"/>
      <c r="BI8" s="49"/>
      <c r="BJ8" s="65"/>
      <c r="BK8" s="49"/>
      <c r="BL8" s="65"/>
      <c r="BM8" s="49"/>
      <c r="BN8" s="65"/>
      <c r="BO8" s="49"/>
      <c r="BP8" s="65"/>
      <c r="BQ8" s="49"/>
      <c r="BR8" s="65"/>
      <c r="BS8" s="49"/>
      <c r="BT8" s="65"/>
      <c r="BU8" s="49"/>
      <c r="BV8" s="65"/>
      <c r="BW8" s="49"/>
      <c r="BX8" s="65"/>
      <c r="BY8" s="49"/>
      <c r="BZ8" s="65"/>
      <c r="CA8" s="49"/>
      <c r="CB8" s="65"/>
      <c r="CC8" s="49"/>
      <c r="CD8" s="65"/>
    </row>
    <row r="9" spans="1:82" s="44" customFormat="1" ht="20.5" customHeight="1" x14ac:dyDescent="0.35">
      <c r="A9" s="309">
        <v>-3</v>
      </c>
      <c r="B9" s="399"/>
      <c r="C9" s="310"/>
      <c r="D9" s="67" t="s">
        <v>30</v>
      </c>
      <c r="E9" s="48" t="s">
        <v>23</v>
      </c>
      <c r="F9" s="45">
        <v>45897</v>
      </c>
      <c r="G9" s="46" t="s">
        <v>317</v>
      </c>
      <c r="H9" s="45">
        <v>45930</v>
      </c>
      <c r="I9" s="46" t="s">
        <v>317</v>
      </c>
      <c r="J9" s="45">
        <v>45973</v>
      </c>
      <c r="K9" s="44" t="s">
        <v>317</v>
      </c>
      <c r="L9" s="45">
        <v>45662</v>
      </c>
      <c r="M9" s="46" t="s">
        <v>232</v>
      </c>
      <c r="N9" s="45">
        <v>46037</v>
      </c>
      <c r="O9" s="46"/>
      <c r="P9" s="45"/>
      <c r="Q9" s="46"/>
      <c r="R9" s="45"/>
      <c r="S9" s="46"/>
      <c r="T9" s="45"/>
      <c r="U9" s="46"/>
      <c r="V9" s="45"/>
      <c r="W9" s="46"/>
      <c r="X9" s="45"/>
      <c r="Y9" s="46"/>
      <c r="Z9" s="45"/>
      <c r="AA9" s="46"/>
      <c r="AB9" s="45"/>
      <c r="AC9" s="46"/>
      <c r="AD9" s="45"/>
      <c r="AE9" s="46"/>
      <c r="AF9" s="45"/>
      <c r="AG9" s="46"/>
      <c r="AH9" s="45"/>
      <c r="AI9" s="46"/>
      <c r="AJ9" s="45"/>
      <c r="AK9" s="46"/>
      <c r="AL9" s="45"/>
      <c r="AM9" s="46"/>
      <c r="AN9" s="45"/>
      <c r="AO9" s="46"/>
      <c r="AP9" s="45"/>
      <c r="AQ9" s="46"/>
      <c r="AR9" s="45"/>
      <c r="AS9" s="46"/>
      <c r="AT9" s="45"/>
      <c r="AU9" s="46"/>
      <c r="AV9" s="45"/>
      <c r="AW9" s="46"/>
      <c r="AX9" s="45"/>
      <c r="AY9" s="46"/>
      <c r="AZ9" s="45"/>
      <c r="BA9" s="46"/>
      <c r="BB9" s="45"/>
      <c r="BC9" s="46"/>
      <c r="BD9" s="45"/>
      <c r="BE9" s="46"/>
      <c r="BF9" s="45"/>
      <c r="BG9" s="46"/>
      <c r="BH9" s="45"/>
      <c r="BI9" s="46"/>
      <c r="BJ9" s="45"/>
      <c r="BK9" s="46"/>
      <c r="BL9" s="45"/>
      <c r="BM9" s="46"/>
      <c r="BN9" s="45"/>
      <c r="BO9" s="46"/>
      <c r="BP9" s="45"/>
      <c r="BQ9" s="46"/>
      <c r="BR9" s="45"/>
      <c r="BS9" s="46"/>
      <c r="BT9" s="45"/>
      <c r="BU9" s="46"/>
      <c r="BV9" s="45"/>
      <c r="BW9" s="46"/>
      <c r="BX9" s="45"/>
      <c r="BY9" s="46"/>
      <c r="BZ9" s="45"/>
      <c r="CA9" s="46"/>
      <c r="CB9" s="45"/>
      <c r="CC9" s="46"/>
      <c r="CD9" s="45"/>
    </row>
    <row r="10" spans="1:82" s="381" customFormat="1" ht="20.149999999999999" customHeight="1" x14ac:dyDescent="0.35">
      <c r="A10" s="373">
        <v>-2</v>
      </c>
      <c r="B10" s="399"/>
      <c r="C10" s="374"/>
      <c r="D10" s="375" t="s">
        <v>315</v>
      </c>
      <c r="E10" s="376" t="s">
        <v>23</v>
      </c>
      <c r="F10" s="377">
        <v>45897</v>
      </c>
      <c r="G10" s="378" t="s">
        <v>317</v>
      </c>
      <c r="H10" s="379">
        <v>45911</v>
      </c>
      <c r="I10" s="378" t="s">
        <v>317</v>
      </c>
      <c r="J10" s="379">
        <v>45947</v>
      </c>
      <c r="K10" s="378" t="s">
        <v>317</v>
      </c>
      <c r="L10" s="379">
        <v>45974</v>
      </c>
      <c r="M10" s="380"/>
      <c r="N10" s="377"/>
      <c r="O10" s="380"/>
      <c r="P10" s="377"/>
      <c r="Q10" s="380"/>
      <c r="R10" s="377"/>
      <c r="S10" s="380"/>
      <c r="T10" s="377"/>
      <c r="U10" s="380"/>
      <c r="V10" s="377"/>
      <c r="W10" s="380"/>
      <c r="X10" s="377"/>
      <c r="Y10" s="380"/>
      <c r="Z10" s="377"/>
      <c r="AA10" s="380"/>
      <c r="AB10" s="377"/>
      <c r="AC10" s="380"/>
      <c r="AD10" s="377"/>
      <c r="AE10" s="380"/>
      <c r="AF10" s="377"/>
      <c r="AG10" s="380"/>
      <c r="AH10" s="377"/>
      <c r="AI10" s="380"/>
      <c r="AJ10" s="377"/>
      <c r="AK10" s="380"/>
      <c r="AL10" s="377"/>
      <c r="AM10" s="380"/>
      <c r="AN10" s="377"/>
      <c r="AO10" s="380"/>
      <c r="AP10" s="377"/>
      <c r="AQ10" s="380"/>
      <c r="AR10" s="377"/>
      <c r="AS10" s="380"/>
      <c r="AT10" s="377"/>
      <c r="AU10" s="380"/>
      <c r="AV10" s="377"/>
      <c r="AW10" s="380"/>
      <c r="AX10" s="377"/>
      <c r="AY10" s="380"/>
      <c r="AZ10" s="377"/>
      <c r="BA10" s="380"/>
      <c r="BB10" s="377"/>
      <c r="BC10" s="380"/>
      <c r="BD10" s="377"/>
      <c r="BE10" s="380"/>
      <c r="BF10" s="377"/>
      <c r="BG10" s="380"/>
      <c r="BH10" s="377"/>
      <c r="BI10" s="380"/>
      <c r="BJ10" s="377"/>
      <c r="BK10" s="380"/>
      <c r="BL10" s="377"/>
      <c r="BM10" s="380"/>
      <c r="BN10" s="377"/>
      <c r="BO10" s="380"/>
      <c r="BP10" s="377"/>
      <c r="BQ10" s="380"/>
      <c r="BR10" s="377"/>
      <c r="BS10" s="380"/>
      <c r="BT10" s="377"/>
      <c r="BU10" s="380"/>
      <c r="BV10" s="377"/>
      <c r="BW10" s="380"/>
      <c r="BX10" s="377"/>
      <c r="BY10" s="380"/>
      <c r="BZ10" s="377"/>
      <c r="CA10" s="380"/>
      <c r="CB10" s="377"/>
      <c r="CC10" s="380"/>
      <c r="CD10" s="377"/>
    </row>
    <row r="11" spans="1:82" s="47" customFormat="1" ht="20.149999999999999" hidden="1" customHeight="1" x14ac:dyDescent="0.35">
      <c r="A11" s="309">
        <v>-2</v>
      </c>
      <c r="B11" s="399"/>
      <c r="C11" s="3"/>
      <c r="D11" s="66" t="s">
        <v>523</v>
      </c>
      <c r="E11" s="50" t="s">
        <v>23</v>
      </c>
      <c r="F11" s="65" t="s">
        <v>26</v>
      </c>
      <c r="G11" s="49" t="s">
        <v>68</v>
      </c>
      <c r="H11" s="65">
        <v>45789</v>
      </c>
      <c r="I11" s="49" t="s">
        <v>68</v>
      </c>
      <c r="J11" s="65">
        <v>45814</v>
      </c>
      <c r="K11" s="49" t="s">
        <v>68</v>
      </c>
      <c r="L11" s="65">
        <v>45835</v>
      </c>
      <c r="M11" s="49" t="s">
        <v>68</v>
      </c>
      <c r="N11" s="65">
        <v>45852</v>
      </c>
      <c r="O11" s="49" t="s">
        <v>68</v>
      </c>
      <c r="P11" s="65">
        <v>45874</v>
      </c>
      <c r="Q11" s="49" t="s">
        <v>204</v>
      </c>
      <c r="R11" s="65">
        <v>45887</v>
      </c>
      <c r="S11" s="49" t="s">
        <v>240</v>
      </c>
      <c r="T11" s="65">
        <v>45895</v>
      </c>
      <c r="U11" s="49"/>
      <c r="V11" s="65"/>
      <c r="W11" s="49"/>
      <c r="X11" s="65"/>
      <c r="Y11" s="49"/>
      <c r="Z11" s="65"/>
      <c r="AA11" s="49"/>
      <c r="AB11" s="65"/>
      <c r="AC11" s="49"/>
      <c r="AD11" s="65"/>
      <c r="AE11" s="49"/>
      <c r="AF11" s="65"/>
      <c r="AG11" s="49"/>
      <c r="AH11" s="65"/>
      <c r="AI11" s="49"/>
      <c r="AJ11" s="65"/>
      <c r="AK11" s="49"/>
      <c r="AL11" s="65"/>
      <c r="AM11" s="49"/>
      <c r="AN11" s="65"/>
      <c r="AO11" s="49"/>
      <c r="AP11" s="65"/>
      <c r="AQ11" s="49"/>
      <c r="AR11" s="65"/>
      <c r="AS11" s="49"/>
      <c r="AT11" s="65"/>
      <c r="AU11" s="49"/>
      <c r="AV11" s="65"/>
      <c r="AW11" s="49"/>
      <c r="AX11" s="65"/>
      <c r="AY11" s="49"/>
      <c r="AZ11" s="65"/>
      <c r="BA11" s="49"/>
      <c r="BB11" s="65"/>
      <c r="BC11" s="49"/>
      <c r="BD11" s="65"/>
      <c r="BE11" s="49"/>
      <c r="BF11" s="65"/>
      <c r="BG11" s="49"/>
      <c r="BH11" s="65"/>
      <c r="BI11" s="49"/>
      <c r="BJ11" s="65"/>
      <c r="BK11" s="49"/>
      <c r="BL11" s="65"/>
      <c r="BM11" s="49"/>
      <c r="BN11" s="65"/>
      <c r="BO11" s="49"/>
      <c r="BP11" s="65"/>
      <c r="BQ11" s="49"/>
      <c r="BR11" s="65"/>
      <c r="BS11" s="49"/>
      <c r="BT11" s="65"/>
      <c r="BU11" s="49"/>
      <c r="BV11" s="65"/>
      <c r="BW11" s="49"/>
      <c r="BX11" s="65"/>
      <c r="BY11" s="49"/>
      <c r="BZ11" s="65"/>
      <c r="CA11" s="49"/>
      <c r="CB11" s="65"/>
      <c r="CC11" s="49"/>
      <c r="CD11" s="65"/>
    </row>
    <row r="12" spans="1:82" s="44" customFormat="1" ht="20.149999999999999" customHeight="1" x14ac:dyDescent="0.35">
      <c r="A12" s="309">
        <v>-2</v>
      </c>
      <c r="B12" s="399"/>
      <c r="C12" s="310"/>
      <c r="D12" s="67" t="s">
        <v>35</v>
      </c>
      <c r="E12" s="48" t="s">
        <v>23</v>
      </c>
      <c r="F12" s="45">
        <v>45904</v>
      </c>
      <c r="G12" s="45" t="s">
        <v>204</v>
      </c>
      <c r="H12" s="45">
        <v>45932</v>
      </c>
      <c r="I12" s="46" t="s">
        <v>204</v>
      </c>
      <c r="J12" s="45">
        <v>45939</v>
      </c>
      <c r="K12" s="46" t="s">
        <v>414</v>
      </c>
      <c r="L12" s="44" t="s">
        <v>431</v>
      </c>
      <c r="M12" s="46" t="s">
        <v>204</v>
      </c>
      <c r="N12" s="45">
        <v>45946</v>
      </c>
      <c r="O12" s="46" t="s">
        <v>500</v>
      </c>
      <c r="P12" s="45">
        <v>45966</v>
      </c>
      <c r="Q12" s="46" t="s">
        <v>674</v>
      </c>
      <c r="R12" s="45">
        <v>46003</v>
      </c>
      <c r="S12" s="46" t="s">
        <v>204</v>
      </c>
      <c r="T12" s="45">
        <v>46008</v>
      </c>
      <c r="U12" s="46" t="s">
        <v>232</v>
      </c>
      <c r="V12" s="45">
        <v>46024</v>
      </c>
      <c r="W12" s="46" t="s">
        <v>317</v>
      </c>
      <c r="X12" s="45">
        <v>46028</v>
      </c>
      <c r="Y12" s="46"/>
      <c r="Z12" s="45"/>
      <c r="AA12" s="46"/>
      <c r="AB12" s="45"/>
      <c r="AC12" s="46"/>
      <c r="AD12" s="45"/>
      <c r="AE12" s="46"/>
      <c r="AF12" s="45"/>
      <c r="AG12" s="46"/>
      <c r="AH12" s="45"/>
      <c r="AI12" s="46"/>
      <c r="AJ12" s="45"/>
      <c r="AK12" s="46"/>
      <c r="AL12" s="45"/>
      <c r="AM12" s="46"/>
      <c r="AN12" s="45"/>
      <c r="AO12" s="46"/>
      <c r="AP12" s="45"/>
      <c r="AQ12" s="46"/>
      <c r="AR12" s="45"/>
      <c r="AS12" s="46"/>
      <c r="AT12" s="45"/>
      <c r="AU12" s="46"/>
      <c r="AV12" s="45"/>
      <c r="AW12" s="46"/>
      <c r="AX12" s="45"/>
      <c r="AY12" s="46"/>
      <c r="AZ12" s="45"/>
      <c r="BA12" s="46"/>
      <c r="BB12" s="45"/>
      <c r="BC12" s="46"/>
      <c r="BD12" s="45"/>
      <c r="BE12" s="46"/>
      <c r="BF12" s="45"/>
      <c r="BG12" s="46"/>
      <c r="BH12" s="45"/>
      <c r="BI12" s="46"/>
      <c r="BJ12" s="45"/>
      <c r="BK12" s="46"/>
      <c r="BL12" s="45"/>
      <c r="BM12" s="46"/>
      <c r="BN12" s="45"/>
      <c r="BO12" s="46"/>
      <c r="BP12" s="45"/>
      <c r="BQ12" s="46"/>
      <c r="BR12" s="45"/>
      <c r="BS12" s="46"/>
      <c r="BT12" s="45"/>
      <c r="BU12" s="46"/>
      <c r="BV12" s="45"/>
      <c r="BW12" s="46"/>
      <c r="BX12" s="45"/>
      <c r="BY12" s="46"/>
      <c r="BZ12" s="45"/>
      <c r="CA12" s="46"/>
      <c r="CB12" s="45"/>
      <c r="CC12" s="46"/>
      <c r="CD12" s="45"/>
    </row>
    <row r="13" spans="1:82" s="47" customFormat="1" ht="20.149999999999999" customHeight="1" x14ac:dyDescent="0.35">
      <c r="A13" s="309">
        <v>-3</v>
      </c>
      <c r="B13" s="399"/>
      <c r="C13" s="3"/>
      <c r="D13" s="66" t="s">
        <v>37</v>
      </c>
      <c r="E13" s="50" t="s">
        <v>23</v>
      </c>
      <c r="F13" s="65">
        <v>45973</v>
      </c>
      <c r="G13" s="49" t="s">
        <v>68</v>
      </c>
      <c r="H13" s="65">
        <v>45782</v>
      </c>
      <c r="I13" s="49" t="s">
        <v>68</v>
      </c>
      <c r="J13" s="65">
        <v>45814</v>
      </c>
      <c r="K13" s="49" t="s">
        <v>68</v>
      </c>
      <c r="L13" s="65">
        <v>45874</v>
      </c>
      <c r="M13" s="49" t="s">
        <v>204</v>
      </c>
      <c r="N13" s="65">
        <v>45904</v>
      </c>
      <c r="O13" s="49" t="s">
        <v>204</v>
      </c>
      <c r="P13" s="65">
        <v>45966</v>
      </c>
      <c r="Q13" s="49" t="s">
        <v>204</v>
      </c>
      <c r="R13" s="65">
        <v>45974</v>
      </c>
      <c r="S13" s="49" t="s">
        <v>204</v>
      </c>
      <c r="T13" s="65">
        <v>45993</v>
      </c>
      <c r="U13" s="49" t="s">
        <v>674</v>
      </c>
      <c r="V13" s="65">
        <v>46003</v>
      </c>
      <c r="W13" s="337" t="s">
        <v>240</v>
      </c>
      <c r="X13" s="336">
        <v>46014</v>
      </c>
      <c r="Y13" s="337" t="s">
        <v>204</v>
      </c>
      <c r="Z13" s="65">
        <v>46020</v>
      </c>
      <c r="AA13" s="49"/>
      <c r="AB13" s="65"/>
      <c r="AC13" s="49"/>
      <c r="AD13" s="65"/>
      <c r="AE13" s="49"/>
      <c r="AF13" s="65"/>
      <c r="AG13" s="49"/>
      <c r="AH13" s="65"/>
      <c r="AI13" s="49"/>
      <c r="AJ13" s="65"/>
      <c r="AK13" s="49"/>
      <c r="AL13" s="65"/>
      <c r="AM13" s="49"/>
      <c r="AN13" s="65"/>
      <c r="AO13" s="49"/>
      <c r="AP13" s="65"/>
      <c r="AQ13" s="49"/>
      <c r="AR13" s="65"/>
      <c r="AS13" s="49"/>
      <c r="AT13" s="65"/>
      <c r="AU13" s="49"/>
      <c r="AV13" s="65"/>
      <c r="AW13" s="49"/>
      <c r="AX13" s="65"/>
      <c r="AY13" s="49"/>
      <c r="AZ13" s="65"/>
      <c r="BA13" s="49"/>
      <c r="BB13" s="65"/>
      <c r="BC13" s="49"/>
      <c r="BD13" s="65"/>
      <c r="BE13" s="49"/>
      <c r="BF13" s="65"/>
      <c r="BG13" s="49"/>
      <c r="BH13" s="65"/>
      <c r="BI13" s="49"/>
      <c r="BJ13" s="65"/>
      <c r="BK13" s="49"/>
      <c r="BL13" s="65"/>
      <c r="BM13" s="49"/>
      <c r="BN13" s="65"/>
      <c r="BO13" s="49"/>
      <c r="BP13" s="65"/>
      <c r="BQ13" s="49"/>
      <c r="BR13" s="65"/>
      <c r="BS13" s="49"/>
      <c r="BT13" s="65"/>
      <c r="BU13" s="49"/>
      <c r="BV13" s="65"/>
      <c r="BW13" s="49"/>
      <c r="BX13" s="65"/>
      <c r="BY13" s="49"/>
      <c r="BZ13" s="65"/>
      <c r="CA13" s="49"/>
      <c r="CB13" s="65"/>
      <c r="CC13" s="49"/>
      <c r="CD13" s="65"/>
    </row>
    <row r="14" spans="1:82" s="44" customFormat="1" ht="20.149999999999999" customHeight="1" x14ac:dyDescent="0.35">
      <c r="A14" s="309">
        <v>-3</v>
      </c>
      <c r="B14" s="399"/>
      <c r="C14" s="310"/>
      <c r="D14" s="267" t="s">
        <v>38</v>
      </c>
      <c r="E14" s="268" t="s">
        <v>23</v>
      </c>
      <c r="F14" s="269" t="s">
        <v>26</v>
      </c>
      <c r="G14" s="270" t="s">
        <v>68</v>
      </c>
      <c r="H14" s="269">
        <v>45818</v>
      </c>
      <c r="I14" s="270" t="s">
        <v>68</v>
      </c>
      <c r="J14" s="269">
        <v>45831</v>
      </c>
      <c r="K14" s="270" t="s">
        <v>317</v>
      </c>
      <c r="L14" s="269">
        <v>45910</v>
      </c>
      <c r="M14" s="270" t="s">
        <v>204</v>
      </c>
      <c r="N14" s="269">
        <v>45964</v>
      </c>
      <c r="O14" s="270" t="s">
        <v>317</v>
      </c>
      <c r="P14" s="269">
        <v>46042</v>
      </c>
      <c r="Q14" s="270"/>
      <c r="R14" s="269"/>
      <c r="S14" s="270"/>
      <c r="T14" s="269"/>
      <c r="U14" s="270"/>
      <c r="V14" s="269"/>
      <c r="W14" s="270"/>
      <c r="X14" s="269"/>
      <c r="Y14" s="270"/>
      <c r="Z14" s="269"/>
      <c r="AA14" s="270"/>
      <c r="AB14" s="269"/>
      <c r="AC14" s="270"/>
      <c r="AD14" s="269"/>
      <c r="AE14" s="270"/>
      <c r="AF14" s="269"/>
      <c r="AG14" s="270"/>
      <c r="AH14" s="269"/>
      <c r="AI14" s="270"/>
      <c r="AJ14" s="269"/>
      <c r="AK14" s="270"/>
      <c r="AL14" s="269"/>
      <c r="AM14" s="270"/>
      <c r="AN14" s="269"/>
      <c r="AO14" s="270"/>
      <c r="AP14" s="269"/>
      <c r="AQ14" s="270"/>
      <c r="AR14" s="269"/>
      <c r="AS14" s="270"/>
      <c r="AT14" s="269"/>
      <c r="AU14" s="270"/>
      <c r="AV14" s="269"/>
      <c r="AW14" s="270"/>
      <c r="AX14" s="269"/>
      <c r="AY14" s="270"/>
      <c r="AZ14" s="269"/>
      <c r="BA14" s="270"/>
      <c r="BB14" s="269"/>
      <c r="BC14" s="270"/>
      <c r="BD14" s="269"/>
      <c r="BE14" s="270"/>
      <c r="BF14" s="269"/>
      <c r="BG14" s="270"/>
      <c r="BH14" s="269"/>
      <c r="BI14" s="270"/>
      <c r="BJ14" s="269"/>
      <c r="BK14" s="270"/>
      <c r="BL14" s="269"/>
      <c r="BM14" s="270"/>
      <c r="BN14" s="269"/>
      <c r="BO14" s="270"/>
      <c r="BP14" s="269"/>
      <c r="BQ14" s="270"/>
      <c r="BR14" s="269"/>
      <c r="BS14" s="270"/>
      <c r="BT14" s="269"/>
      <c r="BU14" s="270"/>
      <c r="BV14" s="269"/>
      <c r="BW14" s="270"/>
      <c r="BX14" s="269"/>
      <c r="BY14" s="270"/>
      <c r="BZ14" s="269"/>
      <c r="CA14" s="270"/>
      <c r="CB14" s="269"/>
      <c r="CC14" s="270"/>
      <c r="CD14" s="269"/>
    </row>
    <row r="15" spans="1:82" s="47" customFormat="1" ht="20.149999999999999" customHeight="1" x14ac:dyDescent="0.35">
      <c r="A15" s="309">
        <v>-2</v>
      </c>
      <c r="B15" s="399"/>
      <c r="C15" s="3"/>
      <c r="D15" s="334" t="s">
        <v>40</v>
      </c>
      <c r="E15" s="335" t="s">
        <v>23</v>
      </c>
      <c r="F15" s="336" t="s">
        <v>26</v>
      </c>
      <c r="G15" s="337" t="s">
        <v>68</v>
      </c>
      <c r="H15" s="336">
        <v>45782</v>
      </c>
      <c r="I15" s="337" t="s">
        <v>68</v>
      </c>
      <c r="J15" s="336">
        <v>45831</v>
      </c>
      <c r="K15" s="337" t="s">
        <v>68</v>
      </c>
      <c r="L15" s="336">
        <v>45846</v>
      </c>
      <c r="M15" s="337" t="s">
        <v>68</v>
      </c>
      <c r="N15" s="336">
        <v>45875</v>
      </c>
      <c r="O15" s="337" t="s">
        <v>204</v>
      </c>
      <c r="P15" s="336">
        <v>45894</v>
      </c>
      <c r="Q15" s="337" t="s">
        <v>240</v>
      </c>
      <c r="R15" s="336">
        <v>45915</v>
      </c>
      <c r="S15" s="337" t="s">
        <v>204</v>
      </c>
      <c r="T15" s="336">
        <v>45931</v>
      </c>
      <c r="U15" s="337" t="s">
        <v>204</v>
      </c>
      <c r="V15" s="336">
        <v>45973</v>
      </c>
      <c r="W15" s="337" t="s">
        <v>204</v>
      </c>
      <c r="X15" s="336">
        <v>46008</v>
      </c>
      <c r="Y15" s="337"/>
      <c r="Z15" s="336"/>
      <c r="AA15" s="337"/>
      <c r="AB15" s="336"/>
      <c r="AC15" s="337"/>
      <c r="AD15" s="336"/>
      <c r="AE15" s="337"/>
      <c r="AF15" s="336"/>
      <c r="AG15" s="337"/>
      <c r="AH15" s="336"/>
      <c r="AI15" s="337"/>
      <c r="AJ15" s="336"/>
      <c r="AK15" s="337"/>
      <c r="AL15" s="336"/>
      <c r="AM15" s="337"/>
      <c r="AN15" s="336"/>
      <c r="AO15" s="337"/>
      <c r="AP15" s="336"/>
      <c r="AQ15" s="337"/>
      <c r="AR15" s="336"/>
      <c r="AS15" s="337"/>
      <c r="AT15" s="336"/>
      <c r="AU15" s="337"/>
      <c r="AV15" s="336"/>
      <c r="AW15" s="337"/>
      <c r="AX15" s="336"/>
      <c r="AY15" s="337"/>
      <c r="AZ15" s="336"/>
      <c r="BA15" s="337"/>
      <c r="BB15" s="336"/>
      <c r="BC15" s="337"/>
      <c r="BD15" s="336"/>
      <c r="BE15" s="337"/>
      <c r="BF15" s="336"/>
      <c r="BG15" s="337"/>
      <c r="BH15" s="336"/>
      <c r="BI15" s="337"/>
      <c r="BJ15" s="336"/>
      <c r="BK15" s="337"/>
      <c r="BL15" s="336"/>
      <c r="BM15" s="337"/>
      <c r="BN15" s="336"/>
      <c r="BO15" s="337"/>
      <c r="BP15" s="336"/>
      <c r="BQ15" s="337"/>
      <c r="BR15" s="336"/>
      <c r="BS15" s="337"/>
      <c r="BT15" s="336"/>
      <c r="BU15" s="337"/>
      <c r="BV15" s="336"/>
      <c r="BW15" s="337"/>
      <c r="BX15" s="336"/>
      <c r="BY15" s="337"/>
      <c r="BZ15" s="336"/>
      <c r="CA15" s="337"/>
      <c r="CB15" s="336"/>
      <c r="CC15" s="337"/>
      <c r="CD15" s="336"/>
    </row>
    <row r="16" spans="1:82" s="44" customFormat="1" ht="20.149999999999999" customHeight="1" x14ac:dyDescent="0.35">
      <c r="A16" s="309">
        <v>-2</v>
      </c>
      <c r="B16" s="399"/>
      <c r="C16" s="310"/>
      <c r="D16" s="267" t="s">
        <v>198</v>
      </c>
      <c r="E16" s="268" t="s">
        <v>23</v>
      </c>
      <c r="F16" s="269">
        <v>45880</v>
      </c>
      <c r="G16" s="270" t="s">
        <v>204</v>
      </c>
      <c r="H16" s="269">
        <v>45890</v>
      </c>
      <c r="I16" s="270" t="s">
        <v>204</v>
      </c>
      <c r="J16" s="269">
        <v>45903</v>
      </c>
      <c r="K16" s="270" t="s">
        <v>204</v>
      </c>
      <c r="L16" s="269">
        <v>45915</v>
      </c>
      <c r="M16" s="270" t="s">
        <v>204</v>
      </c>
      <c r="N16" s="269">
        <v>45967</v>
      </c>
      <c r="O16" s="270" t="s">
        <v>204</v>
      </c>
      <c r="P16" s="269">
        <v>45971</v>
      </c>
      <c r="Q16" s="270" t="s">
        <v>317</v>
      </c>
      <c r="R16" s="269">
        <v>46020</v>
      </c>
      <c r="S16" s="270" t="s">
        <v>317</v>
      </c>
      <c r="T16" s="269">
        <v>46028</v>
      </c>
      <c r="U16" s="270" t="s">
        <v>232</v>
      </c>
      <c r="V16" s="269">
        <v>46029</v>
      </c>
      <c r="W16" s="44" t="s">
        <v>232</v>
      </c>
      <c r="X16" s="269">
        <v>46030</v>
      </c>
      <c r="Y16" s="270" t="s">
        <v>317</v>
      </c>
      <c r="Z16" s="269">
        <v>46044</v>
      </c>
      <c r="AA16" s="270"/>
      <c r="AB16" s="269"/>
      <c r="AC16" s="270"/>
      <c r="AD16" s="269"/>
      <c r="AE16" s="270"/>
      <c r="AF16" s="269"/>
      <c r="AG16" s="270"/>
      <c r="AH16" s="269"/>
      <c r="AI16" s="270"/>
      <c r="AJ16" s="269"/>
      <c r="AK16" s="270"/>
      <c r="AL16" s="269"/>
      <c r="AM16" s="270"/>
      <c r="AN16" s="269"/>
      <c r="AO16" s="270"/>
      <c r="AP16" s="269"/>
      <c r="AQ16" s="270"/>
      <c r="AR16" s="269"/>
      <c r="AS16" s="270"/>
      <c r="AT16" s="269"/>
      <c r="AU16" s="270"/>
      <c r="AV16" s="269"/>
      <c r="AW16" s="270"/>
      <c r="AX16" s="269"/>
      <c r="AY16" s="270"/>
      <c r="AZ16" s="269"/>
      <c r="BA16" s="270"/>
      <c r="BB16" s="269"/>
      <c r="BC16" s="270"/>
      <c r="BD16" s="269"/>
      <c r="BE16" s="270"/>
      <c r="BF16" s="269"/>
      <c r="BG16" s="270"/>
      <c r="BH16" s="269"/>
      <c r="BI16" s="270"/>
      <c r="BJ16" s="269"/>
      <c r="BK16" s="270"/>
      <c r="BL16" s="269"/>
      <c r="BM16" s="270"/>
      <c r="BN16" s="269"/>
      <c r="BO16" s="270"/>
      <c r="BP16" s="269"/>
      <c r="BQ16" s="270"/>
      <c r="BR16" s="269"/>
      <c r="BS16" s="270"/>
      <c r="BT16" s="269"/>
      <c r="BU16" s="270"/>
      <c r="BV16" s="269"/>
      <c r="BW16" s="270"/>
      <c r="BX16" s="269"/>
      <c r="BY16" s="270"/>
      <c r="BZ16" s="269"/>
      <c r="CA16" s="270"/>
      <c r="CB16" s="269"/>
      <c r="CC16" s="270"/>
      <c r="CD16" s="269"/>
    </row>
    <row r="17" spans="1:82" s="47" customFormat="1" ht="20.149999999999999" customHeight="1" x14ac:dyDescent="0.35">
      <c r="A17" s="309">
        <v>-2</v>
      </c>
      <c r="B17" s="399"/>
      <c r="C17" s="3"/>
      <c r="D17" s="6" t="s">
        <v>530</v>
      </c>
      <c r="E17" s="335" t="s">
        <v>23</v>
      </c>
      <c r="F17" s="65">
        <v>45979</v>
      </c>
      <c r="G17" s="337" t="s">
        <v>204</v>
      </c>
      <c r="H17" s="336">
        <v>45979</v>
      </c>
      <c r="I17" s="49" t="s">
        <v>204</v>
      </c>
      <c r="J17" s="65">
        <v>45982</v>
      </c>
      <c r="K17" s="49" t="s">
        <v>204</v>
      </c>
      <c r="L17" s="65">
        <v>45985</v>
      </c>
      <c r="M17" s="49" t="s">
        <v>204</v>
      </c>
      <c r="N17" s="65">
        <v>46030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</row>
    <row r="18" spans="1:82" s="271" customFormat="1" ht="20.149999999999999" customHeight="1" x14ac:dyDescent="0.35">
      <c r="A18" s="309" t="s">
        <v>209</v>
      </c>
      <c r="B18" s="402"/>
      <c r="C18" s="316"/>
      <c r="D18" s="338" t="s">
        <v>211</v>
      </c>
      <c r="E18" s="339" t="s">
        <v>212</v>
      </c>
      <c r="F18" s="340" t="s">
        <v>26</v>
      </c>
      <c r="G18" s="341"/>
      <c r="H18" s="340"/>
      <c r="I18" s="341"/>
      <c r="J18" s="340"/>
      <c r="K18" s="341"/>
      <c r="L18" s="340"/>
      <c r="M18" s="341"/>
      <c r="N18" s="340"/>
      <c r="O18" s="341"/>
      <c r="P18" s="340"/>
      <c r="Q18" s="341"/>
      <c r="R18" s="340"/>
      <c r="S18" s="341"/>
      <c r="T18" s="340"/>
      <c r="U18" s="341"/>
      <c r="V18" s="340"/>
      <c r="W18" s="341"/>
      <c r="X18" s="340"/>
      <c r="Y18" s="341"/>
      <c r="Z18" s="340"/>
      <c r="AA18" s="341"/>
      <c r="AB18" s="340"/>
      <c r="AC18" s="341"/>
      <c r="AD18" s="340"/>
      <c r="AE18" s="341"/>
      <c r="AF18" s="340"/>
      <c r="AG18" s="341"/>
      <c r="AH18" s="340"/>
      <c r="AI18" s="341"/>
      <c r="AJ18" s="340"/>
      <c r="AK18" s="341"/>
      <c r="AL18" s="340"/>
      <c r="AM18" s="341"/>
      <c r="AN18" s="340"/>
      <c r="AO18" s="341"/>
      <c r="AP18" s="340"/>
      <c r="AQ18" s="341"/>
      <c r="AR18" s="340"/>
      <c r="AS18" s="341"/>
      <c r="AT18" s="340"/>
      <c r="AU18" s="341"/>
      <c r="AV18" s="340"/>
      <c r="AW18" s="341"/>
      <c r="AX18" s="340"/>
      <c r="AY18" s="341"/>
      <c r="AZ18" s="340"/>
      <c r="BA18" s="341"/>
      <c r="BB18" s="340"/>
      <c r="BC18" s="341"/>
      <c r="BD18" s="340"/>
      <c r="BE18" s="341"/>
      <c r="BF18" s="340"/>
      <c r="BG18" s="341"/>
      <c r="BH18" s="340"/>
      <c r="BI18" s="341"/>
      <c r="BJ18" s="340"/>
      <c r="BK18" s="341"/>
      <c r="BL18" s="340"/>
      <c r="BM18" s="341"/>
      <c r="BN18" s="340"/>
      <c r="BO18" s="341"/>
      <c r="BP18" s="340"/>
      <c r="BQ18" s="341"/>
      <c r="BR18" s="340"/>
      <c r="BS18" s="341"/>
      <c r="BT18" s="340"/>
      <c r="BU18" s="341"/>
      <c r="BV18" s="340"/>
      <c r="BW18" s="341"/>
      <c r="BX18" s="340"/>
      <c r="BY18" s="341"/>
      <c r="BZ18" s="340"/>
      <c r="CA18" s="341"/>
      <c r="CB18" s="340"/>
      <c r="CC18" s="341"/>
      <c r="CD18" s="340"/>
    </row>
    <row r="19" spans="1:82" s="47" customFormat="1" ht="12.65" customHeight="1" x14ac:dyDescent="0.35">
      <c r="A19" s="59"/>
      <c r="F19" s="1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</row>
    <row r="20" spans="1:82" s="60" customFormat="1" ht="20.149999999999999" customHeight="1" x14ac:dyDescent="0.35">
      <c r="A20" s="64"/>
      <c r="B20" s="63"/>
      <c r="D20" s="60" t="s">
        <v>76</v>
      </c>
      <c r="F20" s="61"/>
      <c r="G20" s="61" t="s">
        <v>68</v>
      </c>
      <c r="H20" s="62">
        <v>45832</v>
      </c>
      <c r="I20" s="61" t="s">
        <v>68</v>
      </c>
      <c r="J20" s="62">
        <v>45847</v>
      </c>
      <c r="K20" s="61" t="s">
        <v>68</v>
      </c>
      <c r="L20" s="62">
        <v>45868</v>
      </c>
      <c r="M20" s="61"/>
      <c r="N20" s="62"/>
      <c r="O20" s="61"/>
      <c r="P20" s="62"/>
      <c r="Q20" s="61"/>
      <c r="R20" s="62"/>
      <c r="S20" s="61"/>
      <c r="T20" s="62"/>
      <c r="U20" s="61"/>
      <c r="V20" s="62"/>
      <c r="W20" s="61"/>
      <c r="X20" s="62"/>
      <c r="Y20" s="61"/>
      <c r="Z20" s="62"/>
      <c r="AA20" s="61"/>
      <c r="AB20" s="62"/>
      <c r="AC20" s="61"/>
      <c r="AD20" s="62"/>
      <c r="AE20" s="61"/>
      <c r="AF20" s="62"/>
      <c r="AG20" s="61"/>
      <c r="AH20" s="62"/>
      <c r="AI20" s="61"/>
      <c r="AJ20" s="62"/>
      <c r="AK20" s="61"/>
      <c r="AL20" s="62"/>
      <c r="AM20" s="61"/>
      <c r="AN20" s="62"/>
      <c r="AO20" s="61"/>
      <c r="AP20" s="62"/>
      <c r="AQ20" s="61"/>
      <c r="AR20" s="62"/>
      <c r="AS20" s="61"/>
      <c r="AT20" s="62"/>
      <c r="AU20" s="61"/>
      <c r="AV20" s="62"/>
      <c r="AW20" s="61"/>
      <c r="AX20" s="62"/>
      <c r="AY20" s="61"/>
      <c r="AZ20" s="62"/>
      <c r="BA20" s="61"/>
      <c r="BB20" s="62"/>
      <c r="BC20" s="61"/>
      <c r="BD20" s="62"/>
      <c r="BE20" s="61"/>
      <c r="BF20" s="62"/>
      <c r="BG20" s="61"/>
      <c r="BH20" s="62"/>
      <c r="BI20" s="61"/>
      <c r="BJ20" s="62"/>
      <c r="BK20" s="61"/>
      <c r="BL20" s="62"/>
      <c r="BM20" s="61"/>
      <c r="BN20" s="62"/>
      <c r="BO20" s="61"/>
      <c r="BP20" s="62"/>
      <c r="BQ20" s="61"/>
      <c r="BR20" s="62"/>
      <c r="BS20" s="61"/>
      <c r="BT20" s="62"/>
      <c r="BU20" s="61"/>
      <c r="BV20" s="62"/>
      <c r="BW20" s="61"/>
      <c r="BX20" s="62"/>
      <c r="BY20" s="61"/>
      <c r="BZ20" s="62"/>
      <c r="CA20" s="61"/>
      <c r="CB20" s="62"/>
      <c r="CC20" s="61"/>
      <c r="CD20" s="62"/>
    </row>
    <row r="21" spans="1:82" s="47" customFormat="1" ht="10.5" customHeight="1" x14ac:dyDescent="0.35">
      <c r="A21" s="5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</row>
    <row r="22" spans="1:82" s="55" customFormat="1" ht="20.149999999999999" customHeight="1" x14ac:dyDescent="0.35">
      <c r="A22" s="309"/>
      <c r="B22" s="57" t="s">
        <v>6</v>
      </c>
      <c r="C22" s="55" t="s">
        <v>75</v>
      </c>
      <c r="D22" s="55" t="s">
        <v>74</v>
      </c>
      <c r="E22" s="55" t="s">
        <v>73</v>
      </c>
      <c r="F22" s="55" t="s">
        <v>72</v>
      </c>
      <c r="G22" s="56" t="s">
        <v>71</v>
      </c>
      <c r="H22" s="56" t="s">
        <v>1</v>
      </c>
      <c r="I22" s="56" t="s">
        <v>71</v>
      </c>
      <c r="J22" s="56" t="s">
        <v>1</v>
      </c>
      <c r="K22" s="56" t="s">
        <v>71</v>
      </c>
      <c r="L22" s="56" t="s">
        <v>1</v>
      </c>
      <c r="M22" s="56" t="s">
        <v>71</v>
      </c>
      <c r="N22" s="56" t="s">
        <v>1</v>
      </c>
      <c r="O22" s="56" t="s">
        <v>71</v>
      </c>
      <c r="P22" s="56" t="s">
        <v>1</v>
      </c>
      <c r="Q22" s="56" t="s">
        <v>71</v>
      </c>
      <c r="R22" s="56" t="s">
        <v>1</v>
      </c>
      <c r="S22" s="56" t="s">
        <v>71</v>
      </c>
      <c r="T22" s="56" t="s">
        <v>1</v>
      </c>
      <c r="U22" s="56" t="s">
        <v>71</v>
      </c>
      <c r="V22" s="56" t="s">
        <v>1</v>
      </c>
      <c r="W22" s="56" t="s">
        <v>71</v>
      </c>
      <c r="X22" s="56" t="s">
        <v>1</v>
      </c>
      <c r="Y22" s="56" t="s">
        <v>71</v>
      </c>
      <c r="Z22" s="56" t="s">
        <v>1</v>
      </c>
      <c r="AA22" s="56" t="s">
        <v>71</v>
      </c>
      <c r="AB22" s="56" t="s">
        <v>1</v>
      </c>
      <c r="AC22" s="56" t="s">
        <v>71</v>
      </c>
      <c r="AD22" s="56" t="s">
        <v>1</v>
      </c>
      <c r="AE22" s="56" t="s">
        <v>71</v>
      </c>
      <c r="AF22" s="56" t="s">
        <v>1</v>
      </c>
      <c r="AG22" s="56" t="s">
        <v>71</v>
      </c>
      <c r="AH22" s="56" t="s">
        <v>1</v>
      </c>
      <c r="AI22" s="56" t="s">
        <v>71</v>
      </c>
      <c r="AJ22" s="56" t="s">
        <v>1</v>
      </c>
      <c r="AK22" s="56" t="s">
        <v>71</v>
      </c>
      <c r="AL22" s="56" t="s">
        <v>1</v>
      </c>
      <c r="AM22" s="56" t="s">
        <v>71</v>
      </c>
      <c r="AN22" s="56" t="s">
        <v>1</v>
      </c>
      <c r="AO22" s="56" t="s">
        <v>71</v>
      </c>
      <c r="AP22" s="56" t="s">
        <v>1</v>
      </c>
      <c r="AQ22" s="56" t="s">
        <v>71</v>
      </c>
      <c r="AR22" s="56" t="s">
        <v>1</v>
      </c>
      <c r="AS22" s="56" t="s">
        <v>71</v>
      </c>
      <c r="AT22" s="56" t="s">
        <v>1</v>
      </c>
      <c r="AU22" s="56" t="s">
        <v>71</v>
      </c>
      <c r="AV22" s="56" t="s">
        <v>1</v>
      </c>
      <c r="AW22" s="56" t="s">
        <v>71</v>
      </c>
      <c r="AX22" s="56" t="s">
        <v>1</v>
      </c>
      <c r="AY22" s="56" t="s">
        <v>71</v>
      </c>
      <c r="AZ22" s="56" t="s">
        <v>1</v>
      </c>
      <c r="BA22" s="56" t="s">
        <v>71</v>
      </c>
      <c r="BB22" s="56" t="s">
        <v>1</v>
      </c>
      <c r="BC22" s="56" t="s">
        <v>71</v>
      </c>
      <c r="BD22" s="56" t="s">
        <v>1</v>
      </c>
      <c r="BE22" s="56" t="s">
        <v>71</v>
      </c>
      <c r="BF22" s="56" t="s">
        <v>1</v>
      </c>
      <c r="BG22" s="56" t="s">
        <v>71</v>
      </c>
      <c r="BH22" s="56" t="s">
        <v>1</v>
      </c>
      <c r="BI22" s="56" t="s">
        <v>71</v>
      </c>
      <c r="BJ22" s="56" t="s">
        <v>1</v>
      </c>
      <c r="BK22" s="56" t="s">
        <v>71</v>
      </c>
      <c r="BL22" s="56" t="s">
        <v>1</v>
      </c>
      <c r="BM22" s="56" t="s">
        <v>71</v>
      </c>
      <c r="BN22" s="56" t="s">
        <v>1</v>
      </c>
      <c r="BO22" s="56" t="s">
        <v>71</v>
      </c>
      <c r="BP22" s="56" t="s">
        <v>1</v>
      </c>
      <c r="BQ22" s="56" t="s">
        <v>71</v>
      </c>
      <c r="BR22" s="56" t="s">
        <v>1</v>
      </c>
      <c r="BS22" s="56" t="s">
        <v>71</v>
      </c>
      <c r="BT22" s="56" t="s">
        <v>1</v>
      </c>
      <c r="BU22" s="56" t="s">
        <v>71</v>
      </c>
      <c r="BV22" s="56" t="s">
        <v>1</v>
      </c>
      <c r="BW22" s="56" t="s">
        <v>71</v>
      </c>
      <c r="BX22" s="56" t="s">
        <v>1</v>
      </c>
      <c r="BY22" s="56" t="s">
        <v>71</v>
      </c>
      <c r="BZ22" s="56" t="s">
        <v>1</v>
      </c>
      <c r="CA22" s="56" t="s">
        <v>71</v>
      </c>
      <c r="CB22" s="56" t="s">
        <v>1</v>
      </c>
      <c r="CC22" s="56"/>
      <c r="CD22" s="56"/>
    </row>
    <row r="23" spans="1:82" s="47" customFormat="1" ht="20.149999999999999" customHeight="1" x14ac:dyDescent="0.35">
      <c r="A23" s="309">
        <v>-4</v>
      </c>
      <c r="B23" s="398" t="s">
        <v>70</v>
      </c>
      <c r="C23" s="54"/>
      <c r="D23" s="53" t="s">
        <v>43</v>
      </c>
      <c r="E23" s="53" t="s">
        <v>44</v>
      </c>
      <c r="F23" s="69" t="s">
        <v>26</v>
      </c>
      <c r="G23" s="51" t="s">
        <v>68</v>
      </c>
      <c r="H23" s="52">
        <v>45806</v>
      </c>
      <c r="I23" s="51" t="s">
        <v>68</v>
      </c>
      <c r="J23" s="52">
        <v>45818</v>
      </c>
      <c r="K23" s="51" t="s">
        <v>204</v>
      </c>
      <c r="L23" s="52">
        <v>45902</v>
      </c>
      <c r="M23" s="51" t="s">
        <v>204</v>
      </c>
      <c r="N23" s="52">
        <v>45945</v>
      </c>
      <c r="O23" s="51"/>
      <c r="P23" s="52"/>
      <c r="Q23" s="51"/>
      <c r="R23" s="52"/>
      <c r="S23" s="51"/>
      <c r="T23" s="52"/>
      <c r="U23" s="51"/>
      <c r="V23" s="52"/>
      <c r="W23" s="51"/>
      <c r="X23" s="52"/>
      <c r="Y23" s="51"/>
      <c r="Z23" s="52"/>
      <c r="AA23" s="51"/>
      <c r="AB23" s="52"/>
      <c r="AC23" s="51"/>
      <c r="AD23" s="52"/>
      <c r="AE23" s="51"/>
      <c r="AF23" s="52"/>
      <c r="AG23" s="51"/>
      <c r="AH23" s="52"/>
      <c r="AI23" s="51"/>
      <c r="AJ23" s="52"/>
      <c r="AK23" s="51"/>
      <c r="AL23" s="52"/>
      <c r="AM23" s="51"/>
      <c r="AN23" s="52"/>
      <c r="AO23" s="51"/>
      <c r="AP23" s="52"/>
      <c r="AQ23" s="51"/>
      <c r="AR23" s="52"/>
      <c r="AS23" s="51"/>
      <c r="AT23" s="52"/>
      <c r="AU23" s="51"/>
      <c r="AV23" s="52"/>
      <c r="AW23" s="51"/>
      <c r="AX23" s="52"/>
      <c r="AY23" s="51"/>
      <c r="AZ23" s="52"/>
      <c r="BA23" s="51"/>
      <c r="BB23" s="52"/>
      <c r="BC23" s="51"/>
      <c r="BD23" s="52"/>
      <c r="BE23" s="51"/>
      <c r="BF23" s="52"/>
      <c r="BG23" s="51"/>
      <c r="BH23" s="52"/>
      <c r="BI23" s="51"/>
      <c r="BJ23" s="52"/>
      <c r="BK23" s="51"/>
      <c r="BL23" s="52"/>
      <c r="BM23" s="51"/>
      <c r="BN23" s="52"/>
      <c r="BO23" s="51"/>
      <c r="BP23" s="52"/>
      <c r="BQ23" s="51"/>
      <c r="BR23" s="52"/>
      <c r="BS23" s="51"/>
      <c r="BT23" s="52"/>
      <c r="BU23" s="51"/>
      <c r="BV23" s="52"/>
      <c r="BW23" s="51"/>
      <c r="BX23" s="52"/>
      <c r="BY23" s="51"/>
      <c r="BZ23" s="52"/>
      <c r="CA23" s="51"/>
      <c r="CB23" s="52"/>
      <c r="CC23" s="51"/>
      <c r="CD23" s="52"/>
    </row>
    <row r="24" spans="1:82" s="44" customFormat="1" ht="20.149999999999999" customHeight="1" x14ac:dyDescent="0.35">
      <c r="A24" s="309">
        <v>-6</v>
      </c>
      <c r="B24" s="399"/>
      <c r="C24" s="3"/>
      <c r="D24" s="48" t="s">
        <v>69</v>
      </c>
      <c r="E24" s="48" t="s">
        <v>46</v>
      </c>
      <c r="F24" s="45">
        <v>45744</v>
      </c>
      <c r="G24" s="46" t="s">
        <v>68</v>
      </c>
      <c r="H24" s="45">
        <v>45789</v>
      </c>
      <c r="I24" s="46" t="s">
        <v>68</v>
      </c>
      <c r="J24" s="45">
        <v>45813</v>
      </c>
      <c r="K24" s="46" t="s">
        <v>204</v>
      </c>
      <c r="L24" s="45">
        <v>45902</v>
      </c>
      <c r="M24" s="46"/>
      <c r="N24" s="45"/>
      <c r="O24" s="46"/>
      <c r="P24" s="45"/>
      <c r="Q24" s="46"/>
      <c r="R24" s="45"/>
      <c r="S24" s="46"/>
      <c r="T24" s="45"/>
      <c r="U24" s="46"/>
      <c r="V24" s="45"/>
      <c r="W24" s="46"/>
      <c r="X24" s="45"/>
      <c r="Y24" s="46"/>
      <c r="Z24" s="45"/>
      <c r="AA24" s="46"/>
      <c r="AB24" s="45"/>
      <c r="AC24" s="46"/>
      <c r="AD24" s="45"/>
      <c r="AE24" s="46"/>
      <c r="AF24" s="45"/>
      <c r="AG24" s="46"/>
      <c r="AH24" s="45"/>
      <c r="AI24" s="46"/>
      <c r="AJ24" s="45"/>
      <c r="AK24" s="46"/>
      <c r="AL24" s="45"/>
      <c r="AM24" s="46"/>
      <c r="AN24" s="45"/>
      <c r="AO24" s="46"/>
      <c r="AP24" s="45"/>
      <c r="AQ24" s="46"/>
      <c r="AR24" s="45"/>
      <c r="AS24" s="46"/>
      <c r="AT24" s="45"/>
      <c r="AU24" s="46"/>
      <c r="AV24" s="45"/>
      <c r="AW24" s="46"/>
      <c r="AX24" s="45"/>
      <c r="AY24" s="46"/>
      <c r="AZ24" s="45"/>
      <c r="BA24" s="46"/>
      <c r="BB24" s="45"/>
      <c r="BC24" s="46"/>
      <c r="BD24" s="45"/>
      <c r="BE24" s="46"/>
      <c r="BF24" s="45"/>
      <c r="BG24" s="46"/>
      <c r="BH24" s="45"/>
      <c r="BI24" s="46"/>
      <c r="BJ24" s="45"/>
      <c r="BK24" s="46"/>
      <c r="BL24" s="45"/>
      <c r="BM24" s="46"/>
      <c r="BN24" s="45"/>
      <c r="BO24" s="46"/>
      <c r="BP24" s="45"/>
      <c r="BQ24" s="46"/>
      <c r="BR24" s="45"/>
      <c r="BS24" s="46"/>
      <c r="BT24" s="45"/>
      <c r="BU24" s="46"/>
      <c r="BV24" s="45"/>
      <c r="BW24" s="46"/>
      <c r="BX24" s="45"/>
      <c r="BY24" s="46"/>
      <c r="BZ24" s="45"/>
      <c r="CA24" s="46"/>
      <c r="CB24" s="45"/>
      <c r="CC24" s="46"/>
      <c r="CD24" s="45"/>
    </row>
    <row r="25" spans="1:82" s="47" customFormat="1" ht="20.149999999999999" customHeight="1" x14ac:dyDescent="0.35">
      <c r="A25" s="309" t="s">
        <v>27</v>
      </c>
      <c r="B25" s="399"/>
      <c r="C25" s="3"/>
      <c r="D25" s="50" t="s">
        <v>69</v>
      </c>
      <c r="E25" s="50" t="s">
        <v>44</v>
      </c>
      <c r="F25" s="65">
        <v>45594</v>
      </c>
      <c r="G25" s="3"/>
      <c r="H25" s="49"/>
      <c r="I25" s="3"/>
      <c r="J25" s="49"/>
      <c r="K25" s="3"/>
      <c r="L25" s="49"/>
      <c r="M25" s="3"/>
      <c r="N25" s="49"/>
      <c r="O25" s="3"/>
      <c r="P25" s="49"/>
      <c r="Q25" s="3"/>
      <c r="R25" s="49"/>
      <c r="S25" s="3"/>
      <c r="T25" s="49"/>
      <c r="U25" s="3"/>
      <c r="V25" s="49"/>
      <c r="W25" s="3"/>
      <c r="X25" s="49"/>
      <c r="Y25" s="3"/>
      <c r="Z25" s="49"/>
      <c r="AA25" s="3"/>
      <c r="AB25" s="49"/>
      <c r="AC25" s="3"/>
      <c r="AD25" s="49"/>
      <c r="AE25" s="3"/>
      <c r="AF25" s="49"/>
      <c r="AG25" s="3"/>
      <c r="AH25" s="49"/>
      <c r="AI25" s="3"/>
      <c r="AJ25" s="49"/>
      <c r="AK25" s="3"/>
      <c r="AL25" s="49"/>
      <c r="AM25" s="3"/>
      <c r="AN25" s="49"/>
      <c r="AO25" s="3"/>
      <c r="AP25" s="49"/>
      <c r="AQ25" s="3"/>
      <c r="AR25" s="49"/>
      <c r="AS25" s="3"/>
      <c r="AT25" s="49"/>
      <c r="AU25" s="3"/>
      <c r="AV25" s="49"/>
      <c r="AW25" s="3"/>
      <c r="AX25" s="49"/>
      <c r="AY25" s="3"/>
      <c r="AZ25" s="49"/>
      <c r="BA25" s="3"/>
      <c r="BB25" s="49"/>
      <c r="BC25" s="3"/>
      <c r="BD25" s="49"/>
      <c r="BE25" s="3"/>
      <c r="BF25" s="49"/>
      <c r="BG25" s="3"/>
      <c r="BH25" s="49"/>
      <c r="BI25" s="3"/>
      <c r="BJ25" s="49"/>
      <c r="BK25" s="3"/>
      <c r="BL25" s="49"/>
      <c r="BM25" s="3"/>
      <c r="BN25" s="49"/>
      <c r="BO25" s="3"/>
      <c r="BP25" s="49"/>
      <c r="BQ25" s="3"/>
      <c r="BR25" s="49"/>
      <c r="BS25" s="3"/>
      <c r="BT25" s="49"/>
      <c r="BU25" s="3"/>
      <c r="BV25" s="49"/>
      <c r="BW25" s="3"/>
      <c r="BX25" s="49"/>
      <c r="BY25" s="3"/>
      <c r="BZ25" s="49"/>
      <c r="CA25" s="3"/>
      <c r="CB25" s="49"/>
      <c r="CC25" s="3"/>
      <c r="CD25" s="49"/>
    </row>
    <row r="26" spans="1:82" s="44" customFormat="1" ht="20.149999999999999" customHeight="1" x14ac:dyDescent="0.35">
      <c r="A26" s="309">
        <v>-4</v>
      </c>
      <c r="B26" s="399"/>
      <c r="C26" s="310"/>
      <c r="D26" s="48" t="s">
        <v>297</v>
      </c>
      <c r="E26" s="48" t="s">
        <v>44</v>
      </c>
      <c r="F26" s="45">
        <v>45908</v>
      </c>
      <c r="G26" s="310"/>
      <c r="H26" s="46"/>
      <c r="I26" s="310"/>
      <c r="J26" s="46"/>
      <c r="K26" s="310"/>
      <c r="L26" s="46"/>
      <c r="M26" s="310"/>
      <c r="N26" s="46"/>
      <c r="O26" s="310"/>
      <c r="P26" s="46"/>
      <c r="Q26" s="310"/>
      <c r="R26" s="46"/>
      <c r="S26" s="310"/>
      <c r="T26" s="46"/>
      <c r="U26" s="310"/>
      <c r="V26" s="46"/>
      <c r="W26" s="310"/>
      <c r="X26" s="46"/>
      <c r="Y26" s="310"/>
      <c r="Z26" s="46"/>
      <c r="AA26" s="310"/>
      <c r="AB26" s="46"/>
      <c r="AC26" s="310"/>
      <c r="AD26" s="46"/>
      <c r="AE26" s="310"/>
      <c r="AF26" s="46"/>
      <c r="AG26" s="310"/>
      <c r="AH26" s="46"/>
      <c r="AI26" s="310"/>
      <c r="AJ26" s="46"/>
      <c r="AK26" s="310"/>
      <c r="AL26" s="46"/>
      <c r="AM26" s="310"/>
      <c r="AN26" s="46"/>
      <c r="AO26" s="310"/>
      <c r="AP26" s="46"/>
      <c r="AQ26" s="310"/>
      <c r="AR26" s="46"/>
      <c r="AS26" s="310"/>
      <c r="AT26" s="46"/>
      <c r="AU26" s="310"/>
      <c r="AV26" s="46"/>
      <c r="AW26" s="310"/>
      <c r="AX26" s="46"/>
      <c r="AY26" s="310"/>
      <c r="AZ26" s="46"/>
      <c r="BA26" s="310"/>
      <c r="BB26" s="46"/>
      <c r="BC26" s="310"/>
      <c r="BD26" s="46"/>
      <c r="BE26" s="310"/>
      <c r="BF26" s="46"/>
      <c r="BG26" s="310"/>
      <c r="BH26" s="46"/>
      <c r="BI26" s="310"/>
      <c r="BJ26" s="46"/>
      <c r="BK26" s="310"/>
      <c r="BL26" s="46"/>
      <c r="BM26" s="310"/>
      <c r="BN26" s="46"/>
      <c r="BO26" s="310"/>
      <c r="BP26" s="46"/>
      <c r="BQ26" s="310"/>
      <c r="BR26" s="46"/>
      <c r="BS26" s="310"/>
      <c r="BT26" s="46"/>
      <c r="BU26" s="310"/>
      <c r="BV26" s="46"/>
      <c r="BW26" s="310"/>
      <c r="BX26" s="46"/>
      <c r="BY26" s="310"/>
      <c r="BZ26" s="46"/>
      <c r="CA26" s="310"/>
      <c r="CB26" s="46"/>
      <c r="CC26" s="310"/>
      <c r="CD26" s="46"/>
    </row>
    <row r="27" spans="1:82" s="47" customFormat="1" ht="20.149999999999999" customHeight="1" x14ac:dyDescent="0.35">
      <c r="A27" s="309" t="s">
        <v>27</v>
      </c>
      <c r="B27" s="399"/>
      <c r="C27" s="3"/>
      <c r="D27" s="50" t="s">
        <v>48</v>
      </c>
      <c r="E27" s="50" t="s">
        <v>46</v>
      </c>
      <c r="F27" s="65">
        <v>45722</v>
      </c>
      <c r="G27" s="49" t="s">
        <v>68</v>
      </c>
      <c r="H27" s="65">
        <v>45793</v>
      </c>
      <c r="I27" s="49" t="s">
        <v>68</v>
      </c>
      <c r="J27" s="65">
        <v>45877</v>
      </c>
      <c r="K27" s="49"/>
      <c r="L27" s="65"/>
      <c r="M27" s="49"/>
      <c r="N27" s="65"/>
      <c r="O27" s="49"/>
      <c r="P27" s="65"/>
      <c r="Q27" s="49"/>
      <c r="R27" s="65"/>
      <c r="S27" s="49"/>
      <c r="T27" s="65"/>
      <c r="U27" s="49"/>
      <c r="V27" s="65"/>
      <c r="W27" s="49"/>
      <c r="X27" s="65"/>
      <c r="Y27" s="49"/>
      <c r="Z27" s="65"/>
      <c r="AA27" s="49"/>
      <c r="AB27" s="65"/>
      <c r="AC27" s="49"/>
      <c r="AD27" s="65"/>
      <c r="AE27" s="49"/>
      <c r="AF27" s="65"/>
      <c r="AG27" s="49"/>
      <c r="AH27" s="65"/>
      <c r="AI27" s="49"/>
      <c r="AJ27" s="65"/>
      <c r="AK27" s="49"/>
      <c r="AL27" s="65"/>
      <c r="AM27" s="49"/>
      <c r="AN27" s="65"/>
      <c r="AO27" s="49"/>
      <c r="AP27" s="65"/>
      <c r="AQ27" s="49"/>
      <c r="AR27" s="65"/>
      <c r="AS27" s="49"/>
      <c r="AT27" s="65"/>
      <c r="AU27" s="49"/>
      <c r="AV27" s="65"/>
      <c r="AW27" s="49"/>
      <c r="AX27" s="65"/>
      <c r="AY27" s="49"/>
      <c r="AZ27" s="65"/>
      <c r="BA27" s="49"/>
      <c r="BB27" s="65"/>
      <c r="BC27" s="49"/>
      <c r="BD27" s="65"/>
      <c r="BE27" s="49"/>
      <c r="BF27" s="65"/>
      <c r="BG27" s="49"/>
      <c r="BH27" s="65"/>
      <c r="BI27" s="49"/>
      <c r="BJ27" s="65"/>
      <c r="BK27" s="49"/>
      <c r="BL27" s="65"/>
      <c r="BM27" s="49"/>
      <c r="BN27" s="65"/>
      <c r="BO27" s="49"/>
      <c r="BP27" s="65"/>
      <c r="BQ27" s="49"/>
      <c r="BR27" s="65"/>
      <c r="BS27" s="49"/>
      <c r="BT27" s="65"/>
      <c r="BU27" s="49"/>
      <c r="BV27" s="65"/>
      <c r="BW27" s="49"/>
      <c r="BX27" s="65"/>
      <c r="BY27" s="49"/>
      <c r="BZ27" s="65"/>
      <c r="CA27" s="49"/>
      <c r="CB27" s="65"/>
      <c r="CC27" s="49"/>
      <c r="CD27" s="65"/>
    </row>
    <row r="28" spans="1:82" s="44" customFormat="1" ht="20.149999999999999" customHeight="1" x14ac:dyDescent="0.35">
      <c r="A28" s="309">
        <v>-6</v>
      </c>
      <c r="B28" s="399"/>
      <c r="C28" s="310"/>
      <c r="D28" s="268" t="s">
        <v>50</v>
      </c>
      <c r="E28" s="268" t="s">
        <v>46</v>
      </c>
      <c r="F28" s="269">
        <v>45779</v>
      </c>
      <c r="G28" s="270" t="s">
        <v>361</v>
      </c>
      <c r="H28" s="269">
        <v>45925</v>
      </c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0"/>
      <c r="AU28" s="270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0"/>
      <c r="BG28" s="270"/>
      <c r="BH28" s="270"/>
      <c r="BI28" s="270"/>
      <c r="BJ28" s="270"/>
      <c r="BK28" s="270"/>
      <c r="BL28" s="270"/>
      <c r="BM28" s="270"/>
      <c r="BN28" s="270"/>
      <c r="BO28" s="270"/>
      <c r="BP28" s="270"/>
      <c r="BQ28" s="270"/>
      <c r="BR28" s="270"/>
      <c r="BS28" s="270"/>
      <c r="BT28" s="270"/>
      <c r="BU28" s="270"/>
      <c r="BV28" s="270"/>
      <c r="BW28" s="270"/>
      <c r="BX28" s="270"/>
      <c r="BY28" s="270"/>
      <c r="BZ28" s="270"/>
      <c r="CA28" s="270"/>
      <c r="CB28" s="270"/>
      <c r="CC28" s="270"/>
      <c r="CD28" s="270"/>
    </row>
    <row r="29" spans="1:82" s="47" customFormat="1" ht="20.149999999999999" customHeight="1" x14ac:dyDescent="0.35">
      <c r="A29" s="309">
        <v>-4</v>
      </c>
      <c r="B29" s="399"/>
      <c r="C29" s="3"/>
      <c r="D29" s="47" t="s">
        <v>51</v>
      </c>
      <c r="E29" s="50" t="s">
        <v>44</v>
      </c>
      <c r="F29" s="65">
        <v>45638</v>
      </c>
      <c r="G29" s="49" t="s">
        <v>68</v>
      </c>
      <c r="H29" s="65">
        <v>45797</v>
      </c>
      <c r="I29" s="49" t="s">
        <v>68</v>
      </c>
      <c r="J29" s="65">
        <v>45847</v>
      </c>
      <c r="K29" s="49" t="s">
        <v>68</v>
      </c>
      <c r="L29" s="65">
        <v>45848</v>
      </c>
      <c r="M29" s="49" t="s">
        <v>204</v>
      </c>
      <c r="N29" s="65">
        <v>45891</v>
      </c>
      <c r="O29" s="49"/>
      <c r="P29" s="65"/>
      <c r="Q29" s="49"/>
      <c r="R29" s="65"/>
      <c r="S29" s="49"/>
      <c r="T29" s="65"/>
      <c r="U29" s="49"/>
      <c r="V29" s="65"/>
      <c r="W29" s="49"/>
      <c r="X29" s="65"/>
      <c r="Y29" s="49"/>
      <c r="Z29" s="65"/>
      <c r="AA29" s="49"/>
      <c r="AB29" s="65"/>
      <c r="AC29" s="49"/>
      <c r="AD29" s="65"/>
      <c r="AE29" s="49"/>
      <c r="AF29" s="65"/>
      <c r="AG29" s="49"/>
      <c r="AH29" s="65"/>
      <c r="AI29" s="49"/>
      <c r="AJ29" s="65"/>
      <c r="AK29" s="49"/>
      <c r="AL29" s="65"/>
      <c r="AM29" s="49"/>
      <c r="AN29" s="65"/>
      <c r="AO29" s="49"/>
      <c r="AP29" s="65"/>
      <c r="AQ29" s="49"/>
      <c r="AR29" s="65"/>
      <c r="AS29" s="49"/>
      <c r="AT29" s="65"/>
      <c r="AU29" s="49"/>
      <c r="AV29" s="65"/>
      <c r="AW29" s="49"/>
      <c r="AX29" s="65"/>
      <c r="AY29" s="49"/>
      <c r="AZ29" s="65"/>
      <c r="BA29" s="49"/>
      <c r="BB29" s="65"/>
      <c r="BC29" s="49"/>
      <c r="BD29" s="65"/>
      <c r="BE29" s="49"/>
      <c r="BF29" s="65"/>
      <c r="BG29" s="49"/>
      <c r="BH29" s="65"/>
      <c r="BI29" s="49"/>
      <c r="BJ29" s="65"/>
      <c r="BK29" s="49"/>
      <c r="BL29" s="65"/>
      <c r="BM29" s="49"/>
      <c r="BN29" s="65"/>
      <c r="BO29" s="49"/>
      <c r="BP29" s="65"/>
      <c r="BQ29" s="49"/>
      <c r="BR29" s="65"/>
      <c r="BS29" s="49"/>
      <c r="BT29" s="65"/>
      <c r="BU29" s="49"/>
      <c r="BV29" s="65"/>
      <c r="BW29" s="49"/>
      <c r="BX29" s="65"/>
      <c r="BY29" s="49"/>
      <c r="BZ29" s="65"/>
      <c r="CA29" s="49"/>
      <c r="CB29" s="65"/>
    </row>
    <row r="30" spans="1:82" s="271" customFormat="1" ht="20.149999999999999" customHeight="1" x14ac:dyDescent="0.35">
      <c r="A30" s="317">
        <v>-6</v>
      </c>
      <c r="B30" s="400"/>
      <c r="C30" s="311"/>
      <c r="D30" s="312" t="s">
        <v>52</v>
      </c>
      <c r="E30" s="313" t="s">
        <v>46</v>
      </c>
      <c r="F30" s="314">
        <v>45848</v>
      </c>
      <c r="G30" s="315" t="s">
        <v>204</v>
      </c>
      <c r="H30" s="315">
        <v>45908</v>
      </c>
      <c r="I30" s="315" t="s">
        <v>204</v>
      </c>
      <c r="J30" s="315">
        <v>45930</v>
      </c>
      <c r="K30" s="316" t="s">
        <v>361</v>
      </c>
      <c r="L30" s="315">
        <v>45939</v>
      </c>
      <c r="M30" s="316" t="s">
        <v>204</v>
      </c>
      <c r="N30" s="315">
        <v>45996</v>
      </c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6"/>
      <c r="AR30" s="316"/>
      <c r="AS30" s="316"/>
      <c r="AT30" s="316"/>
      <c r="AU30" s="316"/>
      <c r="AV30" s="316"/>
      <c r="AW30" s="316"/>
      <c r="AX30" s="316"/>
      <c r="AY30" s="316"/>
      <c r="AZ30" s="316"/>
      <c r="BA30" s="316"/>
      <c r="BB30" s="316"/>
      <c r="BC30" s="316"/>
      <c r="BD30" s="316"/>
      <c r="BE30" s="316"/>
      <c r="BF30" s="316"/>
      <c r="BG30" s="316"/>
      <c r="BH30" s="316"/>
      <c r="BI30" s="316"/>
      <c r="BJ30" s="316"/>
      <c r="BK30" s="316"/>
      <c r="BL30" s="316"/>
      <c r="BM30" s="316"/>
      <c r="BN30" s="316"/>
      <c r="BO30" s="316"/>
      <c r="BP30" s="316"/>
      <c r="BQ30" s="316"/>
      <c r="BR30" s="316"/>
      <c r="BS30" s="316"/>
      <c r="BT30" s="316"/>
      <c r="BU30" s="316"/>
      <c r="BV30" s="316"/>
      <c r="BW30" s="316"/>
      <c r="BX30" s="316"/>
      <c r="BY30" s="316"/>
      <c r="BZ30" s="316"/>
      <c r="CA30" s="316"/>
      <c r="CB30" s="316"/>
      <c r="CC30" s="316"/>
      <c r="CD30" s="316"/>
    </row>
    <row r="31" spans="1:82" s="47" customFormat="1" x14ac:dyDescent="0.35">
      <c r="A31" s="59"/>
      <c r="B31" s="43"/>
      <c r="C31" s="4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</row>
    <row r="32" spans="1:82" s="47" customFormat="1" x14ac:dyDescent="0.35">
      <c r="A32" s="59"/>
      <c r="B32" s="43"/>
      <c r="C32" s="4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</row>
    <row r="33" spans="1:82" s="47" customFormat="1" x14ac:dyDescent="0.35">
      <c r="A33" s="59"/>
      <c r="B33" s="43"/>
      <c r="C33" s="4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</row>
    <row r="34" spans="1:82" s="47" customFormat="1" x14ac:dyDescent="0.35">
      <c r="A34" s="5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</row>
    <row r="35" spans="1:82" s="47" customFormat="1" x14ac:dyDescent="0.35">
      <c r="A35" s="5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</row>
    <row r="36" spans="1:82" s="47" customFormat="1" x14ac:dyDescent="0.35">
      <c r="A36" s="5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</row>
    <row r="37" spans="1:82" s="47" customFormat="1" x14ac:dyDescent="0.35">
      <c r="A37" s="5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</row>
    <row r="38" spans="1:82" s="47" customFormat="1" x14ac:dyDescent="0.35">
      <c r="A38" s="5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</row>
    <row r="39" spans="1:82" s="47" customFormat="1" x14ac:dyDescent="0.35">
      <c r="A39" s="5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</row>
    <row r="40" spans="1:82" s="47" customFormat="1" x14ac:dyDescent="0.35">
      <c r="A40" s="5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</row>
    <row r="41" spans="1:82" s="47" customFormat="1" x14ac:dyDescent="0.35">
      <c r="A41" s="5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</row>
    <row r="42" spans="1:82" s="47" customFormat="1" x14ac:dyDescent="0.35">
      <c r="A42" s="5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</row>
    <row r="43" spans="1:82" s="47" customFormat="1" x14ac:dyDescent="0.35">
      <c r="A43" s="5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</row>
    <row r="44" spans="1:82" s="47" customFormat="1" x14ac:dyDescent="0.35">
      <c r="A44" s="5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</row>
    <row r="45" spans="1:82" s="47" customFormat="1" x14ac:dyDescent="0.35">
      <c r="A45" s="5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</row>
    <row r="46" spans="1:82" s="47" customFormat="1" x14ac:dyDescent="0.35">
      <c r="A46" s="5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</row>
    <row r="47" spans="1:82" s="47" customFormat="1" x14ac:dyDescent="0.35">
      <c r="A47" s="5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</row>
    <row r="48" spans="1:82" s="47" customFormat="1" x14ac:dyDescent="0.35">
      <c r="A48" s="5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</row>
    <row r="49" spans="1:82" s="47" customFormat="1" x14ac:dyDescent="0.35">
      <c r="A49" s="5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</row>
    <row r="50" spans="1:82" s="47" customFormat="1" x14ac:dyDescent="0.35">
      <c r="A50" s="5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</row>
    <row r="51" spans="1:82" s="47" customFormat="1" x14ac:dyDescent="0.35">
      <c r="A51" s="5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</row>
    <row r="52" spans="1:82" s="47" customFormat="1" x14ac:dyDescent="0.35">
      <c r="A52" s="5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</row>
    <row r="53" spans="1:82" s="47" customFormat="1" x14ac:dyDescent="0.35">
      <c r="A53" s="5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</row>
    <row r="54" spans="1:82" s="47" customFormat="1" x14ac:dyDescent="0.35">
      <c r="A54" s="5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</row>
    <row r="55" spans="1:82" s="47" customFormat="1" x14ac:dyDescent="0.35">
      <c r="A55" s="5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</row>
    <row r="56" spans="1:82" s="47" customFormat="1" x14ac:dyDescent="0.35">
      <c r="A56" s="5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</row>
    <row r="57" spans="1:82" s="47" customFormat="1" x14ac:dyDescent="0.35">
      <c r="A57" s="5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</row>
    <row r="58" spans="1:82" s="47" customFormat="1" x14ac:dyDescent="0.35">
      <c r="A58" s="5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</row>
    <row r="59" spans="1:82" s="47" customFormat="1" x14ac:dyDescent="0.35">
      <c r="A59" s="5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</row>
    <row r="60" spans="1:82" s="47" customFormat="1" x14ac:dyDescent="0.35">
      <c r="A60" s="5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</row>
    <row r="61" spans="1:82" s="47" customFormat="1" x14ac:dyDescent="0.35">
      <c r="A61" s="5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</row>
    <row r="62" spans="1:82" s="47" customFormat="1" x14ac:dyDescent="0.35">
      <c r="A62" s="5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</row>
    <row r="63" spans="1:82" s="47" customFormat="1" x14ac:dyDescent="0.35">
      <c r="A63" s="5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</row>
    <row r="64" spans="1:82" s="47" customFormat="1" x14ac:dyDescent="0.35">
      <c r="A64" s="5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</row>
    <row r="65" spans="1:82" s="47" customFormat="1" x14ac:dyDescent="0.35">
      <c r="A65" s="5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</row>
    <row r="66" spans="1:82" s="47" customFormat="1" x14ac:dyDescent="0.35">
      <c r="A66" s="5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</row>
    <row r="67" spans="1:82" s="47" customFormat="1" x14ac:dyDescent="0.35">
      <c r="A67" s="5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</row>
    <row r="68" spans="1:82" s="47" customFormat="1" x14ac:dyDescent="0.35">
      <c r="A68" s="5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</row>
    <row r="69" spans="1:82" s="47" customFormat="1" x14ac:dyDescent="0.35">
      <c r="A69" s="5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</row>
    <row r="70" spans="1:82" s="47" customFormat="1" x14ac:dyDescent="0.35">
      <c r="A70" s="5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</row>
    <row r="71" spans="1:82" s="47" customFormat="1" x14ac:dyDescent="0.35">
      <c r="A71" s="5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</row>
    <row r="72" spans="1:82" s="47" customFormat="1" x14ac:dyDescent="0.35">
      <c r="A72" s="5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</row>
    <row r="73" spans="1:82" s="47" customFormat="1" x14ac:dyDescent="0.35">
      <c r="A73" s="5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</row>
    <row r="74" spans="1:82" s="47" customFormat="1" x14ac:dyDescent="0.35">
      <c r="A74" s="5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</row>
    <row r="75" spans="1:82" s="47" customFormat="1" x14ac:dyDescent="0.35">
      <c r="A75" s="5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</row>
    <row r="76" spans="1:82" s="47" customFormat="1" x14ac:dyDescent="0.35">
      <c r="A76" s="5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</row>
    <row r="77" spans="1:82" s="47" customFormat="1" x14ac:dyDescent="0.35">
      <c r="A77" s="5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</row>
    <row r="78" spans="1:82" s="47" customFormat="1" x14ac:dyDescent="0.35">
      <c r="A78" s="5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</row>
    <row r="79" spans="1:82" s="47" customFormat="1" x14ac:dyDescent="0.35">
      <c r="A79" s="5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</row>
    <row r="80" spans="1:82" s="47" customFormat="1" x14ac:dyDescent="0.35">
      <c r="A80" s="5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</row>
    <row r="81" spans="1:82" s="47" customFormat="1" x14ac:dyDescent="0.35">
      <c r="A81" s="5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</row>
    <row r="82" spans="1:82" s="47" customFormat="1" x14ac:dyDescent="0.35">
      <c r="A82" s="5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</row>
    <row r="83" spans="1:82" s="47" customFormat="1" x14ac:dyDescent="0.35">
      <c r="A83" s="5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</row>
    <row r="84" spans="1:82" s="47" customFormat="1" x14ac:dyDescent="0.35">
      <c r="A84" s="5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</row>
    <row r="85" spans="1:82" s="47" customFormat="1" x14ac:dyDescent="0.35">
      <c r="A85" s="5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</row>
    <row r="86" spans="1:82" s="47" customFormat="1" x14ac:dyDescent="0.35">
      <c r="A86" s="5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</row>
    <row r="87" spans="1:82" s="47" customFormat="1" x14ac:dyDescent="0.35">
      <c r="A87" s="5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</row>
    <row r="88" spans="1:82" s="47" customFormat="1" x14ac:dyDescent="0.35">
      <c r="A88" s="5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</row>
    <row r="89" spans="1:82" s="47" customFormat="1" x14ac:dyDescent="0.35">
      <c r="A89" s="5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</row>
    <row r="90" spans="1:82" s="47" customFormat="1" x14ac:dyDescent="0.35">
      <c r="A90" s="5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</row>
    <row r="91" spans="1:82" s="47" customFormat="1" x14ac:dyDescent="0.35">
      <c r="A91" s="5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</row>
    <row r="92" spans="1:82" s="47" customFormat="1" x14ac:dyDescent="0.35">
      <c r="A92" s="5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</row>
    <row r="93" spans="1:82" s="47" customFormat="1" x14ac:dyDescent="0.35">
      <c r="A93" s="5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</row>
    <row r="94" spans="1:82" s="47" customFormat="1" x14ac:dyDescent="0.35">
      <c r="A94" s="5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</row>
    <row r="95" spans="1:82" s="47" customFormat="1" x14ac:dyDescent="0.35">
      <c r="A95" s="5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</row>
    <row r="96" spans="1:82" s="47" customFormat="1" x14ac:dyDescent="0.35">
      <c r="A96" s="5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</row>
    <row r="97" spans="1:82" s="47" customFormat="1" x14ac:dyDescent="0.35">
      <c r="A97" s="5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</row>
    <row r="98" spans="1:82" s="47" customFormat="1" x14ac:dyDescent="0.35">
      <c r="A98" s="5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</row>
    <row r="99" spans="1:82" s="47" customFormat="1" x14ac:dyDescent="0.35">
      <c r="A99" s="5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spans="1:82" s="47" customFormat="1" x14ac:dyDescent="0.35">
      <c r="A100" s="5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</row>
    <row r="101" spans="1:82" s="47" customFormat="1" x14ac:dyDescent="0.35">
      <c r="A101" s="5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</row>
    <row r="102" spans="1:82" s="47" customFormat="1" x14ac:dyDescent="0.35">
      <c r="A102" s="5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</row>
    <row r="103" spans="1:82" s="47" customFormat="1" x14ac:dyDescent="0.35">
      <c r="A103" s="5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</row>
    <row r="104" spans="1:82" s="47" customFormat="1" x14ac:dyDescent="0.35">
      <c r="A104" s="5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</row>
    <row r="105" spans="1:82" s="47" customFormat="1" x14ac:dyDescent="0.35">
      <c r="A105" s="5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</row>
    <row r="106" spans="1:82" s="47" customFormat="1" x14ac:dyDescent="0.35">
      <c r="A106" s="5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</row>
    <row r="107" spans="1:82" s="47" customFormat="1" x14ac:dyDescent="0.35">
      <c r="A107" s="5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</row>
    <row r="108" spans="1:82" s="47" customFormat="1" x14ac:dyDescent="0.35">
      <c r="A108" s="5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</row>
    <row r="109" spans="1:82" s="47" customFormat="1" x14ac:dyDescent="0.35">
      <c r="A109" s="5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</row>
    <row r="110" spans="1:82" s="47" customFormat="1" x14ac:dyDescent="0.35">
      <c r="A110" s="5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</row>
    <row r="111" spans="1:82" s="47" customFormat="1" x14ac:dyDescent="0.35">
      <c r="A111" s="5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</row>
    <row r="112" spans="1:82" s="47" customFormat="1" x14ac:dyDescent="0.35">
      <c r="A112" s="5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</row>
    <row r="113" spans="1:82" s="47" customFormat="1" x14ac:dyDescent="0.35">
      <c r="A113" s="5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</row>
    <row r="114" spans="1:82" s="47" customFormat="1" x14ac:dyDescent="0.35">
      <c r="A114" s="5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</row>
    <row r="115" spans="1:82" s="47" customFormat="1" x14ac:dyDescent="0.35">
      <c r="A115" s="5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</row>
    <row r="116" spans="1:82" s="47" customFormat="1" x14ac:dyDescent="0.35">
      <c r="A116" s="5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</row>
    <row r="117" spans="1:82" s="47" customFormat="1" x14ac:dyDescent="0.35">
      <c r="A117" s="5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</row>
    <row r="118" spans="1:82" s="47" customFormat="1" x14ac:dyDescent="0.35">
      <c r="A118" s="5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</row>
    <row r="119" spans="1:82" s="47" customFormat="1" x14ac:dyDescent="0.35">
      <c r="A119" s="5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</row>
    <row r="120" spans="1:82" s="47" customFormat="1" x14ac:dyDescent="0.35">
      <c r="A120" s="5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</row>
    <row r="121" spans="1:82" s="47" customFormat="1" x14ac:dyDescent="0.35">
      <c r="A121" s="5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</row>
    <row r="122" spans="1:82" s="47" customFormat="1" x14ac:dyDescent="0.35">
      <c r="A122" s="5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</row>
    <row r="123" spans="1:82" s="47" customFormat="1" x14ac:dyDescent="0.35">
      <c r="A123" s="5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</row>
    <row r="124" spans="1:82" s="47" customFormat="1" x14ac:dyDescent="0.35">
      <c r="A124" s="5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</row>
    <row r="125" spans="1:82" s="47" customFormat="1" x14ac:dyDescent="0.35">
      <c r="A125" s="5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</row>
    <row r="126" spans="1:82" s="47" customFormat="1" x14ac:dyDescent="0.35">
      <c r="A126" s="5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</row>
    <row r="127" spans="1:82" s="47" customFormat="1" x14ac:dyDescent="0.35">
      <c r="A127" s="5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</row>
    <row r="128" spans="1:82" s="47" customFormat="1" x14ac:dyDescent="0.35">
      <c r="A128" s="5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</row>
    <row r="129" spans="1:82" s="47" customFormat="1" x14ac:dyDescent="0.35">
      <c r="A129" s="5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</row>
    <row r="130" spans="1:82" s="47" customFormat="1" x14ac:dyDescent="0.35">
      <c r="A130" s="5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</row>
    <row r="131" spans="1:82" s="47" customFormat="1" x14ac:dyDescent="0.35">
      <c r="A131" s="5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</row>
    <row r="132" spans="1:82" s="47" customFormat="1" x14ac:dyDescent="0.35">
      <c r="A132" s="5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</row>
    <row r="133" spans="1:82" s="47" customFormat="1" x14ac:dyDescent="0.35">
      <c r="A133" s="5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</row>
    <row r="134" spans="1:82" s="47" customFormat="1" x14ac:dyDescent="0.35">
      <c r="A134" s="5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</row>
    <row r="135" spans="1:82" s="47" customFormat="1" x14ac:dyDescent="0.35">
      <c r="A135" s="5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</row>
  </sheetData>
  <mergeCells count="3">
    <mergeCell ref="B23:B30"/>
    <mergeCell ref="B1:F1"/>
    <mergeCell ref="B3:B18"/>
  </mergeCells>
  <dataValidations count="1">
    <dataValidation type="list" allowBlank="1" showInputMessage="1" showErrorMessage="1" sqref="F31:F134 E20:F21 E23:E133 E16 E18:E19" xr:uid="{3D156BB2-F9C6-426F-9117-E5D96BD84424}">
      <formula1>"IE (TSKgel SuperQ 5PW20), IE (Source 15Q), IE (Source 30Q), IE (NanoQ-15L), IE (UniQ-30S), RP (Source 15RPC), RP (Source 30RPC), RP (UniPS 30-300)"</formula1>
    </dataValidation>
  </dataValidations>
  <pageMargins left="0.25" right="0.25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6C3B-ED95-4216-919B-15DA6EFACF92}">
  <dimension ref="A1:P48"/>
  <sheetViews>
    <sheetView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A10:XFD10"/>
    </sheetView>
  </sheetViews>
  <sheetFormatPr defaultColWidth="8.7265625" defaultRowHeight="14.5" x14ac:dyDescent="0.35"/>
  <cols>
    <col min="1" max="1" width="24.453125" style="13" customWidth="1"/>
    <col min="2" max="2" width="20.26953125" style="6" customWidth="1"/>
    <col min="3" max="3" width="17.453125" style="3" customWidth="1"/>
    <col min="4" max="4" width="19.81640625" style="3" customWidth="1"/>
    <col min="5" max="5" width="9.81640625" style="38" bestFit="1" customWidth="1"/>
    <col min="6" max="6" width="9.26953125" bestFit="1" customWidth="1"/>
    <col min="7" max="7" width="9.1796875" style="38" bestFit="1" customWidth="1"/>
    <col min="8" max="8" width="12.453125" style="38" customWidth="1"/>
    <col min="9" max="9" width="12.453125" customWidth="1"/>
    <col min="10" max="10" width="14.26953125" style="38" customWidth="1"/>
    <col min="11" max="11" width="15.1796875" style="38" customWidth="1"/>
    <col min="12" max="12" width="15.54296875" style="38" customWidth="1"/>
    <col min="13" max="13" width="15.453125" style="38" customWidth="1"/>
    <col min="14" max="14" width="19.453125" style="14" customWidth="1"/>
    <col min="15" max="15" width="19.81640625" style="13" customWidth="1"/>
    <col min="16" max="16384" width="8.7265625" style="13"/>
  </cols>
  <sheetData>
    <row r="1" spans="1:16" s="4" customFormat="1" ht="43.5" x14ac:dyDescent="0.35">
      <c r="A1" s="4" t="s">
        <v>6</v>
      </c>
      <c r="B1" s="4" t="s">
        <v>3</v>
      </c>
      <c r="C1" s="4" t="s">
        <v>7</v>
      </c>
      <c r="D1" s="4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4" t="s">
        <v>18</v>
      </c>
      <c r="O1" s="4" t="s">
        <v>19</v>
      </c>
    </row>
    <row r="2" spans="1:16" ht="14.5" customHeight="1" x14ac:dyDescent="0.35">
      <c r="A2" s="404" t="s">
        <v>20</v>
      </c>
      <c r="B2" s="6" t="s">
        <v>425</v>
      </c>
      <c r="C2" s="7" t="s">
        <v>22</v>
      </c>
      <c r="D2" s="7" t="s">
        <v>23</v>
      </c>
      <c r="E2" s="8">
        <f>_xlfn.XLOOKUP(C2,'[2]Column Data'!$A$2:$A$50,'[2]Column Data'!$C$2:$C$50)</f>
        <v>10</v>
      </c>
      <c r="F2" s="9">
        <v>20.5</v>
      </c>
      <c r="G2" s="8">
        <f>PI()*(E2/20)^2*F2</f>
        <v>16.100662349647688</v>
      </c>
      <c r="H2" s="260">
        <f>I2*PI()*(E2/20)^2/60</f>
        <v>2.6834437249412817</v>
      </c>
      <c r="I2" s="10">
        <f>F2*10</f>
        <v>205</v>
      </c>
      <c r="J2" s="11">
        <f>K2*145.038</f>
        <v>290.07600000000002</v>
      </c>
      <c r="K2" s="8">
        <f>_xlfn.XLOOKUP(D2,'[2]Column Data'!$B$2:$B$50,'[2]Column Data'!$D$2:$D$50)</f>
        <v>2</v>
      </c>
      <c r="L2" s="11">
        <f>M2*145.038</f>
        <v>580.15200000000004</v>
      </c>
      <c r="M2" s="8">
        <v>4</v>
      </c>
      <c r="N2" s="12"/>
      <c r="P2" s="14"/>
    </row>
    <row r="3" spans="1:16" ht="14.5" customHeight="1" x14ac:dyDescent="0.35">
      <c r="A3" s="404"/>
      <c r="B3" s="6" t="s">
        <v>21</v>
      </c>
      <c r="C3" s="7" t="s">
        <v>22</v>
      </c>
      <c r="D3" s="7" t="s">
        <v>23</v>
      </c>
      <c r="E3" s="8">
        <f>_xlfn.XLOOKUP(C3,'[2]Column Data'!$A$2:$A$50,'[2]Column Data'!$C$2:$C$50)</f>
        <v>10</v>
      </c>
      <c r="F3" s="9">
        <v>30</v>
      </c>
      <c r="G3" s="8">
        <f>PI()*(E3/20)^2*F3</f>
        <v>23.561944901923447</v>
      </c>
      <c r="H3" s="260">
        <f t="shared" ref="H3:H17" si="0">I3*PI()*(E3/20)^2/60</f>
        <v>3.9269908169872414</v>
      </c>
      <c r="I3" s="10">
        <f t="shared" ref="I3:I13" si="1">F3*10</f>
        <v>300</v>
      </c>
      <c r="J3" s="11">
        <f t="shared" ref="J3:J8" si="2">K3*145.038</f>
        <v>290.07600000000002</v>
      </c>
      <c r="K3" s="8">
        <f>_xlfn.XLOOKUP(D3,'[2]Column Data'!$B$2:$B$50,'[2]Column Data'!$D$2:$D$50)</f>
        <v>2</v>
      </c>
      <c r="L3" s="11">
        <f t="shared" ref="L3:L13" si="3">M3*145.038</f>
        <v>580.15200000000004</v>
      </c>
      <c r="M3" s="8">
        <v>4</v>
      </c>
      <c r="N3" s="12">
        <v>45684</v>
      </c>
      <c r="O3" s="266" t="s">
        <v>27</v>
      </c>
      <c r="P3" s="14" t="s">
        <v>214</v>
      </c>
    </row>
    <row r="4" spans="1:16" x14ac:dyDescent="0.35">
      <c r="A4" s="404"/>
      <c r="B4" s="6" t="s">
        <v>24</v>
      </c>
      <c r="C4" s="7" t="s">
        <v>22</v>
      </c>
      <c r="D4" s="7" t="s">
        <v>23</v>
      </c>
      <c r="E4" s="8">
        <f>_xlfn.XLOOKUP(C4,'[2]Column Data'!$A$2:$A$50,'[2]Column Data'!$C$2:$C$50)</f>
        <v>10</v>
      </c>
      <c r="F4" s="9">
        <v>30</v>
      </c>
      <c r="G4" s="8">
        <f>PI()*(E4/20)^2*F4</f>
        <v>23.561944901923447</v>
      </c>
      <c r="H4" s="260">
        <f t="shared" si="0"/>
        <v>3.9269908169872414</v>
      </c>
      <c r="I4" s="10">
        <f t="shared" si="1"/>
        <v>300</v>
      </c>
      <c r="J4" s="11">
        <f t="shared" si="2"/>
        <v>290.07600000000002</v>
      </c>
      <c r="K4" s="8">
        <f>_xlfn.XLOOKUP(D4,'[2]Column Data'!$B$2:$B$50,'[2]Column Data'!$D$2:$D$50)</f>
        <v>2</v>
      </c>
      <c r="L4" s="11">
        <f t="shared" si="3"/>
        <v>580.15200000000004</v>
      </c>
      <c r="M4" s="8">
        <v>4</v>
      </c>
      <c r="N4" s="12">
        <v>45678</v>
      </c>
      <c r="O4" s="13" t="s">
        <v>365</v>
      </c>
      <c r="P4" s="14"/>
    </row>
    <row r="5" spans="1:16" x14ac:dyDescent="0.35">
      <c r="A5" s="404"/>
      <c r="B5" s="6" t="s">
        <v>25</v>
      </c>
      <c r="C5" s="7" t="s">
        <v>22</v>
      </c>
      <c r="D5" s="7" t="s">
        <v>23</v>
      </c>
      <c r="E5" s="8">
        <f>_xlfn.XLOOKUP(C5,'[2]Column Data'!$A$2:$A$50,'[2]Column Data'!$C$2:$C$50)</f>
        <v>10</v>
      </c>
      <c r="F5" s="9">
        <v>30</v>
      </c>
      <c r="G5" s="8">
        <f>PI()*(E5/20)^2*F5</f>
        <v>23.561944901923447</v>
      </c>
      <c r="H5" s="260">
        <f t="shared" si="0"/>
        <v>3.9269908169872414</v>
      </c>
      <c r="I5" s="10">
        <f t="shared" si="1"/>
        <v>300</v>
      </c>
      <c r="J5" s="11">
        <f t="shared" si="2"/>
        <v>290.07600000000002</v>
      </c>
      <c r="K5" s="8">
        <f>_xlfn.XLOOKUP(D5,'[2]Column Data'!$B$2:$B$50,'[2]Column Data'!$D$2:$D$50)</f>
        <v>2</v>
      </c>
      <c r="L5" s="11">
        <f t="shared" si="3"/>
        <v>580.15200000000004</v>
      </c>
      <c r="M5" s="8">
        <v>4</v>
      </c>
      <c r="N5" s="12" t="s">
        <v>26</v>
      </c>
      <c r="O5" s="15" t="s">
        <v>27</v>
      </c>
      <c r="P5" s="14" t="s">
        <v>213</v>
      </c>
    </row>
    <row r="6" spans="1:16" x14ac:dyDescent="0.35">
      <c r="A6" s="404"/>
      <c r="B6" s="6" t="s">
        <v>28</v>
      </c>
      <c r="C6" s="13" t="s">
        <v>22</v>
      </c>
      <c r="D6" s="13" t="s">
        <v>29</v>
      </c>
      <c r="E6" s="8">
        <f>_xlfn.XLOOKUP(C6,'[2]Column Data'!$A$2:$A$50,'[2]Column Data'!$C$2:$C$50)</f>
        <v>10</v>
      </c>
      <c r="F6" s="9">
        <v>31</v>
      </c>
      <c r="G6" s="8">
        <f>PI()*(E6/20)^2*F6</f>
        <v>24.347343065320896</v>
      </c>
      <c r="H6" s="260">
        <f t="shared" si="0"/>
        <v>4.057890510886816</v>
      </c>
      <c r="I6" s="10">
        <f t="shared" si="1"/>
        <v>310</v>
      </c>
      <c r="J6" s="11">
        <f t="shared" si="2"/>
        <v>435.11400000000003</v>
      </c>
      <c r="K6" s="8">
        <f>_xlfn.XLOOKUP(D6,'[2]Column Data'!$B$2:$B$50,'[2]Column Data'!$D$2:$D$50)</f>
        <v>3</v>
      </c>
      <c r="L6" s="11">
        <f t="shared" si="3"/>
        <v>580.15200000000004</v>
      </c>
      <c r="M6" s="8">
        <v>4</v>
      </c>
      <c r="N6" s="12">
        <v>45714</v>
      </c>
      <c r="P6" s="14"/>
    </row>
    <row r="7" spans="1:16" ht="14.15" customHeight="1" x14ac:dyDescent="0.35">
      <c r="A7" s="404"/>
      <c r="B7" s="6" t="s">
        <v>30</v>
      </c>
      <c r="C7" s="7" t="s">
        <v>31</v>
      </c>
      <c r="D7" s="7" t="s">
        <v>23</v>
      </c>
      <c r="E7" s="8">
        <f>_xlfn.XLOOKUP(C7,'[2]Column Data'!$A$2:$A$50,'[2]Column Data'!$C$2:$C$50)</f>
        <v>20</v>
      </c>
      <c r="F7" s="9">
        <v>20.3</v>
      </c>
      <c r="G7" s="8">
        <f t="shared" ref="G7:G13" si="4">PI()*(E7/20)^2*F7</f>
        <v>63.774330867872806</v>
      </c>
      <c r="H7" s="260">
        <f t="shared" si="0"/>
        <v>10.629055144645466</v>
      </c>
      <c r="I7" s="10">
        <f t="shared" si="1"/>
        <v>203</v>
      </c>
      <c r="J7" s="11">
        <f t="shared" si="2"/>
        <v>290.07600000000002</v>
      </c>
      <c r="K7" s="8">
        <f>_xlfn.XLOOKUP(D7,'[2]Column Data'!$B$2:$B$50,'[2]Column Data'!$D$2:$D$50)</f>
        <v>2</v>
      </c>
      <c r="L7" s="11">
        <f t="shared" si="3"/>
        <v>507.63300000000004</v>
      </c>
      <c r="M7" s="8">
        <v>3.5</v>
      </c>
      <c r="N7" s="12">
        <v>45897</v>
      </c>
      <c r="P7" s="14"/>
    </row>
    <row r="8" spans="1:16" x14ac:dyDescent="0.35">
      <c r="A8" s="404"/>
      <c r="B8" s="321" t="s">
        <v>315</v>
      </c>
      <c r="C8" s="7" t="s">
        <v>31</v>
      </c>
      <c r="D8" s="7" t="s">
        <v>23</v>
      </c>
      <c r="E8" s="8">
        <f>_xlfn.XLOOKUP(C8,'[2]Column Data'!$A$2:$A$50,'[2]Column Data'!$C$2:$C$50)</f>
        <v>20</v>
      </c>
      <c r="F8" s="9">
        <v>20.6</v>
      </c>
      <c r="G8" s="8">
        <f>PI()*(E8/20)^2*F8</f>
        <v>64.716808663949749</v>
      </c>
      <c r="H8" s="260">
        <f>I8*PI()*(E8/20)^2/60</f>
        <v>10.786134777324955</v>
      </c>
      <c r="I8" s="10">
        <f>F8*10</f>
        <v>206</v>
      </c>
      <c r="J8" s="11">
        <f t="shared" si="2"/>
        <v>290.07600000000002</v>
      </c>
      <c r="K8" s="8">
        <f>_xlfn.XLOOKUP(D8,'[2]Column Data'!$B$2:$B$50,'[2]Column Data'!$D$2:$D$50)</f>
        <v>2</v>
      </c>
      <c r="L8" s="11">
        <f>M8*145.038</f>
        <v>507.63300000000004</v>
      </c>
      <c r="M8" s="8">
        <v>3.5</v>
      </c>
      <c r="N8" s="12">
        <v>45897</v>
      </c>
      <c r="P8" s="14"/>
    </row>
    <row r="9" spans="1:16" x14ac:dyDescent="0.35">
      <c r="A9" s="404"/>
      <c r="B9" s="321" t="s">
        <v>32</v>
      </c>
      <c r="C9" s="7" t="s">
        <v>33</v>
      </c>
      <c r="D9" s="7" t="s">
        <v>23</v>
      </c>
      <c r="E9" s="8">
        <f>_xlfn.XLOOKUP(C9,'[2]Column Data'!$A$2:$A$50,'[2]Column Data'!$C$2:$C$50)</f>
        <v>20</v>
      </c>
      <c r="F9" s="9">
        <v>25</v>
      </c>
      <c r="G9" s="8">
        <f t="shared" si="4"/>
        <v>78.539816339744831</v>
      </c>
      <c r="H9" s="260">
        <f t="shared" si="0"/>
        <v>13.089969389957471</v>
      </c>
      <c r="I9" s="10">
        <f t="shared" si="1"/>
        <v>250</v>
      </c>
      <c r="J9" s="11">
        <f t="shared" ref="J9:J17" si="5">K9*145.038</f>
        <v>290.07600000000002</v>
      </c>
      <c r="K9" s="8">
        <f>_xlfn.XLOOKUP(D9,'[2]Column Data'!$B$2:$B$50,'[2]Column Data'!$D$2:$D$50)</f>
        <v>2</v>
      </c>
      <c r="L9" s="11">
        <f t="shared" si="3"/>
        <v>1450.38</v>
      </c>
      <c r="M9" s="8">
        <f>_xlfn.XLOOKUP(C9,'[2]Column Data'!$A$2:$A$50,'[2]Column Data'!$E$2:$E$50)</f>
        <v>10</v>
      </c>
      <c r="N9" s="12">
        <v>45897</v>
      </c>
      <c r="O9" s="6" t="s">
        <v>362</v>
      </c>
      <c r="P9" s="14"/>
    </row>
    <row r="10" spans="1:16" x14ac:dyDescent="0.35">
      <c r="A10" s="404"/>
      <c r="B10" s="6" t="s">
        <v>896</v>
      </c>
      <c r="C10" s="7" t="s">
        <v>34</v>
      </c>
      <c r="D10" s="7" t="s">
        <v>23</v>
      </c>
      <c r="E10" s="8">
        <f>_xlfn.XLOOKUP(C10,'[2]Column Data'!$A$2:$A$50,'[2]Column Data'!$C$2:$C$50)</f>
        <v>25.4</v>
      </c>
      <c r="F10" s="9">
        <v>35</v>
      </c>
      <c r="G10" s="8">
        <f>PI()*(E10/20)^2*F10</f>
        <v>177.3476176841242</v>
      </c>
      <c r="H10" s="260">
        <f>I10*PI()*(E10/20)^2/60</f>
        <v>29.557936280687368</v>
      </c>
      <c r="I10" s="10">
        <f>F10*10</f>
        <v>350</v>
      </c>
      <c r="J10" s="11">
        <f>K10*145.038</f>
        <v>290.07600000000002</v>
      </c>
      <c r="K10" s="8">
        <f>_xlfn.XLOOKUP(D10,'[2]Column Data'!$B$2:$B$50,'[2]Column Data'!$D$2:$D$50)</f>
        <v>2</v>
      </c>
      <c r="L10" s="11">
        <f>M10*145.038</f>
        <v>580.15200000000004</v>
      </c>
      <c r="M10" s="8">
        <v>4</v>
      </c>
      <c r="N10" s="12">
        <v>46043</v>
      </c>
    </row>
    <row r="11" spans="1:16" x14ac:dyDescent="0.35">
      <c r="A11" s="404"/>
      <c r="B11" s="321"/>
      <c r="C11" s="7"/>
      <c r="D11" s="7"/>
      <c r="E11" s="8"/>
      <c r="F11" s="9"/>
      <c r="G11" s="8"/>
      <c r="H11" s="260"/>
      <c r="I11" s="10"/>
      <c r="J11" s="11"/>
      <c r="K11" s="8"/>
      <c r="L11" s="11"/>
      <c r="M11" s="8"/>
      <c r="N11" s="12"/>
      <c r="O11" s="6"/>
      <c r="P11" s="14"/>
    </row>
    <row r="12" spans="1:16" x14ac:dyDescent="0.35">
      <c r="A12" s="404"/>
      <c r="B12" s="6" t="s">
        <v>37</v>
      </c>
      <c r="C12" s="302" t="s">
        <v>36</v>
      </c>
      <c r="D12" s="7" t="s">
        <v>23</v>
      </c>
      <c r="E12" s="8">
        <f>_xlfn.XLOOKUP(C12,'[2]Column Data'!$A$2:$A$50,'[2]Column Data'!$C$2:$C$50)</f>
        <v>35</v>
      </c>
      <c r="F12" s="9">
        <v>31</v>
      </c>
      <c r="G12" s="8">
        <f>PI()*(E12/20)^2*F12</f>
        <v>298.25495255018097</v>
      </c>
      <c r="H12" s="260">
        <f t="shared" si="0"/>
        <v>49.7091587583635</v>
      </c>
      <c r="I12" s="10">
        <f t="shared" si="1"/>
        <v>310</v>
      </c>
      <c r="J12" s="11">
        <f t="shared" si="5"/>
        <v>290.07600000000002</v>
      </c>
      <c r="K12" s="8">
        <f>_xlfn.XLOOKUP(D12,'[2]Column Data'!$B$2:$B$50,'[2]Column Data'!$D$2:$D$50)</f>
        <v>2</v>
      </c>
      <c r="L12" s="11">
        <f t="shared" si="3"/>
        <v>290.07600000000002</v>
      </c>
      <c r="M12" s="8">
        <f>_xlfn.XLOOKUP(C12,'[2]Column Data'!$A$2:$A$50,'[2]Column Data'!$E$2:$E$50)</f>
        <v>2</v>
      </c>
      <c r="N12" s="12" t="s">
        <v>26</v>
      </c>
      <c r="P12" s="14"/>
    </row>
    <row r="13" spans="1:16" x14ac:dyDescent="0.35">
      <c r="A13" s="404"/>
      <c r="B13" s="6" t="s">
        <v>38</v>
      </c>
      <c r="C13" s="7" t="s">
        <v>39</v>
      </c>
      <c r="D13" s="7" t="s">
        <v>23</v>
      </c>
      <c r="E13" s="8">
        <f>_xlfn.XLOOKUP(C13,'[2]Column Data'!$A$2:$A$50,'[2]Column Data'!$C$2:$C$50)</f>
        <v>50</v>
      </c>
      <c r="F13" s="9">
        <v>19.5</v>
      </c>
      <c r="G13" s="8">
        <f t="shared" si="4"/>
        <v>382.88160465625606</v>
      </c>
      <c r="H13" s="260">
        <f t="shared" si="0"/>
        <v>63.813600776042669</v>
      </c>
      <c r="I13" s="10">
        <f t="shared" si="1"/>
        <v>195</v>
      </c>
      <c r="J13" s="11">
        <f t="shared" si="5"/>
        <v>290.07600000000002</v>
      </c>
      <c r="K13" s="8">
        <f>_xlfn.XLOOKUP(D13,'[2]Column Data'!$B$2:$B$50,'[2]Column Data'!$D$2:$D$50)</f>
        <v>2</v>
      </c>
      <c r="L13" s="11">
        <f t="shared" si="3"/>
        <v>507.63300000000004</v>
      </c>
      <c r="M13" s="8">
        <v>3.5</v>
      </c>
      <c r="N13" s="12" t="s">
        <v>26</v>
      </c>
      <c r="P13" s="14"/>
    </row>
    <row r="14" spans="1:16" x14ac:dyDescent="0.35">
      <c r="A14" s="404"/>
      <c r="B14" s="6" t="s">
        <v>40</v>
      </c>
      <c r="C14" s="16" t="s">
        <v>39</v>
      </c>
      <c r="D14" s="16" t="s">
        <v>23</v>
      </c>
      <c r="E14" s="17">
        <f>_xlfn.XLOOKUP(C14,'[2]Column Data'!$A$2:$A$50,'[2]Column Data'!$C$2:$C$50)</f>
        <v>50</v>
      </c>
      <c r="F14" s="18">
        <v>20.399999999999999</v>
      </c>
      <c r="G14" s="17">
        <f t="shared" ref="G14" si="6">PI()*(E14/20)^2*F14</f>
        <v>400.55306333269863</v>
      </c>
      <c r="H14" s="261">
        <f t="shared" ref="H14" si="7">I14*PI()*(E14/20)^2/60</f>
        <v>66.758843888783105</v>
      </c>
      <c r="I14" s="10">
        <f t="shared" ref="I14" si="8">F14*10</f>
        <v>204</v>
      </c>
      <c r="J14" s="19">
        <f t="shared" ref="J14" si="9">K14*145.038</f>
        <v>290.07600000000002</v>
      </c>
      <c r="K14" s="17">
        <f>_xlfn.XLOOKUP(D14,'[2]Column Data'!$B$2:$B$50,'[2]Column Data'!$D$2:$D$50)</f>
        <v>2</v>
      </c>
      <c r="L14" s="19">
        <f t="shared" ref="L14" si="10">M14*145.038</f>
        <v>507.63300000000004</v>
      </c>
      <c r="M14" s="17">
        <v>3.5</v>
      </c>
      <c r="N14" s="12" t="s">
        <v>26</v>
      </c>
    </row>
    <row r="15" spans="1:16" x14ac:dyDescent="0.35">
      <c r="A15" s="404"/>
      <c r="B15" s="6" t="s">
        <v>198</v>
      </c>
      <c r="C15" s="7" t="s">
        <v>53</v>
      </c>
      <c r="D15" s="7" t="s">
        <v>23</v>
      </c>
      <c r="E15" s="8">
        <f>_xlfn.XLOOKUP(C15,'[2]Column Data'!$A$2:$A$50,'[2]Column Data'!$C$2:$C$50)</f>
        <v>50.8</v>
      </c>
      <c r="F15" s="9">
        <v>37.5</v>
      </c>
      <c r="G15" s="8">
        <f>PI()*(E15/20)^2*F15</f>
        <v>760.06121864624652</v>
      </c>
      <c r="H15" s="260">
        <f>I15*PI()*(E15/20)^2/60</f>
        <v>126.67686977437442</v>
      </c>
      <c r="I15" s="10">
        <f>F15*10</f>
        <v>375</v>
      </c>
      <c r="J15" s="11">
        <f>K15*145.038</f>
        <v>290.07600000000002</v>
      </c>
      <c r="K15" s="8">
        <f>_xlfn.XLOOKUP(D15,'[2]Column Data'!$B$2:$B$50,'[2]Column Data'!$D$2:$D$50)</f>
        <v>2</v>
      </c>
      <c r="L15" s="11">
        <f>M15*145.038</f>
        <v>580.15200000000004</v>
      </c>
      <c r="M15" s="8">
        <v>4</v>
      </c>
      <c r="N15" s="12">
        <v>45880</v>
      </c>
    </row>
    <row r="16" spans="1:16" x14ac:dyDescent="0.35">
      <c r="A16" s="404"/>
      <c r="B16" s="6" t="s">
        <v>530</v>
      </c>
      <c r="C16" s="7" t="s">
        <v>120</v>
      </c>
      <c r="D16" s="7" t="s">
        <v>23</v>
      </c>
      <c r="E16" s="8">
        <f>_xlfn.XLOOKUP(C16,'[2]Column Data'!$A$2:$A$50,'[2]Column Data'!$C$2:$C$50)</f>
        <v>76.2</v>
      </c>
      <c r="F16" s="9">
        <v>40</v>
      </c>
      <c r="G16" s="8">
        <f>PI()*(E16/20)^2*F16</f>
        <v>1824.1469247509917</v>
      </c>
      <c r="H16" s="260">
        <f>I16*PI()*(E16/20)^2/60</f>
        <v>152.01224372924932</v>
      </c>
      <c r="I16" s="10">
        <v>200</v>
      </c>
      <c r="J16" s="11">
        <f>K16*145.038</f>
        <v>290.07600000000002</v>
      </c>
      <c r="K16" s="8">
        <f>_xlfn.XLOOKUP(D16,'[2]Column Data'!$B$2:$B$50,'[2]Column Data'!$D$2:$D$50)</f>
        <v>2</v>
      </c>
      <c r="L16" s="11">
        <f>M16*145.038</f>
        <v>725.19</v>
      </c>
      <c r="M16" s="8">
        <v>5</v>
      </c>
      <c r="N16" s="12">
        <v>45979</v>
      </c>
      <c r="O16" s="6" t="s">
        <v>537</v>
      </c>
    </row>
    <row r="17" spans="1:16" x14ac:dyDescent="0.35">
      <c r="A17" s="404"/>
      <c r="B17" s="6" t="s">
        <v>211</v>
      </c>
      <c r="C17" s="7" t="s">
        <v>33</v>
      </c>
      <c r="D17" s="7" t="s">
        <v>212</v>
      </c>
      <c r="E17" s="8">
        <v>21.2</v>
      </c>
      <c r="F17" s="9">
        <v>25</v>
      </c>
      <c r="G17" s="8">
        <f>PI()*(E17/20)^2*F17</f>
        <v>88.247337639337303</v>
      </c>
      <c r="H17" s="260">
        <f t="shared" si="0"/>
        <v>4.7065246740979898</v>
      </c>
      <c r="I17" s="265">
        <v>80</v>
      </c>
      <c r="J17" s="11">
        <f t="shared" si="5"/>
        <v>0</v>
      </c>
      <c r="K17" s="8"/>
      <c r="L17" s="11"/>
      <c r="M17" s="8"/>
      <c r="N17" s="12" t="s">
        <v>26</v>
      </c>
    </row>
    <row r="18" spans="1:16" s="23" customFormat="1" ht="19" customHeight="1" x14ac:dyDescent="0.35">
      <c r="A18" s="20"/>
      <c r="B18" s="405" t="s">
        <v>681</v>
      </c>
      <c r="C18" s="405"/>
      <c r="D18" s="405"/>
      <c r="E18" s="405"/>
      <c r="F18" s="405"/>
      <c r="G18" s="405"/>
      <c r="H18" s="21"/>
      <c r="I18" s="21"/>
      <c r="J18" s="21"/>
      <c r="K18" s="21"/>
      <c r="L18" s="21"/>
      <c r="M18" s="21"/>
      <c r="N18" s="22"/>
    </row>
    <row r="19" spans="1:16" ht="13" customHeight="1" x14ac:dyDescent="0.35">
      <c r="A19" s="403" t="s">
        <v>42</v>
      </c>
      <c r="B19" s="24" t="s">
        <v>43</v>
      </c>
      <c r="C19" s="25" t="s">
        <v>22</v>
      </c>
      <c r="D19" s="25" t="s">
        <v>44</v>
      </c>
      <c r="E19" s="26">
        <f>_xlfn.XLOOKUP(C19,'[2]Column Data'!$A$2:$A$50,'[2]Column Data'!$C$2:$C$50)</f>
        <v>10</v>
      </c>
      <c r="F19" s="27">
        <v>28.2</v>
      </c>
      <c r="G19" s="26">
        <f t="shared" ref="G19:G25" si="11">PI()*(E19/20)^2*F19</f>
        <v>22.148228207808042</v>
      </c>
      <c r="H19" s="262">
        <f t="shared" ref="H19:H25" si="12">I19*PI()*(E19/20)^2/60</f>
        <v>3.6913713679680069</v>
      </c>
      <c r="I19" s="10">
        <f t="shared" ref="I19:I24" si="13">F19*10</f>
        <v>282</v>
      </c>
      <c r="J19" s="28">
        <f t="shared" ref="J19:J25" si="14">K19*145.038</f>
        <v>290.07600000000002</v>
      </c>
      <c r="K19" s="26">
        <f>_xlfn.XLOOKUP(D19,'[2]Column Data'!$B$2:$B$50,'[2]Column Data'!$D$2:$D$50)</f>
        <v>2</v>
      </c>
      <c r="L19" s="28">
        <f t="shared" ref="L19:L25" si="15">M19*145.038</f>
        <v>580.15200000000004</v>
      </c>
      <c r="M19" s="26">
        <v>4</v>
      </c>
      <c r="N19" s="12" t="s">
        <v>26</v>
      </c>
    </row>
    <row r="20" spans="1:16" ht="13" customHeight="1" x14ac:dyDescent="0.35">
      <c r="A20" s="403"/>
      <c r="B20" s="6" t="s">
        <v>45</v>
      </c>
      <c r="C20" s="7" t="s">
        <v>22</v>
      </c>
      <c r="D20" s="7" t="s">
        <v>46</v>
      </c>
      <c r="E20" s="8">
        <f>_xlfn.XLOOKUP(C20,'[2]Column Data'!$A$2:$A$50,'[2]Column Data'!$C$2:$C$50)</f>
        <v>10</v>
      </c>
      <c r="F20" s="9">
        <v>30.5</v>
      </c>
      <c r="G20" s="8">
        <f t="shared" si="11"/>
        <v>23.954643983622173</v>
      </c>
      <c r="H20" s="260">
        <f t="shared" si="12"/>
        <v>3.9924406639370291</v>
      </c>
      <c r="I20" s="10">
        <f t="shared" si="13"/>
        <v>305</v>
      </c>
      <c r="J20" s="11">
        <f t="shared" si="14"/>
        <v>435.11400000000003</v>
      </c>
      <c r="K20" s="8">
        <f>_xlfn.XLOOKUP(D20,'[2]Column Data'!$B$2:$B$50,'[2]Column Data'!$D$2:$D$50)</f>
        <v>3</v>
      </c>
      <c r="L20" s="11">
        <f t="shared" si="15"/>
        <v>580.15200000000004</v>
      </c>
      <c r="M20" s="8">
        <v>4</v>
      </c>
      <c r="N20" s="12">
        <v>45744</v>
      </c>
      <c r="O20" s="29"/>
    </row>
    <row r="21" spans="1:16" x14ac:dyDescent="0.35">
      <c r="A21" s="403"/>
      <c r="B21" s="6" t="s">
        <v>47</v>
      </c>
      <c r="C21" s="7" t="s">
        <v>22</v>
      </c>
      <c r="D21" s="7" t="s">
        <v>44</v>
      </c>
      <c r="E21" s="8">
        <f>_xlfn.XLOOKUP(C21,'[2]Column Data'!$A$2:$A$50,'[2]Column Data'!$C$2:$C$50)</f>
        <v>10</v>
      </c>
      <c r="F21" s="9">
        <v>30.5</v>
      </c>
      <c r="G21" s="8">
        <f t="shared" si="11"/>
        <v>23.954643983622173</v>
      </c>
      <c r="H21" s="260">
        <f t="shared" si="12"/>
        <v>3.9924406639370291</v>
      </c>
      <c r="I21" s="10">
        <f t="shared" si="13"/>
        <v>305</v>
      </c>
      <c r="J21" s="11">
        <f t="shared" si="14"/>
        <v>290.07600000000002</v>
      </c>
      <c r="K21" s="8">
        <f>_xlfn.XLOOKUP(D21,'[2]Column Data'!$B$2:$B$50,'[2]Column Data'!$D$2:$D$50)</f>
        <v>2</v>
      </c>
      <c r="L21" s="11">
        <f t="shared" si="15"/>
        <v>580.15200000000004</v>
      </c>
      <c r="M21" s="8">
        <v>4</v>
      </c>
      <c r="N21" s="12">
        <v>45594</v>
      </c>
      <c r="O21" s="15" t="s">
        <v>27</v>
      </c>
      <c r="P21" s="13" t="s">
        <v>213</v>
      </c>
    </row>
    <row r="22" spans="1:16" x14ac:dyDescent="0.35">
      <c r="A22" s="403"/>
      <c r="B22" s="6" t="s">
        <v>297</v>
      </c>
      <c r="C22" s="7" t="s">
        <v>31</v>
      </c>
      <c r="D22" s="7" t="s">
        <v>44</v>
      </c>
      <c r="E22" s="8">
        <f>_xlfn.XLOOKUP(C22,'[2]Column Data'!$A$2:$A$50,'[2]Column Data'!$C$2:$C$50)</f>
        <v>20</v>
      </c>
      <c r="F22" s="9">
        <v>17.5</v>
      </c>
      <c r="G22" s="8">
        <f t="shared" ref="G22" si="16">PI()*(E22/20)^2*F22</f>
        <v>54.977871437821378</v>
      </c>
      <c r="H22" s="260">
        <f t="shared" ref="H22" si="17">I22*PI()*(E22/20)^2/60</f>
        <v>9.1629785729702284</v>
      </c>
      <c r="I22" s="10">
        <f t="shared" ref="I22" si="18">F22*10</f>
        <v>175</v>
      </c>
      <c r="J22" s="11">
        <f t="shared" ref="J22" si="19">K22*145.038</f>
        <v>290.07600000000002</v>
      </c>
      <c r="K22" s="8">
        <f>_xlfn.XLOOKUP(D22,'[2]Column Data'!$B$2:$B$50,'[2]Column Data'!$D$2:$D$50)</f>
        <v>2</v>
      </c>
      <c r="L22" s="11">
        <f t="shared" ref="L22" si="20">M22*145.038</f>
        <v>507.63300000000004</v>
      </c>
      <c r="M22" s="8">
        <v>3.5</v>
      </c>
      <c r="N22" s="12">
        <v>45908</v>
      </c>
      <c r="O22" s="287"/>
    </row>
    <row r="23" spans="1:16" x14ac:dyDescent="0.35">
      <c r="A23" s="403"/>
      <c r="B23" s="6" t="s">
        <v>48</v>
      </c>
      <c r="C23" s="7" t="s">
        <v>31</v>
      </c>
      <c r="D23" s="7" t="s">
        <v>46</v>
      </c>
      <c r="E23" s="8">
        <f>_xlfn.XLOOKUP(C23,'[2]Column Data'!$A$2:$A$50,'[2]Column Data'!$C$2:$C$50)</f>
        <v>20</v>
      </c>
      <c r="F23" s="9">
        <v>28</v>
      </c>
      <c r="G23" s="8">
        <f t="shared" si="11"/>
        <v>87.964594300514207</v>
      </c>
      <c r="H23" s="260">
        <f t="shared" si="12"/>
        <v>14.660765716752367</v>
      </c>
      <c r="I23" s="10">
        <f t="shared" si="13"/>
        <v>280</v>
      </c>
      <c r="J23" s="11">
        <f t="shared" si="14"/>
        <v>435.11400000000003</v>
      </c>
      <c r="K23" s="8">
        <f>_xlfn.XLOOKUP(D23,'[2]Column Data'!$B$2:$B$50,'[2]Column Data'!$D$2:$D$50)</f>
        <v>3</v>
      </c>
      <c r="L23" s="11">
        <f t="shared" si="15"/>
        <v>507.63300000000004</v>
      </c>
      <c r="M23" s="8">
        <v>3.5</v>
      </c>
      <c r="N23" s="12" t="s">
        <v>49</v>
      </c>
      <c r="O23" s="266" t="s">
        <v>27</v>
      </c>
      <c r="P23" s="13" t="s">
        <v>214</v>
      </c>
    </row>
    <row r="24" spans="1:16" x14ac:dyDescent="0.35">
      <c r="A24" s="403"/>
      <c r="B24" s="6" t="s">
        <v>50</v>
      </c>
      <c r="C24" s="7" t="s">
        <v>34</v>
      </c>
      <c r="D24" s="7" t="s">
        <v>46</v>
      </c>
      <c r="E24" s="8">
        <f>_xlfn.XLOOKUP(C24,'[2]Column Data'!$A$2:$A$50,'[2]Column Data'!$C$2:$C$50)</f>
        <v>25.4</v>
      </c>
      <c r="F24" s="9">
        <v>35</v>
      </c>
      <c r="G24" s="8">
        <f>PI()*(E24/20)^2*F24</f>
        <v>177.3476176841242</v>
      </c>
      <c r="H24" s="260">
        <f t="shared" si="12"/>
        <v>29.557936280687368</v>
      </c>
      <c r="I24" s="10">
        <f t="shared" si="13"/>
        <v>350</v>
      </c>
      <c r="J24" s="11">
        <f t="shared" si="14"/>
        <v>435.11400000000003</v>
      </c>
      <c r="K24" s="8">
        <f>_xlfn.XLOOKUP(D24,'[2]Column Data'!$B$2:$B$50,'[2]Column Data'!$D$2:$D$50)</f>
        <v>3</v>
      </c>
      <c r="L24" s="11">
        <f t="shared" si="15"/>
        <v>580.15200000000004</v>
      </c>
      <c r="M24" s="8">
        <v>4</v>
      </c>
      <c r="N24" s="12">
        <v>45779</v>
      </c>
    </row>
    <row r="25" spans="1:16" x14ac:dyDescent="0.35">
      <c r="A25" s="403"/>
      <c r="B25" s="6" t="s">
        <v>51</v>
      </c>
      <c r="C25" s="30" t="s">
        <v>36</v>
      </c>
      <c r="D25" s="30" t="s">
        <v>44</v>
      </c>
      <c r="E25" s="31">
        <f>_xlfn.XLOOKUP(C25,'[2]Column Data'!$A$2:$A$50,'[2]Column Data'!$C$2:$C$50)</f>
        <v>35</v>
      </c>
      <c r="F25" s="32">
        <v>26.1</v>
      </c>
      <c r="G25" s="31">
        <f t="shared" si="11"/>
        <v>251.11142779224915</v>
      </c>
      <c r="H25" s="263">
        <f t="shared" si="12"/>
        <v>41.851904632041524</v>
      </c>
      <c r="I25" s="10">
        <f>F25*10</f>
        <v>261</v>
      </c>
      <c r="J25" s="33">
        <f t="shared" si="14"/>
        <v>290.07600000000002</v>
      </c>
      <c r="K25" s="31">
        <f>_xlfn.XLOOKUP(D25,'[2]Column Data'!$B$2:$B$50,'[2]Column Data'!$D$2:$D$50)</f>
        <v>2</v>
      </c>
      <c r="L25" s="33">
        <f t="shared" si="15"/>
        <v>290.07600000000002</v>
      </c>
      <c r="M25" s="31">
        <f>_xlfn.XLOOKUP(C25,'[2]Column Data'!$A$2:$A$50,'[2]Column Data'!$E$2:$E$50)</f>
        <v>2</v>
      </c>
      <c r="N25" s="12">
        <v>45638</v>
      </c>
    </row>
    <row r="26" spans="1:16" x14ac:dyDescent="0.35">
      <c r="A26" s="403"/>
      <c r="B26" s="6" t="s">
        <v>52</v>
      </c>
      <c r="C26" s="7" t="s">
        <v>53</v>
      </c>
      <c r="D26" s="7" t="s">
        <v>46</v>
      </c>
      <c r="E26" s="8">
        <f>_xlfn.XLOOKUP(C26,'[2]Column Data'!$A$2:$A$50,'[2]Column Data'!$C$2:$C$50)</f>
        <v>50.8</v>
      </c>
      <c r="F26" s="9">
        <v>35</v>
      </c>
      <c r="G26" s="8">
        <f>PI()*(E26/20)^2*F26</f>
        <v>709.39047073649681</v>
      </c>
      <c r="H26" s="260">
        <f>I26*PI()*(E26/20)^2/60</f>
        <v>118.23174512274947</v>
      </c>
      <c r="I26" s="10">
        <f>F26*10</f>
        <v>350</v>
      </c>
      <c r="J26" s="11">
        <f>K26*145.038</f>
        <v>435.11400000000003</v>
      </c>
      <c r="K26" s="8">
        <f>_xlfn.XLOOKUP(D26,'[2]Column Data'!$B$2:$B$50,'[2]Column Data'!$D$2:$D$50)</f>
        <v>3</v>
      </c>
      <c r="L26" s="11">
        <f>M26*145.038</f>
        <v>580.15200000000004</v>
      </c>
      <c r="M26" s="8">
        <v>4</v>
      </c>
      <c r="N26" s="12">
        <v>45848</v>
      </c>
    </row>
    <row r="27" spans="1:16" x14ac:dyDescent="0.35">
      <c r="A27" s="307"/>
      <c r="B27" s="6" t="s">
        <v>339</v>
      </c>
      <c r="C27" s="7"/>
      <c r="D27" s="7"/>
      <c r="E27" s="8">
        <v>21.2</v>
      </c>
      <c r="F27" s="9">
        <v>25</v>
      </c>
      <c r="G27" s="8">
        <f>PI()*(E27/20)^2*F27</f>
        <v>88.247337639337303</v>
      </c>
      <c r="H27" s="260">
        <f>I27*PI()*(E27/20)^2/60</f>
        <v>14.707889606556217</v>
      </c>
      <c r="I27" s="10">
        <f>F27*10</f>
        <v>250</v>
      </c>
      <c r="J27" s="11">
        <f>K27*145.038</f>
        <v>0</v>
      </c>
      <c r="K27" s="8">
        <f>_xlfn.XLOOKUP(D27,'[2]Column Data'!$B$2:$B$50,'[2]Column Data'!$D$2:$D$50)</f>
        <v>0</v>
      </c>
      <c r="L27" s="11">
        <f>M27*145.038</f>
        <v>580.15200000000004</v>
      </c>
      <c r="M27" s="8">
        <v>4</v>
      </c>
      <c r="N27" s="12">
        <v>45848</v>
      </c>
    </row>
    <row r="28" spans="1:16" x14ac:dyDescent="0.35">
      <c r="A28" s="307"/>
      <c r="B28" s="6" t="s">
        <v>340</v>
      </c>
      <c r="C28" s="7"/>
      <c r="D28" s="7"/>
      <c r="E28" s="8">
        <v>30</v>
      </c>
      <c r="F28" s="9">
        <v>25</v>
      </c>
      <c r="G28" s="8">
        <f>PI()*(E28/20)^2*F28</f>
        <v>176.71458676442586</v>
      </c>
      <c r="H28" s="260">
        <f>I28*PI()*(E28/20)^2/60</f>
        <v>29.452431127404306</v>
      </c>
      <c r="I28" s="265">
        <f>F28*10</f>
        <v>250</v>
      </c>
      <c r="J28" s="11"/>
      <c r="K28" s="8"/>
      <c r="L28" s="11"/>
      <c r="M28" s="8"/>
      <c r="N28" s="12"/>
    </row>
    <row r="29" spans="1:16" x14ac:dyDescent="0.35">
      <c r="A29" s="307"/>
      <c r="B29" s="6" t="s">
        <v>341</v>
      </c>
      <c r="C29" s="7"/>
      <c r="D29" s="7"/>
      <c r="E29" s="8">
        <v>21.4</v>
      </c>
      <c r="F29" s="9">
        <v>25</v>
      </c>
      <c r="G29" s="8">
        <f>PI()*(E29/20)^2*F29</f>
        <v>89.920235727373822</v>
      </c>
      <c r="H29" s="260">
        <f>I29*PI()*(E29/20)^2/60</f>
        <v>14.986705954562302</v>
      </c>
      <c r="I29" s="265">
        <f>F29*10</f>
        <v>250</v>
      </c>
      <c r="J29" s="11"/>
      <c r="K29" s="8"/>
      <c r="L29" s="11"/>
      <c r="M29" s="8"/>
      <c r="N29" s="12"/>
    </row>
    <row r="30" spans="1:16" s="23" customFormat="1" ht="18" customHeight="1" x14ac:dyDescent="0.35">
      <c r="A30" s="20"/>
      <c r="B30" s="21" t="s">
        <v>54</v>
      </c>
      <c r="C30" s="34"/>
      <c r="D30" s="34"/>
      <c r="F30" s="34"/>
      <c r="I30" s="34"/>
      <c r="N30" s="35"/>
    </row>
    <row r="31" spans="1:16" ht="17.149999999999999" customHeight="1" x14ac:dyDescent="0.35">
      <c r="A31" s="403" t="s">
        <v>55</v>
      </c>
      <c r="B31" s="6" t="s">
        <v>56</v>
      </c>
      <c r="C31" s="7" t="s">
        <v>39</v>
      </c>
      <c r="D31" s="7" t="s">
        <v>57</v>
      </c>
      <c r="E31" s="8">
        <f>_xlfn.XLOOKUP(C31,'[2]Column Data'!$A$2:$A$50,'[2]Column Data'!$C$2:$C$50)</f>
        <v>50</v>
      </c>
      <c r="F31" s="9">
        <v>27.8</v>
      </c>
      <c r="G31" s="8">
        <f t="shared" ref="G31" si="21">PI()*(E31/20)^2*F31</f>
        <v>545.85172356122655</v>
      </c>
      <c r="H31" s="260">
        <f>I31*PI()*(E31/20)^2/60</f>
        <v>49.087385212340521</v>
      </c>
      <c r="I31" s="36">
        <v>150</v>
      </c>
      <c r="J31" s="11">
        <f t="shared" ref="J31" si="22">K31*145.038</f>
        <v>72.519000000000005</v>
      </c>
      <c r="K31" s="8">
        <f>_xlfn.XLOOKUP(D31,'[2]Column Data'!$B$2:$B$50,'[2]Column Data'!$D$2:$D$50)</f>
        <v>0.5</v>
      </c>
      <c r="L31" s="11">
        <f t="shared" ref="L31" si="23">M31*145.038</f>
        <v>507.63300000000004</v>
      </c>
      <c r="M31" s="8">
        <v>3.5</v>
      </c>
      <c r="N31" s="12" t="s">
        <v>26</v>
      </c>
    </row>
    <row r="32" spans="1:16" x14ac:dyDescent="0.35">
      <c r="A32" s="403"/>
      <c r="C32" s="7"/>
      <c r="D32" s="7"/>
      <c r="E32" s="8"/>
      <c r="F32" s="9"/>
      <c r="G32" s="8"/>
      <c r="H32" s="8"/>
      <c r="I32" s="36"/>
      <c r="J32" s="11"/>
      <c r="K32" s="8"/>
      <c r="L32" s="11"/>
      <c r="M32" s="8"/>
      <c r="N32" s="12"/>
    </row>
    <row r="33" spans="1:14" x14ac:dyDescent="0.35">
      <c r="A33" s="403"/>
      <c r="C33" s="7"/>
      <c r="D33" s="7"/>
      <c r="E33" s="8"/>
      <c r="F33" s="9"/>
      <c r="G33" s="8"/>
      <c r="H33" s="8"/>
      <c r="I33" s="36"/>
      <c r="J33" s="11"/>
      <c r="K33" s="8"/>
      <c r="L33" s="11"/>
      <c r="M33" s="8"/>
      <c r="N33" s="12"/>
    </row>
    <row r="34" spans="1:14" s="23" customFormat="1" x14ac:dyDescent="0.35">
      <c r="B34" s="37"/>
      <c r="C34" s="34"/>
      <c r="D34" s="34"/>
      <c r="F34" s="34"/>
      <c r="I34" s="34"/>
    </row>
    <row r="35" spans="1:14" x14ac:dyDescent="0.35">
      <c r="F35" s="38"/>
    </row>
    <row r="36" spans="1:14" x14ac:dyDescent="0.35">
      <c r="A36" s="39" t="s">
        <v>58</v>
      </c>
      <c r="B36" s="39" t="s">
        <v>59</v>
      </c>
      <c r="F36" s="38"/>
    </row>
    <row r="37" spans="1:14" x14ac:dyDescent="0.35">
      <c r="A37" s="40" t="s">
        <v>60</v>
      </c>
      <c r="B37" s="40">
        <v>10</v>
      </c>
      <c r="C37"/>
      <c r="F37" s="38"/>
    </row>
    <row r="38" spans="1:14" x14ac:dyDescent="0.35">
      <c r="A38" s="40" t="s">
        <v>61</v>
      </c>
      <c r="B38" s="40">
        <v>12</v>
      </c>
      <c r="C38"/>
    </row>
    <row r="39" spans="1:14" x14ac:dyDescent="0.35">
      <c r="A39" s="41" t="s">
        <v>62</v>
      </c>
      <c r="B39" s="41">
        <v>14</v>
      </c>
      <c r="C39" s="42"/>
    </row>
    <row r="40" spans="1:14" x14ac:dyDescent="0.35">
      <c r="A40" s="41" t="s">
        <v>63</v>
      </c>
      <c r="B40" s="41">
        <v>16</v>
      </c>
      <c r="C40" s="42"/>
    </row>
    <row r="42" spans="1:14" x14ac:dyDescent="0.35">
      <c r="A42" s="29" t="s">
        <v>64</v>
      </c>
    </row>
    <row r="43" spans="1:14" x14ac:dyDescent="0.35">
      <c r="A43" s="6" t="s">
        <v>65</v>
      </c>
    </row>
    <row r="44" spans="1:14" x14ac:dyDescent="0.35">
      <c r="A44" s="13" t="s">
        <v>66</v>
      </c>
    </row>
    <row r="45" spans="1:14" x14ac:dyDescent="0.35">
      <c r="A45" s="308" t="s">
        <v>67</v>
      </c>
    </row>
    <row r="47" spans="1:14" x14ac:dyDescent="0.35">
      <c r="A47" s="13" t="s">
        <v>85</v>
      </c>
      <c r="B47" s="6" t="s">
        <v>83</v>
      </c>
    </row>
    <row r="48" spans="1:14" x14ac:dyDescent="0.35">
      <c r="A48" s="13" t="s">
        <v>84</v>
      </c>
      <c r="B48" s="6" t="s">
        <v>82</v>
      </c>
    </row>
  </sheetData>
  <autoFilter ref="A1:O1" xr:uid="{94E6DE27-9DB3-4937-94DF-FE3FA75F062A}"/>
  <mergeCells count="4">
    <mergeCell ref="A19:A26"/>
    <mergeCell ref="A31:A33"/>
    <mergeCell ref="A2:A17"/>
    <mergeCell ref="B18:G18"/>
  </mergeCells>
  <phoneticPr fontId="10" type="noConversion"/>
  <pageMargins left="0.7" right="0.7" top="0.75" bottom="0.75" header="0.3" footer="0.3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D63B-0A48-4799-BD7B-23C1731F00CF}">
  <dimension ref="A1:E13"/>
  <sheetViews>
    <sheetView topLeftCell="B1" workbookViewId="0">
      <selection activeCell="G11" sqref="G11"/>
    </sheetView>
  </sheetViews>
  <sheetFormatPr defaultColWidth="8.7265625" defaultRowHeight="14.5" x14ac:dyDescent="0.35"/>
  <cols>
    <col min="1" max="1" width="16.54296875" style="3" bestFit="1" customWidth="1"/>
    <col min="2" max="2" width="15" style="3" bestFit="1" customWidth="1"/>
    <col min="3" max="3" width="5.453125" style="3" bestFit="1" customWidth="1"/>
    <col min="4" max="5" width="12.453125" style="3" bestFit="1" customWidth="1"/>
    <col min="6" max="16384" width="8.7265625" style="3"/>
  </cols>
  <sheetData>
    <row r="1" spans="1:5" ht="43.5" x14ac:dyDescent="0.35">
      <c r="A1" s="81" t="s">
        <v>8</v>
      </c>
      <c r="B1" s="81" t="s">
        <v>7</v>
      </c>
      <c r="C1" s="82" t="s">
        <v>9</v>
      </c>
      <c r="D1" s="82" t="s">
        <v>15</v>
      </c>
      <c r="E1" s="82" t="s">
        <v>17</v>
      </c>
    </row>
    <row r="2" spans="1:5" x14ac:dyDescent="0.35">
      <c r="A2" s="83" t="s">
        <v>117</v>
      </c>
      <c r="B2" s="3" t="s">
        <v>22</v>
      </c>
      <c r="C2" s="3">
        <v>10</v>
      </c>
      <c r="E2" s="3">
        <v>5</v>
      </c>
    </row>
    <row r="3" spans="1:5" x14ac:dyDescent="0.35">
      <c r="A3" s="3" t="s">
        <v>23</v>
      </c>
      <c r="B3" s="3" t="s">
        <v>31</v>
      </c>
      <c r="C3" s="3">
        <v>20</v>
      </c>
      <c r="D3" s="3">
        <v>2</v>
      </c>
      <c r="E3" s="3">
        <v>6.9</v>
      </c>
    </row>
    <row r="4" spans="1:5" x14ac:dyDescent="0.35">
      <c r="A4" s="3" t="s">
        <v>118</v>
      </c>
      <c r="B4" s="3" t="s">
        <v>33</v>
      </c>
      <c r="C4" s="3">
        <v>20</v>
      </c>
      <c r="D4" s="3">
        <v>2</v>
      </c>
      <c r="E4" s="3">
        <v>10</v>
      </c>
    </row>
    <row r="5" spans="1:5" x14ac:dyDescent="0.35">
      <c r="A5" s="3" t="s">
        <v>119</v>
      </c>
      <c r="B5" s="3" t="s">
        <v>34</v>
      </c>
      <c r="C5" s="3">
        <v>25.4</v>
      </c>
      <c r="D5" s="3">
        <v>2</v>
      </c>
      <c r="E5" s="3">
        <v>6.9</v>
      </c>
    </row>
    <row r="6" spans="1:5" x14ac:dyDescent="0.35">
      <c r="A6" s="3" t="s">
        <v>29</v>
      </c>
      <c r="B6" s="3" t="s">
        <v>53</v>
      </c>
      <c r="C6" s="3">
        <v>50.8</v>
      </c>
      <c r="D6" s="3">
        <v>3</v>
      </c>
      <c r="E6" s="3">
        <v>6.9</v>
      </c>
    </row>
    <row r="7" spans="1:5" x14ac:dyDescent="0.35">
      <c r="A7" s="3" t="s">
        <v>121</v>
      </c>
      <c r="B7" s="3" t="s">
        <v>120</v>
      </c>
      <c r="C7" s="3">
        <v>76.2</v>
      </c>
      <c r="D7" s="3">
        <v>3</v>
      </c>
      <c r="E7" s="3">
        <v>6.9</v>
      </c>
    </row>
    <row r="8" spans="1:5" x14ac:dyDescent="0.35">
      <c r="A8" s="83" t="s">
        <v>122</v>
      </c>
      <c r="B8" s="3" t="s">
        <v>36</v>
      </c>
      <c r="C8" s="3">
        <v>35</v>
      </c>
      <c r="E8" s="3">
        <v>2</v>
      </c>
    </row>
    <row r="9" spans="1:5" x14ac:dyDescent="0.35">
      <c r="A9" s="3" t="s">
        <v>44</v>
      </c>
      <c r="B9" s="3" t="s">
        <v>39</v>
      </c>
      <c r="C9" s="3">
        <v>50</v>
      </c>
      <c r="D9" s="3">
        <v>2</v>
      </c>
      <c r="E9" s="3">
        <v>6.9</v>
      </c>
    </row>
    <row r="10" spans="1:5" x14ac:dyDescent="0.35">
      <c r="A10" s="3" t="s">
        <v>123</v>
      </c>
      <c r="D10" s="3">
        <v>2</v>
      </c>
    </row>
    <row r="11" spans="1:5" x14ac:dyDescent="0.35">
      <c r="A11" s="3" t="s">
        <v>46</v>
      </c>
      <c r="D11" s="3">
        <v>3</v>
      </c>
    </row>
    <row r="12" spans="1:5" x14ac:dyDescent="0.35">
      <c r="A12" s="83" t="s">
        <v>124</v>
      </c>
    </row>
    <row r="13" spans="1:5" x14ac:dyDescent="0.35">
      <c r="A13" s="3" t="s">
        <v>57</v>
      </c>
      <c r="D13" s="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204C-C4FC-444D-B9AC-B971ACDB81C7}">
  <dimension ref="A1:R298"/>
  <sheetViews>
    <sheetView workbookViewId="0"/>
  </sheetViews>
  <sheetFormatPr defaultRowHeight="14.5" x14ac:dyDescent="0.35"/>
  <cols>
    <col min="1" max="1" width="10.54296875" customWidth="1"/>
    <col min="2" max="2" width="11.81640625" bestFit="1" customWidth="1"/>
    <col min="3" max="3" width="12" bestFit="1" customWidth="1"/>
    <col min="4" max="4" width="13.7265625" bestFit="1" customWidth="1"/>
    <col min="5" max="5" width="15" bestFit="1" customWidth="1"/>
    <col min="6" max="8" width="10.54296875" customWidth="1"/>
    <col min="9" max="9" width="12.1796875" bestFit="1" customWidth="1"/>
    <col min="10" max="10" width="14" bestFit="1" customWidth="1"/>
    <col min="11" max="11" width="10.7265625" bestFit="1" customWidth="1"/>
    <col min="12" max="13" width="10.54296875" customWidth="1"/>
    <col min="15" max="15" width="12.26953125" customWidth="1"/>
    <col min="16" max="18" width="8.54296875" customWidth="1"/>
  </cols>
  <sheetData>
    <row r="1" spans="1:18" x14ac:dyDescent="0.35">
      <c r="A1" s="84"/>
      <c r="B1" s="85" t="s">
        <v>125</v>
      </c>
      <c r="C1" s="406"/>
      <c r="D1" s="407"/>
      <c r="E1" s="407"/>
      <c r="F1" s="86"/>
      <c r="G1" s="87"/>
      <c r="H1" s="87"/>
      <c r="I1" s="87"/>
      <c r="J1" s="87"/>
      <c r="K1" s="87"/>
      <c r="L1" s="87"/>
      <c r="M1" s="88"/>
    </row>
    <row r="2" spans="1:18" x14ac:dyDescent="0.35">
      <c r="A2" s="89"/>
      <c r="B2" s="90" t="s">
        <v>3</v>
      </c>
      <c r="C2" s="408"/>
      <c r="D2" s="409"/>
      <c r="E2" s="90" t="s">
        <v>126</v>
      </c>
      <c r="F2" s="91" t="str">
        <f>IF($C$2=0,"",_xlfn.XLOOKUP(C2,'[2]PUR Column'!B2:B26,'[2]PUR Column'!F2:F26))</f>
        <v/>
      </c>
      <c r="G2" s="90" t="s">
        <v>127</v>
      </c>
      <c r="H2" s="91" t="str">
        <f>IF($C$2=0,"",_xlfn.XLOOKUP(C2,'[2]PUR Column'!B2:B26,'[2]PUR Column'!G2:G26))</f>
        <v/>
      </c>
      <c r="I2" s="90" t="s">
        <v>128</v>
      </c>
      <c r="J2" s="92"/>
      <c r="K2" s="93"/>
      <c r="L2" s="94"/>
      <c r="M2" s="95"/>
    </row>
    <row r="3" spans="1:18" ht="26" x14ac:dyDescent="0.35">
      <c r="A3" s="89"/>
      <c r="B3" s="90" t="s">
        <v>8</v>
      </c>
      <c r="C3" s="410" t="str">
        <f>IF($C$2=0,"",_xlfn.XLOOKUP(C2,'[2]PUR Column'!B2:B26,'[2]PUR Column'!D2:D26))</f>
        <v/>
      </c>
      <c r="D3" s="410"/>
      <c r="E3" s="96"/>
      <c r="F3" s="96"/>
      <c r="G3" s="96"/>
      <c r="H3" s="96"/>
      <c r="I3" s="90" t="s">
        <v>129</v>
      </c>
      <c r="J3" s="97"/>
      <c r="K3" s="93"/>
      <c r="L3" s="98"/>
      <c r="M3" s="95"/>
    </row>
    <row r="4" spans="1:18" ht="26" x14ac:dyDescent="0.35">
      <c r="A4" s="89"/>
      <c r="B4" s="90" t="s">
        <v>130</v>
      </c>
      <c r="C4" s="411"/>
      <c r="D4" s="412"/>
      <c r="E4" s="90" t="s">
        <v>131</v>
      </c>
      <c r="F4" s="99"/>
      <c r="G4" s="90" t="s">
        <v>132</v>
      </c>
      <c r="H4" s="100"/>
      <c r="I4" s="90" t="s">
        <v>133</v>
      </c>
      <c r="J4" s="97"/>
      <c r="K4" s="93"/>
      <c r="L4" s="93"/>
      <c r="M4" s="101"/>
    </row>
    <row r="5" spans="1:18" ht="15" thickBot="1" x14ac:dyDescent="0.4">
      <c r="A5" s="102"/>
      <c r="B5" s="413" t="s">
        <v>134</v>
      </c>
      <c r="C5" s="414"/>
      <c r="D5" s="414"/>
      <c r="E5" s="414"/>
      <c r="F5" s="414"/>
      <c r="G5" s="414"/>
      <c r="H5" s="414"/>
      <c r="I5" s="414"/>
      <c r="J5" s="415"/>
      <c r="K5" s="103"/>
      <c r="L5" s="104"/>
      <c r="M5" s="105"/>
      <c r="O5" s="106" t="s">
        <v>135</v>
      </c>
    </row>
    <row r="6" spans="1:18" ht="29" x14ac:dyDescent="0.35">
      <c r="A6" s="107" t="s">
        <v>136</v>
      </c>
      <c r="B6" s="108" t="s">
        <v>137</v>
      </c>
      <c r="C6" s="109" t="s">
        <v>138</v>
      </c>
      <c r="D6" s="109" t="s">
        <v>139</v>
      </c>
      <c r="E6" s="109" t="s">
        <v>140</v>
      </c>
      <c r="F6" s="109" t="s">
        <v>141</v>
      </c>
      <c r="G6" s="109" t="s">
        <v>142</v>
      </c>
      <c r="H6" s="109" t="s">
        <v>143</v>
      </c>
      <c r="I6" s="110" t="s">
        <v>144</v>
      </c>
      <c r="J6" s="111" t="s">
        <v>145</v>
      </c>
      <c r="K6" s="111" t="s">
        <v>146</v>
      </c>
      <c r="L6" s="109" t="s">
        <v>147</v>
      </c>
      <c r="M6" s="112" t="s">
        <v>148</v>
      </c>
      <c r="O6" s="84"/>
      <c r="P6" s="113" t="s">
        <v>149</v>
      </c>
      <c r="Q6" s="113" t="s">
        <v>150</v>
      </c>
      <c r="R6" s="114" t="s">
        <v>151</v>
      </c>
    </row>
    <row r="7" spans="1:18" x14ac:dyDescent="0.35">
      <c r="A7" s="115"/>
      <c r="B7" s="116" t="s">
        <v>152</v>
      </c>
      <c r="C7" s="117"/>
      <c r="D7" s="118"/>
      <c r="E7" s="119">
        <f t="shared" ref="E7:E68" si="0">C7*D7</f>
        <v>0</v>
      </c>
      <c r="F7" s="120"/>
      <c r="G7" s="119">
        <f t="shared" ref="G7:G68" si="1">E7*F7</f>
        <v>0</v>
      </c>
      <c r="H7" s="121">
        <f t="shared" ref="H7:H68" si="2">G7*($H$4/1000)</f>
        <v>0</v>
      </c>
      <c r="I7" s="122"/>
      <c r="J7" s="122"/>
      <c r="K7" s="123" t="str">
        <f t="shared" ref="K7:K68" si="3">IF(J7&gt;0,100-I7-J7,"-")</f>
        <v>-</v>
      </c>
      <c r="L7" s="119">
        <f t="shared" ref="L7:L68" si="4">G7*(I7)/100</f>
        <v>0</v>
      </c>
      <c r="M7" s="124">
        <f t="shared" ref="M7:M68" si="5">H7*I7/100</f>
        <v>0</v>
      </c>
      <c r="O7" s="115" t="str">
        <f t="shared" ref="O7:O68" si="6">B7</f>
        <v>Flow Through</v>
      </c>
      <c r="P7" s="125">
        <f t="shared" ref="P7:P68" si="7">E7</f>
        <v>0</v>
      </c>
      <c r="Q7" t="e">
        <f>(1/P7)*1000</f>
        <v>#DIV/0!</v>
      </c>
      <c r="R7" s="126" t="e">
        <f>100-Q7</f>
        <v>#DIV/0!</v>
      </c>
    </row>
    <row r="8" spans="1:18" x14ac:dyDescent="0.35">
      <c r="A8" s="127"/>
      <c r="B8" s="128"/>
      <c r="C8" s="129"/>
      <c r="D8" s="118"/>
      <c r="E8" s="119">
        <f t="shared" si="0"/>
        <v>0</v>
      </c>
      <c r="F8" s="120"/>
      <c r="G8" s="119">
        <f t="shared" si="1"/>
        <v>0</v>
      </c>
      <c r="H8" s="121">
        <f t="shared" si="2"/>
        <v>0</v>
      </c>
      <c r="I8" s="130"/>
      <c r="J8" s="130"/>
      <c r="K8" s="123" t="str">
        <f t="shared" si="3"/>
        <v>-</v>
      </c>
      <c r="L8" s="119">
        <f t="shared" si="4"/>
        <v>0</v>
      </c>
      <c r="M8" s="124">
        <f t="shared" si="5"/>
        <v>0</v>
      </c>
      <c r="O8" s="115">
        <f t="shared" si="6"/>
        <v>0</v>
      </c>
      <c r="P8" s="125">
        <f t="shared" si="7"/>
        <v>0</v>
      </c>
      <c r="R8" s="131"/>
    </row>
    <row r="9" spans="1:18" x14ac:dyDescent="0.35">
      <c r="A9" s="127"/>
      <c r="B9" s="132">
        <f t="shared" ref="B9:B68" si="8">B8+1</f>
        <v>1</v>
      </c>
      <c r="C9" s="117"/>
      <c r="D9" s="118"/>
      <c r="E9" s="119">
        <f t="shared" si="0"/>
        <v>0</v>
      </c>
      <c r="F9" s="120"/>
      <c r="G9" s="119">
        <f t="shared" si="1"/>
        <v>0</v>
      </c>
      <c r="H9" s="121">
        <f t="shared" si="2"/>
        <v>0</v>
      </c>
      <c r="I9" s="130"/>
      <c r="J9" s="130"/>
      <c r="K9" s="123" t="str">
        <f t="shared" si="3"/>
        <v>-</v>
      </c>
      <c r="L9" s="119">
        <f t="shared" si="4"/>
        <v>0</v>
      </c>
      <c r="M9" s="124">
        <f t="shared" si="5"/>
        <v>0</v>
      </c>
      <c r="O9" s="115">
        <f t="shared" si="6"/>
        <v>1</v>
      </c>
      <c r="P9" s="125">
        <f t="shared" si="7"/>
        <v>0</v>
      </c>
      <c r="Q9" t="e">
        <f t="shared" ref="Q9:Q68" si="9">(1/P9)*1000</f>
        <v>#DIV/0!</v>
      </c>
      <c r="R9" s="126" t="e">
        <f t="shared" ref="R9:R68" si="10">100-Q9</f>
        <v>#DIV/0!</v>
      </c>
    </row>
    <row r="10" spans="1:18" x14ac:dyDescent="0.35">
      <c r="A10" s="127"/>
      <c r="B10" s="132">
        <f t="shared" si="8"/>
        <v>2</v>
      </c>
      <c r="C10" s="117"/>
      <c r="D10" s="118"/>
      <c r="E10" s="119">
        <f t="shared" si="0"/>
        <v>0</v>
      </c>
      <c r="F10" s="120"/>
      <c r="G10" s="119">
        <f t="shared" si="1"/>
        <v>0</v>
      </c>
      <c r="H10" s="121">
        <f t="shared" si="2"/>
        <v>0</v>
      </c>
      <c r="I10" s="130"/>
      <c r="J10" s="130"/>
      <c r="K10" s="123" t="str">
        <f t="shared" si="3"/>
        <v>-</v>
      </c>
      <c r="L10" s="119">
        <f t="shared" si="4"/>
        <v>0</v>
      </c>
      <c r="M10" s="124">
        <f t="shared" si="5"/>
        <v>0</v>
      </c>
      <c r="O10" s="115">
        <f t="shared" si="6"/>
        <v>2</v>
      </c>
      <c r="P10" s="125">
        <f t="shared" si="7"/>
        <v>0</v>
      </c>
      <c r="Q10" t="e">
        <f t="shared" si="9"/>
        <v>#DIV/0!</v>
      </c>
      <c r="R10" s="126" t="e">
        <f t="shared" si="10"/>
        <v>#DIV/0!</v>
      </c>
    </row>
    <row r="11" spans="1:18" x14ac:dyDescent="0.35">
      <c r="A11" s="127"/>
      <c r="B11" s="132">
        <f t="shared" si="8"/>
        <v>3</v>
      </c>
      <c r="C11" s="117"/>
      <c r="D11" s="118"/>
      <c r="E11" s="119">
        <f t="shared" si="0"/>
        <v>0</v>
      </c>
      <c r="F11" s="120"/>
      <c r="G11" s="119">
        <f t="shared" si="1"/>
        <v>0</v>
      </c>
      <c r="H11" s="121">
        <f t="shared" si="2"/>
        <v>0</v>
      </c>
      <c r="I11" s="130"/>
      <c r="J11" s="130"/>
      <c r="K11" s="123" t="str">
        <f t="shared" si="3"/>
        <v>-</v>
      </c>
      <c r="L11" s="119">
        <f t="shared" si="4"/>
        <v>0</v>
      </c>
      <c r="M11" s="124">
        <f t="shared" si="5"/>
        <v>0</v>
      </c>
      <c r="O11" s="115">
        <f t="shared" si="6"/>
        <v>3</v>
      </c>
      <c r="P11" s="125">
        <f t="shared" si="7"/>
        <v>0</v>
      </c>
      <c r="Q11" t="e">
        <f t="shared" si="9"/>
        <v>#DIV/0!</v>
      </c>
      <c r="R11" s="126" t="e">
        <f t="shared" si="10"/>
        <v>#DIV/0!</v>
      </c>
    </row>
    <row r="12" spans="1:18" x14ac:dyDescent="0.35">
      <c r="A12" s="127"/>
      <c r="B12" s="132">
        <f t="shared" si="8"/>
        <v>4</v>
      </c>
      <c r="C12" s="117"/>
      <c r="D12" s="118"/>
      <c r="E12" s="119">
        <f t="shared" si="0"/>
        <v>0</v>
      </c>
      <c r="F12" s="120"/>
      <c r="G12" s="119">
        <f t="shared" si="1"/>
        <v>0</v>
      </c>
      <c r="H12" s="121">
        <f t="shared" si="2"/>
        <v>0</v>
      </c>
      <c r="I12" s="130"/>
      <c r="J12" s="130"/>
      <c r="K12" s="123" t="str">
        <f t="shared" si="3"/>
        <v>-</v>
      </c>
      <c r="L12" s="119">
        <f t="shared" si="4"/>
        <v>0</v>
      </c>
      <c r="M12" s="124">
        <f t="shared" si="5"/>
        <v>0</v>
      </c>
      <c r="O12" s="115">
        <f t="shared" si="6"/>
        <v>4</v>
      </c>
      <c r="P12" s="125">
        <f t="shared" si="7"/>
        <v>0</v>
      </c>
      <c r="Q12" t="e">
        <f t="shared" si="9"/>
        <v>#DIV/0!</v>
      </c>
      <c r="R12" s="126" t="e">
        <f t="shared" si="10"/>
        <v>#DIV/0!</v>
      </c>
    </row>
    <row r="13" spans="1:18" x14ac:dyDescent="0.35">
      <c r="A13" s="127"/>
      <c r="B13" s="132">
        <f t="shared" si="8"/>
        <v>5</v>
      </c>
      <c r="C13" s="117"/>
      <c r="D13" s="118"/>
      <c r="E13" s="119">
        <f t="shared" si="0"/>
        <v>0</v>
      </c>
      <c r="F13" s="120"/>
      <c r="G13" s="119">
        <f t="shared" si="1"/>
        <v>0</v>
      </c>
      <c r="H13" s="121">
        <f t="shared" si="2"/>
        <v>0</v>
      </c>
      <c r="I13" s="130"/>
      <c r="J13" s="130"/>
      <c r="K13" s="123" t="str">
        <f t="shared" si="3"/>
        <v>-</v>
      </c>
      <c r="L13" s="119">
        <f t="shared" si="4"/>
        <v>0</v>
      </c>
      <c r="M13" s="124">
        <f t="shared" si="5"/>
        <v>0</v>
      </c>
      <c r="O13" s="115">
        <f t="shared" si="6"/>
        <v>5</v>
      </c>
      <c r="P13" s="125">
        <f t="shared" si="7"/>
        <v>0</v>
      </c>
      <c r="Q13" t="e">
        <f t="shared" si="9"/>
        <v>#DIV/0!</v>
      </c>
      <c r="R13" s="126" t="e">
        <f t="shared" si="10"/>
        <v>#DIV/0!</v>
      </c>
    </row>
    <row r="14" spans="1:18" x14ac:dyDescent="0.35">
      <c r="A14" s="127"/>
      <c r="B14" s="132">
        <f t="shared" si="8"/>
        <v>6</v>
      </c>
      <c r="C14" s="117"/>
      <c r="D14" s="118"/>
      <c r="E14" s="119">
        <f t="shared" si="0"/>
        <v>0</v>
      </c>
      <c r="F14" s="120"/>
      <c r="G14" s="119">
        <f t="shared" si="1"/>
        <v>0</v>
      </c>
      <c r="H14" s="121">
        <f t="shared" si="2"/>
        <v>0</v>
      </c>
      <c r="I14" s="130"/>
      <c r="J14" s="130"/>
      <c r="K14" s="123" t="str">
        <f t="shared" si="3"/>
        <v>-</v>
      </c>
      <c r="L14" s="119">
        <f t="shared" si="4"/>
        <v>0</v>
      </c>
      <c r="M14" s="124">
        <f t="shared" si="5"/>
        <v>0</v>
      </c>
      <c r="O14" s="115">
        <f t="shared" si="6"/>
        <v>6</v>
      </c>
      <c r="P14" s="125">
        <f t="shared" si="7"/>
        <v>0</v>
      </c>
      <c r="Q14" t="e">
        <f t="shared" si="9"/>
        <v>#DIV/0!</v>
      </c>
      <c r="R14" s="126" t="e">
        <f t="shared" si="10"/>
        <v>#DIV/0!</v>
      </c>
    </row>
    <row r="15" spans="1:18" x14ac:dyDescent="0.35">
      <c r="A15" s="127"/>
      <c r="B15" s="132">
        <f t="shared" si="8"/>
        <v>7</v>
      </c>
      <c r="C15" s="117"/>
      <c r="D15" s="118"/>
      <c r="E15" s="119">
        <f t="shared" si="0"/>
        <v>0</v>
      </c>
      <c r="F15" s="120"/>
      <c r="G15" s="119">
        <f t="shared" si="1"/>
        <v>0</v>
      </c>
      <c r="H15" s="121">
        <f t="shared" si="2"/>
        <v>0</v>
      </c>
      <c r="I15" s="130"/>
      <c r="J15" s="130"/>
      <c r="K15" s="123" t="str">
        <f t="shared" si="3"/>
        <v>-</v>
      </c>
      <c r="L15" s="119">
        <f t="shared" si="4"/>
        <v>0</v>
      </c>
      <c r="M15" s="124">
        <f t="shared" si="5"/>
        <v>0</v>
      </c>
      <c r="O15" s="115">
        <f t="shared" si="6"/>
        <v>7</v>
      </c>
      <c r="P15" s="125">
        <f t="shared" si="7"/>
        <v>0</v>
      </c>
      <c r="Q15" t="e">
        <f t="shared" si="9"/>
        <v>#DIV/0!</v>
      </c>
      <c r="R15" s="126" t="e">
        <f t="shared" si="10"/>
        <v>#DIV/0!</v>
      </c>
    </row>
    <row r="16" spans="1:18" x14ac:dyDescent="0.35">
      <c r="A16" s="127"/>
      <c r="B16" s="132">
        <f t="shared" si="8"/>
        <v>8</v>
      </c>
      <c r="C16" s="117"/>
      <c r="D16" s="118"/>
      <c r="E16" s="119">
        <f t="shared" si="0"/>
        <v>0</v>
      </c>
      <c r="F16" s="120"/>
      <c r="G16" s="119">
        <f t="shared" si="1"/>
        <v>0</v>
      </c>
      <c r="H16" s="121">
        <f t="shared" si="2"/>
        <v>0</v>
      </c>
      <c r="I16" s="130"/>
      <c r="J16" s="130"/>
      <c r="K16" s="123" t="str">
        <f t="shared" si="3"/>
        <v>-</v>
      </c>
      <c r="L16" s="119">
        <f t="shared" si="4"/>
        <v>0</v>
      </c>
      <c r="M16" s="124">
        <f t="shared" si="5"/>
        <v>0</v>
      </c>
      <c r="O16" s="115">
        <f t="shared" si="6"/>
        <v>8</v>
      </c>
      <c r="P16" s="125">
        <f t="shared" si="7"/>
        <v>0</v>
      </c>
      <c r="Q16" t="e">
        <f t="shared" si="9"/>
        <v>#DIV/0!</v>
      </c>
      <c r="R16" s="126" t="e">
        <f t="shared" si="10"/>
        <v>#DIV/0!</v>
      </c>
    </row>
    <row r="17" spans="1:18" x14ac:dyDescent="0.35">
      <c r="A17" s="127"/>
      <c r="B17" s="132">
        <f t="shared" si="8"/>
        <v>9</v>
      </c>
      <c r="C17" s="117"/>
      <c r="D17" s="118"/>
      <c r="E17" s="119">
        <f t="shared" si="0"/>
        <v>0</v>
      </c>
      <c r="F17" s="120"/>
      <c r="G17" s="119">
        <f t="shared" si="1"/>
        <v>0</v>
      </c>
      <c r="H17" s="121">
        <f t="shared" si="2"/>
        <v>0</v>
      </c>
      <c r="I17" s="130"/>
      <c r="J17" s="130"/>
      <c r="K17" s="123" t="str">
        <f t="shared" si="3"/>
        <v>-</v>
      </c>
      <c r="L17" s="119">
        <f t="shared" si="4"/>
        <v>0</v>
      </c>
      <c r="M17" s="124">
        <f t="shared" si="5"/>
        <v>0</v>
      </c>
      <c r="O17" s="115">
        <f t="shared" si="6"/>
        <v>9</v>
      </c>
      <c r="P17" s="125">
        <f t="shared" si="7"/>
        <v>0</v>
      </c>
      <c r="Q17" t="e">
        <f t="shared" si="9"/>
        <v>#DIV/0!</v>
      </c>
      <c r="R17" s="126" t="e">
        <f t="shared" si="10"/>
        <v>#DIV/0!</v>
      </c>
    </row>
    <row r="18" spans="1:18" x14ac:dyDescent="0.35">
      <c r="A18" s="127"/>
      <c r="B18" s="132">
        <f t="shared" si="8"/>
        <v>10</v>
      </c>
      <c r="C18" s="117"/>
      <c r="D18" s="118"/>
      <c r="E18" s="119">
        <f t="shared" si="0"/>
        <v>0</v>
      </c>
      <c r="F18" s="120"/>
      <c r="G18" s="119">
        <f t="shared" si="1"/>
        <v>0</v>
      </c>
      <c r="H18" s="121">
        <f t="shared" si="2"/>
        <v>0</v>
      </c>
      <c r="I18" s="130"/>
      <c r="J18" s="130"/>
      <c r="K18" s="123" t="str">
        <f t="shared" si="3"/>
        <v>-</v>
      </c>
      <c r="L18" s="119">
        <f t="shared" si="4"/>
        <v>0</v>
      </c>
      <c r="M18" s="124">
        <f t="shared" si="5"/>
        <v>0</v>
      </c>
      <c r="O18" s="115">
        <f t="shared" si="6"/>
        <v>10</v>
      </c>
      <c r="P18" s="125">
        <f t="shared" si="7"/>
        <v>0</v>
      </c>
      <c r="Q18" t="e">
        <f t="shared" si="9"/>
        <v>#DIV/0!</v>
      </c>
      <c r="R18" s="126" t="e">
        <f t="shared" si="10"/>
        <v>#DIV/0!</v>
      </c>
    </row>
    <row r="19" spans="1:18" x14ac:dyDescent="0.35">
      <c r="A19" s="127"/>
      <c r="B19" s="132">
        <f t="shared" si="8"/>
        <v>11</v>
      </c>
      <c r="C19" s="117"/>
      <c r="D19" s="118"/>
      <c r="E19" s="119">
        <f t="shared" si="0"/>
        <v>0</v>
      </c>
      <c r="F19" s="120"/>
      <c r="G19" s="119">
        <f t="shared" si="1"/>
        <v>0</v>
      </c>
      <c r="H19" s="121">
        <f t="shared" si="2"/>
        <v>0</v>
      </c>
      <c r="I19" s="130"/>
      <c r="J19" s="130"/>
      <c r="K19" s="123" t="str">
        <f t="shared" si="3"/>
        <v>-</v>
      </c>
      <c r="L19" s="119">
        <f t="shared" si="4"/>
        <v>0</v>
      </c>
      <c r="M19" s="124">
        <f t="shared" si="5"/>
        <v>0</v>
      </c>
      <c r="O19" s="115">
        <f t="shared" si="6"/>
        <v>11</v>
      </c>
      <c r="P19" s="125">
        <f t="shared" si="7"/>
        <v>0</v>
      </c>
      <c r="Q19" s="133" t="e">
        <f t="shared" si="9"/>
        <v>#DIV/0!</v>
      </c>
      <c r="R19" s="134" t="e">
        <f t="shared" si="10"/>
        <v>#DIV/0!</v>
      </c>
    </row>
    <row r="20" spans="1:18" x14ac:dyDescent="0.35">
      <c r="A20" s="127"/>
      <c r="B20" s="132">
        <f t="shared" si="8"/>
        <v>12</v>
      </c>
      <c r="C20" s="117"/>
      <c r="D20" s="118"/>
      <c r="E20" s="119">
        <f t="shared" si="0"/>
        <v>0</v>
      </c>
      <c r="F20" s="120"/>
      <c r="G20" s="119">
        <f t="shared" si="1"/>
        <v>0</v>
      </c>
      <c r="H20" s="121">
        <f t="shared" si="2"/>
        <v>0</v>
      </c>
      <c r="I20" s="130"/>
      <c r="J20" s="130"/>
      <c r="K20" s="123" t="str">
        <f t="shared" si="3"/>
        <v>-</v>
      </c>
      <c r="L20" s="119">
        <f t="shared" si="4"/>
        <v>0</v>
      </c>
      <c r="M20" s="124">
        <f t="shared" si="5"/>
        <v>0</v>
      </c>
      <c r="O20" s="115">
        <f t="shared" si="6"/>
        <v>12</v>
      </c>
      <c r="P20" s="125">
        <f t="shared" si="7"/>
        <v>0</v>
      </c>
      <c r="Q20" s="133" t="e">
        <f t="shared" si="9"/>
        <v>#DIV/0!</v>
      </c>
      <c r="R20" s="134" t="e">
        <f t="shared" si="10"/>
        <v>#DIV/0!</v>
      </c>
    </row>
    <row r="21" spans="1:18" x14ac:dyDescent="0.35">
      <c r="A21" s="127"/>
      <c r="B21" s="132">
        <f t="shared" si="8"/>
        <v>13</v>
      </c>
      <c r="C21" s="117"/>
      <c r="D21" s="118"/>
      <c r="E21" s="135">
        <f t="shared" si="0"/>
        <v>0</v>
      </c>
      <c r="F21" s="120"/>
      <c r="G21" s="119">
        <f t="shared" si="1"/>
        <v>0</v>
      </c>
      <c r="H21" s="121">
        <f t="shared" si="2"/>
        <v>0</v>
      </c>
      <c r="I21" s="130"/>
      <c r="J21" s="130"/>
      <c r="K21" s="123" t="str">
        <f t="shared" si="3"/>
        <v>-</v>
      </c>
      <c r="L21" s="119">
        <f t="shared" si="4"/>
        <v>0</v>
      </c>
      <c r="M21" s="124">
        <f t="shared" si="5"/>
        <v>0</v>
      </c>
      <c r="O21" s="115">
        <f t="shared" si="6"/>
        <v>13</v>
      </c>
      <c r="P21" s="125">
        <f t="shared" si="7"/>
        <v>0</v>
      </c>
      <c r="Q21" s="133" t="e">
        <f t="shared" si="9"/>
        <v>#DIV/0!</v>
      </c>
      <c r="R21" s="134" t="e">
        <f t="shared" si="10"/>
        <v>#DIV/0!</v>
      </c>
    </row>
    <row r="22" spans="1:18" x14ac:dyDescent="0.35">
      <c r="A22" s="127"/>
      <c r="B22" s="132">
        <f t="shared" si="8"/>
        <v>14</v>
      </c>
      <c r="C22" s="117"/>
      <c r="D22" s="118"/>
      <c r="E22" s="135">
        <f t="shared" si="0"/>
        <v>0</v>
      </c>
      <c r="F22" s="120"/>
      <c r="G22" s="119">
        <f t="shared" si="1"/>
        <v>0</v>
      </c>
      <c r="H22" s="121">
        <f t="shared" si="2"/>
        <v>0</v>
      </c>
      <c r="I22" s="130"/>
      <c r="J22" s="130"/>
      <c r="K22" s="123" t="str">
        <f t="shared" si="3"/>
        <v>-</v>
      </c>
      <c r="L22" s="119">
        <f t="shared" si="4"/>
        <v>0</v>
      </c>
      <c r="M22" s="124">
        <f t="shared" si="5"/>
        <v>0</v>
      </c>
      <c r="O22" s="115">
        <f t="shared" si="6"/>
        <v>14</v>
      </c>
      <c r="P22" s="125">
        <f t="shared" si="7"/>
        <v>0</v>
      </c>
      <c r="Q22" s="133" t="e">
        <f t="shared" si="9"/>
        <v>#DIV/0!</v>
      </c>
      <c r="R22" s="134" t="e">
        <f t="shared" si="10"/>
        <v>#DIV/0!</v>
      </c>
    </row>
    <row r="23" spans="1:18" x14ac:dyDescent="0.35">
      <c r="A23" s="127"/>
      <c r="B23" s="132">
        <f t="shared" si="8"/>
        <v>15</v>
      </c>
      <c r="C23" s="117"/>
      <c r="D23" s="118"/>
      <c r="E23" s="135">
        <f t="shared" si="0"/>
        <v>0</v>
      </c>
      <c r="F23" s="120"/>
      <c r="G23" s="119">
        <f t="shared" si="1"/>
        <v>0</v>
      </c>
      <c r="H23" s="121">
        <f t="shared" si="2"/>
        <v>0</v>
      </c>
      <c r="I23" s="130"/>
      <c r="J23" s="130"/>
      <c r="K23" s="123" t="str">
        <f t="shared" si="3"/>
        <v>-</v>
      </c>
      <c r="L23" s="119">
        <f t="shared" si="4"/>
        <v>0</v>
      </c>
      <c r="M23" s="124">
        <f t="shared" si="5"/>
        <v>0</v>
      </c>
      <c r="O23" s="115">
        <f t="shared" si="6"/>
        <v>15</v>
      </c>
      <c r="P23" s="125">
        <f t="shared" si="7"/>
        <v>0</v>
      </c>
      <c r="Q23" s="133" t="e">
        <f t="shared" si="9"/>
        <v>#DIV/0!</v>
      </c>
      <c r="R23" s="134" t="e">
        <f t="shared" si="10"/>
        <v>#DIV/0!</v>
      </c>
    </row>
    <row r="24" spans="1:18" x14ac:dyDescent="0.35">
      <c r="A24" s="127"/>
      <c r="B24" s="132">
        <f t="shared" si="8"/>
        <v>16</v>
      </c>
      <c r="C24" s="117"/>
      <c r="D24" s="118"/>
      <c r="E24" s="135">
        <f t="shared" si="0"/>
        <v>0</v>
      </c>
      <c r="F24" s="120"/>
      <c r="G24" s="119">
        <f t="shared" si="1"/>
        <v>0</v>
      </c>
      <c r="H24" s="121">
        <f t="shared" si="2"/>
        <v>0</v>
      </c>
      <c r="I24" s="130"/>
      <c r="J24" s="130"/>
      <c r="K24" s="123" t="str">
        <f t="shared" si="3"/>
        <v>-</v>
      </c>
      <c r="L24" s="119">
        <f t="shared" si="4"/>
        <v>0</v>
      </c>
      <c r="M24" s="124">
        <f t="shared" si="5"/>
        <v>0</v>
      </c>
      <c r="O24" s="115">
        <f t="shared" si="6"/>
        <v>16</v>
      </c>
      <c r="P24" s="125">
        <f t="shared" si="7"/>
        <v>0</v>
      </c>
      <c r="Q24" s="133" t="e">
        <f t="shared" si="9"/>
        <v>#DIV/0!</v>
      </c>
      <c r="R24" s="134" t="e">
        <f t="shared" si="10"/>
        <v>#DIV/0!</v>
      </c>
    </row>
    <row r="25" spans="1:18" x14ac:dyDescent="0.35">
      <c r="A25" s="127"/>
      <c r="B25" s="132">
        <f t="shared" si="8"/>
        <v>17</v>
      </c>
      <c r="C25" s="117"/>
      <c r="D25" s="118"/>
      <c r="E25" s="135">
        <f t="shared" si="0"/>
        <v>0</v>
      </c>
      <c r="F25" s="120"/>
      <c r="G25" s="119">
        <f t="shared" si="1"/>
        <v>0</v>
      </c>
      <c r="H25" s="121">
        <f t="shared" si="2"/>
        <v>0</v>
      </c>
      <c r="I25" s="130"/>
      <c r="J25" s="130"/>
      <c r="K25" s="123" t="str">
        <f t="shared" si="3"/>
        <v>-</v>
      </c>
      <c r="L25" s="119">
        <f t="shared" si="4"/>
        <v>0</v>
      </c>
      <c r="M25" s="124">
        <f t="shared" si="5"/>
        <v>0</v>
      </c>
      <c r="O25" s="115">
        <f t="shared" si="6"/>
        <v>17</v>
      </c>
      <c r="P25" s="125">
        <f t="shared" si="7"/>
        <v>0</v>
      </c>
      <c r="Q25" s="133" t="e">
        <f t="shared" si="9"/>
        <v>#DIV/0!</v>
      </c>
      <c r="R25" s="134" t="e">
        <f t="shared" si="10"/>
        <v>#DIV/0!</v>
      </c>
    </row>
    <row r="26" spans="1:18" x14ac:dyDescent="0.35">
      <c r="A26" s="127"/>
      <c r="B26" s="132">
        <f t="shared" si="8"/>
        <v>18</v>
      </c>
      <c r="C26" s="117"/>
      <c r="D26" s="118"/>
      <c r="E26" s="135">
        <f t="shared" si="0"/>
        <v>0</v>
      </c>
      <c r="F26" s="120"/>
      <c r="G26" s="119">
        <f t="shared" si="1"/>
        <v>0</v>
      </c>
      <c r="H26" s="121">
        <f t="shared" si="2"/>
        <v>0</v>
      </c>
      <c r="I26" s="130"/>
      <c r="J26" s="130"/>
      <c r="K26" s="123" t="str">
        <f t="shared" si="3"/>
        <v>-</v>
      </c>
      <c r="L26" s="119">
        <f t="shared" si="4"/>
        <v>0</v>
      </c>
      <c r="M26" s="124">
        <f t="shared" si="5"/>
        <v>0</v>
      </c>
      <c r="O26" s="115">
        <f t="shared" si="6"/>
        <v>18</v>
      </c>
      <c r="P26" s="125">
        <f t="shared" si="7"/>
        <v>0</v>
      </c>
      <c r="Q26" s="133" t="e">
        <f t="shared" si="9"/>
        <v>#DIV/0!</v>
      </c>
      <c r="R26" s="134" t="e">
        <f t="shared" si="10"/>
        <v>#DIV/0!</v>
      </c>
    </row>
    <row r="27" spans="1:18" x14ac:dyDescent="0.35">
      <c r="A27" s="127"/>
      <c r="B27" s="132">
        <f t="shared" si="8"/>
        <v>19</v>
      </c>
      <c r="C27" s="117"/>
      <c r="D27" s="118"/>
      <c r="E27" s="135">
        <f t="shared" si="0"/>
        <v>0</v>
      </c>
      <c r="F27" s="120"/>
      <c r="G27" s="119">
        <f t="shared" si="1"/>
        <v>0</v>
      </c>
      <c r="H27" s="121">
        <f t="shared" si="2"/>
        <v>0</v>
      </c>
      <c r="I27" s="130"/>
      <c r="J27" s="130"/>
      <c r="K27" s="123" t="str">
        <f t="shared" si="3"/>
        <v>-</v>
      </c>
      <c r="L27" s="119">
        <f t="shared" si="4"/>
        <v>0</v>
      </c>
      <c r="M27" s="124">
        <f t="shared" si="5"/>
        <v>0</v>
      </c>
      <c r="O27" s="115">
        <f t="shared" si="6"/>
        <v>19</v>
      </c>
      <c r="P27" s="125">
        <f t="shared" si="7"/>
        <v>0</v>
      </c>
      <c r="Q27" s="133" t="e">
        <f t="shared" si="9"/>
        <v>#DIV/0!</v>
      </c>
      <c r="R27" s="134" t="e">
        <f t="shared" si="10"/>
        <v>#DIV/0!</v>
      </c>
    </row>
    <row r="28" spans="1:18" x14ac:dyDescent="0.35">
      <c r="A28" s="127"/>
      <c r="B28" s="132">
        <f t="shared" si="8"/>
        <v>20</v>
      </c>
      <c r="C28" s="117"/>
      <c r="D28" s="118"/>
      <c r="E28" s="135">
        <f t="shared" si="0"/>
        <v>0</v>
      </c>
      <c r="F28" s="120"/>
      <c r="G28" s="119">
        <f t="shared" si="1"/>
        <v>0</v>
      </c>
      <c r="H28" s="136">
        <f t="shared" si="2"/>
        <v>0</v>
      </c>
      <c r="I28" s="130"/>
      <c r="J28" s="130"/>
      <c r="K28" s="123" t="str">
        <f t="shared" si="3"/>
        <v>-</v>
      </c>
      <c r="L28" s="135">
        <f t="shared" si="4"/>
        <v>0</v>
      </c>
      <c r="M28" s="137">
        <f t="shared" si="5"/>
        <v>0</v>
      </c>
      <c r="O28" s="115">
        <f t="shared" si="6"/>
        <v>20</v>
      </c>
      <c r="P28" s="125">
        <f t="shared" si="7"/>
        <v>0</v>
      </c>
      <c r="Q28" s="133" t="e">
        <f t="shared" si="9"/>
        <v>#DIV/0!</v>
      </c>
      <c r="R28" s="134" t="e">
        <f t="shared" si="10"/>
        <v>#DIV/0!</v>
      </c>
    </row>
    <row r="29" spans="1:18" x14ac:dyDescent="0.35">
      <c r="A29" s="127"/>
      <c r="B29" s="132">
        <f t="shared" si="8"/>
        <v>21</v>
      </c>
      <c r="C29" s="117"/>
      <c r="D29" s="118"/>
      <c r="E29" s="135">
        <f t="shared" si="0"/>
        <v>0</v>
      </c>
      <c r="F29" s="120"/>
      <c r="G29" s="119">
        <f t="shared" si="1"/>
        <v>0</v>
      </c>
      <c r="H29" s="121">
        <f t="shared" si="2"/>
        <v>0</v>
      </c>
      <c r="I29" s="130"/>
      <c r="J29" s="130"/>
      <c r="K29" s="123" t="str">
        <f t="shared" si="3"/>
        <v>-</v>
      </c>
      <c r="L29" s="135">
        <f t="shared" si="4"/>
        <v>0</v>
      </c>
      <c r="M29" s="138">
        <f t="shared" si="5"/>
        <v>0</v>
      </c>
      <c r="O29" s="115">
        <f t="shared" si="6"/>
        <v>21</v>
      </c>
      <c r="P29" s="125">
        <f t="shared" si="7"/>
        <v>0</v>
      </c>
      <c r="Q29" s="133" t="e">
        <f t="shared" si="9"/>
        <v>#DIV/0!</v>
      </c>
      <c r="R29" s="134" t="e">
        <f t="shared" si="10"/>
        <v>#DIV/0!</v>
      </c>
    </row>
    <row r="30" spans="1:18" x14ac:dyDescent="0.35">
      <c r="A30" s="127"/>
      <c r="B30" s="132">
        <f t="shared" si="8"/>
        <v>22</v>
      </c>
      <c r="C30" s="117"/>
      <c r="D30" s="118"/>
      <c r="E30" s="135">
        <f t="shared" si="0"/>
        <v>0</v>
      </c>
      <c r="F30" s="120"/>
      <c r="G30" s="119">
        <f t="shared" si="1"/>
        <v>0</v>
      </c>
      <c r="H30" s="136">
        <f t="shared" si="2"/>
        <v>0</v>
      </c>
      <c r="I30" s="130"/>
      <c r="J30" s="130"/>
      <c r="K30" s="123" t="str">
        <f t="shared" si="3"/>
        <v>-</v>
      </c>
      <c r="L30" s="135">
        <f t="shared" si="4"/>
        <v>0</v>
      </c>
      <c r="M30" s="137">
        <f t="shared" si="5"/>
        <v>0</v>
      </c>
      <c r="O30" s="115">
        <f t="shared" si="6"/>
        <v>22</v>
      </c>
      <c r="P30" s="125">
        <f t="shared" si="7"/>
        <v>0</v>
      </c>
      <c r="Q30" s="133" t="e">
        <f t="shared" si="9"/>
        <v>#DIV/0!</v>
      </c>
      <c r="R30" s="134" t="e">
        <f t="shared" si="10"/>
        <v>#DIV/0!</v>
      </c>
    </row>
    <row r="31" spans="1:18" x14ac:dyDescent="0.35">
      <c r="A31" s="127"/>
      <c r="B31" s="132">
        <f t="shared" si="8"/>
        <v>23</v>
      </c>
      <c r="C31" s="117"/>
      <c r="D31" s="118"/>
      <c r="E31" s="135">
        <f t="shared" si="0"/>
        <v>0</v>
      </c>
      <c r="F31" s="120"/>
      <c r="G31" s="119">
        <f t="shared" si="1"/>
        <v>0</v>
      </c>
      <c r="H31" s="121">
        <f t="shared" si="2"/>
        <v>0</v>
      </c>
      <c r="I31" s="130"/>
      <c r="J31" s="130"/>
      <c r="K31" s="123" t="str">
        <f t="shared" si="3"/>
        <v>-</v>
      </c>
      <c r="L31" s="135">
        <f t="shared" si="4"/>
        <v>0</v>
      </c>
      <c r="M31" s="138">
        <f t="shared" si="5"/>
        <v>0</v>
      </c>
      <c r="O31" s="115">
        <f t="shared" si="6"/>
        <v>23</v>
      </c>
      <c r="P31" s="125">
        <f t="shared" si="7"/>
        <v>0</v>
      </c>
      <c r="Q31" s="133" t="e">
        <f t="shared" si="9"/>
        <v>#DIV/0!</v>
      </c>
      <c r="R31" s="134" t="e">
        <f t="shared" si="10"/>
        <v>#DIV/0!</v>
      </c>
    </row>
    <row r="32" spans="1:18" x14ac:dyDescent="0.35">
      <c r="A32" s="127"/>
      <c r="B32" s="132">
        <f t="shared" si="8"/>
        <v>24</v>
      </c>
      <c r="C32" s="117"/>
      <c r="D32" s="118"/>
      <c r="E32" s="135">
        <f t="shared" si="0"/>
        <v>0</v>
      </c>
      <c r="F32" s="120"/>
      <c r="G32" s="119">
        <f t="shared" si="1"/>
        <v>0</v>
      </c>
      <c r="H32" s="136">
        <f t="shared" si="2"/>
        <v>0</v>
      </c>
      <c r="I32" s="130"/>
      <c r="J32" s="130"/>
      <c r="K32" s="123" t="str">
        <f t="shared" si="3"/>
        <v>-</v>
      </c>
      <c r="L32" s="135">
        <f t="shared" si="4"/>
        <v>0</v>
      </c>
      <c r="M32" s="137">
        <f t="shared" si="5"/>
        <v>0</v>
      </c>
      <c r="O32" s="115">
        <f t="shared" si="6"/>
        <v>24</v>
      </c>
      <c r="P32" s="125">
        <f t="shared" si="7"/>
        <v>0</v>
      </c>
      <c r="Q32" s="133" t="e">
        <f t="shared" si="9"/>
        <v>#DIV/0!</v>
      </c>
      <c r="R32" s="134" t="e">
        <f t="shared" si="10"/>
        <v>#DIV/0!</v>
      </c>
    </row>
    <row r="33" spans="1:18" x14ac:dyDescent="0.35">
      <c r="A33" s="127"/>
      <c r="B33" s="132">
        <f t="shared" si="8"/>
        <v>25</v>
      </c>
      <c r="C33" s="117"/>
      <c r="D33" s="118"/>
      <c r="E33" s="135">
        <f t="shared" si="0"/>
        <v>0</v>
      </c>
      <c r="F33" s="120"/>
      <c r="G33" s="119">
        <f t="shared" si="1"/>
        <v>0</v>
      </c>
      <c r="H33" s="121">
        <f t="shared" si="2"/>
        <v>0</v>
      </c>
      <c r="I33" s="130"/>
      <c r="J33" s="130"/>
      <c r="K33" s="123" t="str">
        <f t="shared" si="3"/>
        <v>-</v>
      </c>
      <c r="L33" s="135">
        <f t="shared" si="4"/>
        <v>0</v>
      </c>
      <c r="M33" s="138">
        <f t="shared" si="5"/>
        <v>0</v>
      </c>
      <c r="O33" s="115">
        <f t="shared" si="6"/>
        <v>25</v>
      </c>
      <c r="P33" s="125">
        <f t="shared" si="7"/>
        <v>0</v>
      </c>
      <c r="Q33" s="133" t="e">
        <f t="shared" si="9"/>
        <v>#DIV/0!</v>
      </c>
      <c r="R33" s="134" t="e">
        <f t="shared" si="10"/>
        <v>#DIV/0!</v>
      </c>
    </row>
    <row r="34" spans="1:18" x14ac:dyDescent="0.35">
      <c r="A34" s="127"/>
      <c r="B34" s="132">
        <f t="shared" si="8"/>
        <v>26</v>
      </c>
      <c r="C34" s="117"/>
      <c r="D34" s="118"/>
      <c r="E34" s="135">
        <f t="shared" si="0"/>
        <v>0</v>
      </c>
      <c r="F34" s="120"/>
      <c r="G34" s="119">
        <f t="shared" si="1"/>
        <v>0</v>
      </c>
      <c r="H34" s="136">
        <f t="shared" si="2"/>
        <v>0</v>
      </c>
      <c r="I34" s="130"/>
      <c r="J34" s="130"/>
      <c r="K34" s="123" t="str">
        <f t="shared" si="3"/>
        <v>-</v>
      </c>
      <c r="L34" s="135">
        <f t="shared" si="4"/>
        <v>0</v>
      </c>
      <c r="M34" s="137">
        <f t="shared" si="5"/>
        <v>0</v>
      </c>
      <c r="O34" s="115">
        <f t="shared" si="6"/>
        <v>26</v>
      </c>
      <c r="P34" s="125">
        <f t="shared" si="7"/>
        <v>0</v>
      </c>
      <c r="Q34" t="e">
        <f t="shared" si="9"/>
        <v>#DIV/0!</v>
      </c>
      <c r="R34" s="126" t="e">
        <f t="shared" si="10"/>
        <v>#DIV/0!</v>
      </c>
    </row>
    <row r="35" spans="1:18" x14ac:dyDescent="0.35">
      <c r="A35" s="127"/>
      <c r="B35" s="132">
        <f t="shared" si="8"/>
        <v>27</v>
      </c>
      <c r="C35" s="117"/>
      <c r="D35" s="118"/>
      <c r="E35" s="135">
        <f t="shared" si="0"/>
        <v>0</v>
      </c>
      <c r="F35" s="120"/>
      <c r="G35" s="119">
        <f t="shared" si="1"/>
        <v>0</v>
      </c>
      <c r="H35" s="121">
        <f t="shared" si="2"/>
        <v>0</v>
      </c>
      <c r="I35" s="130"/>
      <c r="J35" s="130"/>
      <c r="K35" s="123" t="str">
        <f t="shared" si="3"/>
        <v>-</v>
      </c>
      <c r="L35" s="135">
        <f t="shared" si="4"/>
        <v>0</v>
      </c>
      <c r="M35" s="138">
        <f t="shared" si="5"/>
        <v>0</v>
      </c>
      <c r="O35" s="115">
        <f t="shared" si="6"/>
        <v>27</v>
      </c>
      <c r="P35" s="125">
        <f t="shared" si="7"/>
        <v>0</v>
      </c>
      <c r="Q35" t="e">
        <f t="shared" si="9"/>
        <v>#DIV/0!</v>
      </c>
      <c r="R35" s="126" t="e">
        <f t="shared" si="10"/>
        <v>#DIV/0!</v>
      </c>
    </row>
    <row r="36" spans="1:18" x14ac:dyDescent="0.35">
      <c r="A36" s="127"/>
      <c r="B36" s="132">
        <f t="shared" si="8"/>
        <v>28</v>
      </c>
      <c r="C36" s="117"/>
      <c r="D36" s="118"/>
      <c r="E36" s="135">
        <f t="shared" si="0"/>
        <v>0</v>
      </c>
      <c r="F36" s="120"/>
      <c r="G36" s="119">
        <f t="shared" si="1"/>
        <v>0</v>
      </c>
      <c r="H36" s="136">
        <f t="shared" si="2"/>
        <v>0</v>
      </c>
      <c r="I36" s="130"/>
      <c r="J36" s="130"/>
      <c r="K36" s="123" t="str">
        <f t="shared" si="3"/>
        <v>-</v>
      </c>
      <c r="L36" s="135">
        <f t="shared" si="4"/>
        <v>0</v>
      </c>
      <c r="M36" s="137">
        <f t="shared" si="5"/>
        <v>0</v>
      </c>
      <c r="O36" s="115">
        <f t="shared" si="6"/>
        <v>28</v>
      </c>
      <c r="P36" s="125">
        <f t="shared" si="7"/>
        <v>0</v>
      </c>
      <c r="Q36" t="e">
        <f t="shared" si="9"/>
        <v>#DIV/0!</v>
      </c>
      <c r="R36" s="126" t="e">
        <f t="shared" si="10"/>
        <v>#DIV/0!</v>
      </c>
    </row>
    <row r="37" spans="1:18" x14ac:dyDescent="0.35">
      <c r="A37" s="127"/>
      <c r="B37" s="132">
        <f t="shared" si="8"/>
        <v>29</v>
      </c>
      <c r="C37" s="117"/>
      <c r="D37" s="139"/>
      <c r="E37" s="135">
        <f t="shared" si="0"/>
        <v>0</v>
      </c>
      <c r="F37" s="120"/>
      <c r="G37" s="119">
        <f t="shared" si="1"/>
        <v>0</v>
      </c>
      <c r="H37" s="121">
        <f t="shared" si="2"/>
        <v>0</v>
      </c>
      <c r="I37" s="130"/>
      <c r="J37" s="130"/>
      <c r="K37" s="123" t="str">
        <f t="shared" si="3"/>
        <v>-</v>
      </c>
      <c r="L37" s="135">
        <f t="shared" si="4"/>
        <v>0</v>
      </c>
      <c r="M37" s="138">
        <f t="shared" si="5"/>
        <v>0</v>
      </c>
      <c r="O37" s="115">
        <f t="shared" si="6"/>
        <v>29</v>
      </c>
      <c r="P37" s="125">
        <f t="shared" si="7"/>
        <v>0</v>
      </c>
      <c r="Q37" t="e">
        <f t="shared" si="9"/>
        <v>#DIV/0!</v>
      </c>
      <c r="R37" s="126" t="e">
        <f t="shared" si="10"/>
        <v>#DIV/0!</v>
      </c>
    </row>
    <row r="38" spans="1:18" x14ac:dyDescent="0.35">
      <c r="A38" s="127"/>
      <c r="B38" s="132">
        <f t="shared" si="8"/>
        <v>30</v>
      </c>
      <c r="C38" s="117"/>
      <c r="D38" s="139"/>
      <c r="E38" s="135">
        <f t="shared" si="0"/>
        <v>0</v>
      </c>
      <c r="F38" s="120"/>
      <c r="G38" s="119">
        <f t="shared" si="1"/>
        <v>0</v>
      </c>
      <c r="H38" s="136">
        <f t="shared" si="2"/>
        <v>0</v>
      </c>
      <c r="I38" s="130"/>
      <c r="J38" s="130"/>
      <c r="K38" s="123" t="str">
        <f t="shared" si="3"/>
        <v>-</v>
      </c>
      <c r="L38" s="135">
        <f t="shared" si="4"/>
        <v>0</v>
      </c>
      <c r="M38" s="137">
        <f t="shared" si="5"/>
        <v>0</v>
      </c>
      <c r="O38" s="115">
        <f t="shared" si="6"/>
        <v>30</v>
      </c>
      <c r="P38" s="125">
        <f t="shared" si="7"/>
        <v>0</v>
      </c>
      <c r="Q38" t="e">
        <f t="shared" si="9"/>
        <v>#DIV/0!</v>
      </c>
      <c r="R38" s="126" t="e">
        <f t="shared" si="10"/>
        <v>#DIV/0!</v>
      </c>
    </row>
    <row r="39" spans="1:18" x14ac:dyDescent="0.35">
      <c r="A39" s="127"/>
      <c r="B39" s="132">
        <f t="shared" si="8"/>
        <v>31</v>
      </c>
      <c r="C39" s="117"/>
      <c r="D39" s="139"/>
      <c r="E39" s="135">
        <f t="shared" si="0"/>
        <v>0</v>
      </c>
      <c r="F39" s="120"/>
      <c r="G39" s="119">
        <f t="shared" si="1"/>
        <v>0</v>
      </c>
      <c r="H39" s="121">
        <f t="shared" si="2"/>
        <v>0</v>
      </c>
      <c r="I39" s="130"/>
      <c r="J39" s="130"/>
      <c r="K39" s="123" t="str">
        <f t="shared" si="3"/>
        <v>-</v>
      </c>
      <c r="L39" s="135">
        <f t="shared" si="4"/>
        <v>0</v>
      </c>
      <c r="M39" s="138">
        <f t="shared" si="5"/>
        <v>0</v>
      </c>
      <c r="O39" s="115">
        <f t="shared" si="6"/>
        <v>31</v>
      </c>
      <c r="P39" s="125">
        <f t="shared" si="7"/>
        <v>0</v>
      </c>
      <c r="Q39" t="e">
        <f t="shared" si="9"/>
        <v>#DIV/0!</v>
      </c>
      <c r="R39" s="126" t="e">
        <f t="shared" si="10"/>
        <v>#DIV/0!</v>
      </c>
    </row>
    <row r="40" spans="1:18" x14ac:dyDescent="0.35">
      <c r="A40" s="127"/>
      <c r="B40" s="132">
        <f t="shared" si="8"/>
        <v>32</v>
      </c>
      <c r="C40" s="117"/>
      <c r="D40" s="139"/>
      <c r="E40" s="135">
        <f t="shared" si="0"/>
        <v>0</v>
      </c>
      <c r="F40" s="120"/>
      <c r="G40" s="119">
        <f t="shared" si="1"/>
        <v>0</v>
      </c>
      <c r="H40" s="136">
        <f t="shared" si="2"/>
        <v>0</v>
      </c>
      <c r="I40" s="130"/>
      <c r="J40" s="130"/>
      <c r="K40" s="123" t="str">
        <f t="shared" si="3"/>
        <v>-</v>
      </c>
      <c r="L40" s="135">
        <f t="shared" si="4"/>
        <v>0</v>
      </c>
      <c r="M40" s="137">
        <f t="shared" si="5"/>
        <v>0</v>
      </c>
      <c r="O40" s="115">
        <f t="shared" si="6"/>
        <v>32</v>
      </c>
      <c r="P40" s="125">
        <f t="shared" si="7"/>
        <v>0</v>
      </c>
      <c r="Q40" t="e">
        <f t="shared" si="9"/>
        <v>#DIV/0!</v>
      </c>
      <c r="R40" s="126" t="e">
        <f t="shared" si="10"/>
        <v>#DIV/0!</v>
      </c>
    </row>
    <row r="41" spans="1:18" x14ac:dyDescent="0.35">
      <c r="A41" s="127"/>
      <c r="B41" s="132">
        <f t="shared" si="8"/>
        <v>33</v>
      </c>
      <c r="C41" s="117"/>
      <c r="D41" s="139"/>
      <c r="E41" s="135">
        <f t="shared" si="0"/>
        <v>0</v>
      </c>
      <c r="F41" s="120"/>
      <c r="G41" s="119">
        <f t="shared" si="1"/>
        <v>0</v>
      </c>
      <c r="H41" s="121">
        <f t="shared" si="2"/>
        <v>0</v>
      </c>
      <c r="I41" s="130"/>
      <c r="J41" s="130"/>
      <c r="K41" s="123" t="str">
        <f t="shared" si="3"/>
        <v>-</v>
      </c>
      <c r="L41" s="135">
        <f t="shared" si="4"/>
        <v>0</v>
      </c>
      <c r="M41" s="138">
        <f t="shared" si="5"/>
        <v>0</v>
      </c>
      <c r="O41" s="115">
        <f t="shared" si="6"/>
        <v>33</v>
      </c>
      <c r="P41" s="125">
        <f t="shared" si="7"/>
        <v>0</v>
      </c>
      <c r="Q41" t="e">
        <f t="shared" si="9"/>
        <v>#DIV/0!</v>
      </c>
      <c r="R41" s="126" t="e">
        <f t="shared" si="10"/>
        <v>#DIV/0!</v>
      </c>
    </row>
    <row r="42" spans="1:18" x14ac:dyDescent="0.35">
      <c r="A42" s="127"/>
      <c r="B42" s="132">
        <f t="shared" si="8"/>
        <v>34</v>
      </c>
      <c r="C42" s="117"/>
      <c r="D42" s="139"/>
      <c r="E42" s="135">
        <f t="shared" si="0"/>
        <v>0</v>
      </c>
      <c r="F42" s="120"/>
      <c r="G42" s="119">
        <f t="shared" si="1"/>
        <v>0</v>
      </c>
      <c r="H42" s="136">
        <f t="shared" si="2"/>
        <v>0</v>
      </c>
      <c r="I42" s="130"/>
      <c r="J42" s="130"/>
      <c r="K42" s="123" t="str">
        <f t="shared" si="3"/>
        <v>-</v>
      </c>
      <c r="L42" s="135">
        <f t="shared" si="4"/>
        <v>0</v>
      </c>
      <c r="M42" s="137">
        <f t="shared" si="5"/>
        <v>0</v>
      </c>
      <c r="O42" s="115">
        <f t="shared" si="6"/>
        <v>34</v>
      </c>
      <c r="P42" s="125">
        <f t="shared" si="7"/>
        <v>0</v>
      </c>
      <c r="Q42" t="e">
        <f t="shared" si="9"/>
        <v>#DIV/0!</v>
      </c>
      <c r="R42" s="126" t="e">
        <f t="shared" si="10"/>
        <v>#DIV/0!</v>
      </c>
    </row>
    <row r="43" spans="1:18" x14ac:dyDescent="0.35">
      <c r="A43" s="127"/>
      <c r="B43" s="132">
        <f t="shared" si="8"/>
        <v>35</v>
      </c>
      <c r="C43" s="117"/>
      <c r="D43" s="139"/>
      <c r="E43" s="135">
        <f t="shared" si="0"/>
        <v>0</v>
      </c>
      <c r="F43" s="120"/>
      <c r="G43" s="119">
        <f t="shared" si="1"/>
        <v>0</v>
      </c>
      <c r="H43" s="121">
        <f t="shared" si="2"/>
        <v>0</v>
      </c>
      <c r="I43" s="130"/>
      <c r="J43" s="130"/>
      <c r="K43" s="123" t="str">
        <f t="shared" si="3"/>
        <v>-</v>
      </c>
      <c r="L43" s="135">
        <f t="shared" si="4"/>
        <v>0</v>
      </c>
      <c r="M43" s="138">
        <f t="shared" si="5"/>
        <v>0</v>
      </c>
      <c r="O43" s="115">
        <f t="shared" si="6"/>
        <v>35</v>
      </c>
      <c r="P43" s="125">
        <f t="shared" si="7"/>
        <v>0</v>
      </c>
      <c r="Q43" t="e">
        <f t="shared" si="9"/>
        <v>#DIV/0!</v>
      </c>
      <c r="R43" s="126" t="e">
        <f t="shared" si="10"/>
        <v>#DIV/0!</v>
      </c>
    </row>
    <row r="44" spans="1:18" x14ac:dyDescent="0.35">
      <c r="A44" s="127"/>
      <c r="B44" s="132">
        <f t="shared" si="8"/>
        <v>36</v>
      </c>
      <c r="C44" s="117"/>
      <c r="D44" s="139"/>
      <c r="E44" s="119">
        <f t="shared" si="0"/>
        <v>0</v>
      </c>
      <c r="F44" s="120"/>
      <c r="G44" s="119">
        <f t="shared" si="1"/>
        <v>0</v>
      </c>
      <c r="H44" s="136">
        <f t="shared" si="2"/>
        <v>0</v>
      </c>
      <c r="I44" s="130"/>
      <c r="J44" s="130"/>
      <c r="K44" s="123" t="str">
        <f t="shared" si="3"/>
        <v>-</v>
      </c>
      <c r="L44" s="135">
        <f t="shared" si="4"/>
        <v>0</v>
      </c>
      <c r="M44" s="137">
        <f t="shared" si="5"/>
        <v>0</v>
      </c>
      <c r="O44" s="115">
        <f t="shared" si="6"/>
        <v>36</v>
      </c>
      <c r="P44" s="125">
        <f t="shared" si="7"/>
        <v>0</v>
      </c>
      <c r="Q44" t="e">
        <f t="shared" si="9"/>
        <v>#DIV/0!</v>
      </c>
      <c r="R44" s="126" t="e">
        <f t="shared" si="10"/>
        <v>#DIV/0!</v>
      </c>
    </row>
    <row r="45" spans="1:18" x14ac:dyDescent="0.35">
      <c r="A45" s="127"/>
      <c r="B45" s="132">
        <f t="shared" si="8"/>
        <v>37</v>
      </c>
      <c r="C45" s="117"/>
      <c r="D45" s="139"/>
      <c r="E45" s="119">
        <f t="shared" si="0"/>
        <v>0</v>
      </c>
      <c r="F45" s="120"/>
      <c r="G45" s="119">
        <f t="shared" si="1"/>
        <v>0</v>
      </c>
      <c r="H45" s="121">
        <f t="shared" si="2"/>
        <v>0</v>
      </c>
      <c r="I45" s="130"/>
      <c r="J45" s="130"/>
      <c r="K45" s="123" t="str">
        <f t="shared" si="3"/>
        <v>-</v>
      </c>
      <c r="L45" s="135">
        <f t="shared" si="4"/>
        <v>0</v>
      </c>
      <c r="M45" s="138">
        <f t="shared" si="5"/>
        <v>0</v>
      </c>
      <c r="O45" s="115">
        <f t="shared" si="6"/>
        <v>37</v>
      </c>
      <c r="P45" s="125">
        <f t="shared" si="7"/>
        <v>0</v>
      </c>
      <c r="Q45" t="e">
        <f t="shared" si="9"/>
        <v>#DIV/0!</v>
      </c>
      <c r="R45" s="126" t="e">
        <f t="shared" si="10"/>
        <v>#DIV/0!</v>
      </c>
    </row>
    <row r="46" spans="1:18" x14ac:dyDescent="0.35">
      <c r="A46" s="127"/>
      <c r="B46" s="132">
        <f t="shared" si="8"/>
        <v>38</v>
      </c>
      <c r="C46" s="117"/>
      <c r="D46" s="139"/>
      <c r="E46" s="119">
        <f t="shared" si="0"/>
        <v>0</v>
      </c>
      <c r="F46" s="120"/>
      <c r="G46" s="119">
        <f t="shared" si="1"/>
        <v>0</v>
      </c>
      <c r="H46" s="136">
        <f t="shared" si="2"/>
        <v>0</v>
      </c>
      <c r="I46" s="130"/>
      <c r="J46" s="130"/>
      <c r="K46" s="123" t="str">
        <f t="shared" si="3"/>
        <v>-</v>
      </c>
      <c r="L46" s="135">
        <f t="shared" si="4"/>
        <v>0</v>
      </c>
      <c r="M46" s="137">
        <f t="shared" si="5"/>
        <v>0</v>
      </c>
      <c r="O46" s="115">
        <f t="shared" si="6"/>
        <v>38</v>
      </c>
      <c r="P46" s="125">
        <f t="shared" si="7"/>
        <v>0</v>
      </c>
      <c r="Q46" t="e">
        <f t="shared" si="9"/>
        <v>#DIV/0!</v>
      </c>
      <c r="R46" s="126" t="e">
        <f t="shared" si="10"/>
        <v>#DIV/0!</v>
      </c>
    </row>
    <row r="47" spans="1:18" x14ac:dyDescent="0.35">
      <c r="A47" s="127"/>
      <c r="B47" s="132">
        <f t="shared" si="8"/>
        <v>39</v>
      </c>
      <c r="C47" s="117"/>
      <c r="D47" s="139"/>
      <c r="E47" s="119">
        <f t="shared" si="0"/>
        <v>0</v>
      </c>
      <c r="F47" s="120"/>
      <c r="G47" s="119">
        <f t="shared" si="1"/>
        <v>0</v>
      </c>
      <c r="H47" s="121">
        <f t="shared" si="2"/>
        <v>0</v>
      </c>
      <c r="I47" s="130"/>
      <c r="J47" s="130"/>
      <c r="K47" s="123" t="str">
        <f t="shared" si="3"/>
        <v>-</v>
      </c>
      <c r="L47" s="135">
        <f t="shared" si="4"/>
        <v>0</v>
      </c>
      <c r="M47" s="138">
        <f t="shared" si="5"/>
        <v>0</v>
      </c>
      <c r="O47" s="115">
        <f t="shared" si="6"/>
        <v>39</v>
      </c>
      <c r="P47" s="125">
        <f t="shared" si="7"/>
        <v>0</v>
      </c>
      <c r="Q47" t="e">
        <f t="shared" si="9"/>
        <v>#DIV/0!</v>
      </c>
      <c r="R47" s="126" t="e">
        <f t="shared" si="10"/>
        <v>#DIV/0!</v>
      </c>
    </row>
    <row r="48" spans="1:18" x14ac:dyDescent="0.35">
      <c r="A48" s="127"/>
      <c r="B48" s="132">
        <f t="shared" si="8"/>
        <v>40</v>
      </c>
      <c r="C48" s="117"/>
      <c r="D48" s="118"/>
      <c r="E48" s="119">
        <f t="shared" si="0"/>
        <v>0</v>
      </c>
      <c r="F48" s="120"/>
      <c r="G48" s="119">
        <f t="shared" si="1"/>
        <v>0</v>
      </c>
      <c r="H48" s="121">
        <f t="shared" si="2"/>
        <v>0</v>
      </c>
      <c r="I48" s="130"/>
      <c r="J48" s="140"/>
      <c r="K48" s="123" t="str">
        <f t="shared" si="3"/>
        <v>-</v>
      </c>
      <c r="L48" s="135">
        <f t="shared" si="4"/>
        <v>0</v>
      </c>
      <c r="M48" s="137">
        <f t="shared" si="5"/>
        <v>0</v>
      </c>
      <c r="O48" s="115">
        <f t="shared" si="6"/>
        <v>40</v>
      </c>
      <c r="P48" s="125">
        <f t="shared" si="7"/>
        <v>0</v>
      </c>
      <c r="Q48" t="e">
        <f t="shared" si="9"/>
        <v>#DIV/0!</v>
      </c>
      <c r="R48" s="126" t="e">
        <f t="shared" si="10"/>
        <v>#DIV/0!</v>
      </c>
    </row>
    <row r="49" spans="1:18" x14ac:dyDescent="0.35">
      <c r="A49" s="141"/>
      <c r="B49" s="132">
        <f t="shared" si="8"/>
        <v>41</v>
      </c>
      <c r="C49" s="117"/>
      <c r="D49" s="118"/>
      <c r="E49" s="119">
        <f t="shared" si="0"/>
        <v>0</v>
      </c>
      <c r="F49" s="120"/>
      <c r="G49" s="119">
        <f t="shared" si="1"/>
        <v>0</v>
      </c>
      <c r="H49" s="136">
        <f t="shared" si="2"/>
        <v>0</v>
      </c>
      <c r="I49" s="130"/>
      <c r="J49" s="130"/>
      <c r="K49" s="123" t="str">
        <f t="shared" si="3"/>
        <v>-</v>
      </c>
      <c r="L49" s="135">
        <f t="shared" si="4"/>
        <v>0</v>
      </c>
      <c r="M49" s="138">
        <f t="shared" si="5"/>
        <v>0</v>
      </c>
      <c r="O49" s="115">
        <f t="shared" si="6"/>
        <v>41</v>
      </c>
      <c r="P49" s="125">
        <f t="shared" si="7"/>
        <v>0</v>
      </c>
      <c r="Q49" t="e">
        <f t="shared" si="9"/>
        <v>#DIV/0!</v>
      </c>
      <c r="R49" s="126" t="e">
        <f t="shared" si="10"/>
        <v>#DIV/0!</v>
      </c>
    </row>
    <row r="50" spans="1:18" x14ac:dyDescent="0.35">
      <c r="A50" s="141"/>
      <c r="B50" s="132">
        <f t="shared" si="8"/>
        <v>42</v>
      </c>
      <c r="C50" s="142"/>
      <c r="D50" s="118"/>
      <c r="E50" s="119">
        <f t="shared" si="0"/>
        <v>0</v>
      </c>
      <c r="F50" s="120"/>
      <c r="G50" s="119">
        <f t="shared" si="1"/>
        <v>0</v>
      </c>
      <c r="H50" s="121">
        <f t="shared" si="2"/>
        <v>0</v>
      </c>
      <c r="I50" s="130"/>
      <c r="J50" s="130"/>
      <c r="K50" s="123" t="str">
        <f t="shared" si="3"/>
        <v>-</v>
      </c>
      <c r="L50" s="135">
        <f t="shared" si="4"/>
        <v>0</v>
      </c>
      <c r="M50" s="137">
        <f t="shared" si="5"/>
        <v>0</v>
      </c>
      <c r="O50" s="115">
        <f t="shared" si="6"/>
        <v>42</v>
      </c>
      <c r="P50" s="125">
        <f t="shared" si="7"/>
        <v>0</v>
      </c>
      <c r="Q50" t="e">
        <f t="shared" si="9"/>
        <v>#DIV/0!</v>
      </c>
      <c r="R50" s="126" t="e">
        <f t="shared" si="10"/>
        <v>#DIV/0!</v>
      </c>
    </row>
    <row r="51" spans="1:18" x14ac:dyDescent="0.35">
      <c r="A51" s="141"/>
      <c r="B51" s="132">
        <f t="shared" si="8"/>
        <v>43</v>
      </c>
      <c r="C51" s="142"/>
      <c r="D51" s="118"/>
      <c r="E51" s="119">
        <f t="shared" si="0"/>
        <v>0</v>
      </c>
      <c r="F51" s="120"/>
      <c r="G51" s="119">
        <f t="shared" si="1"/>
        <v>0</v>
      </c>
      <c r="H51" s="121">
        <f t="shared" si="2"/>
        <v>0</v>
      </c>
      <c r="I51" s="130"/>
      <c r="J51" s="130"/>
      <c r="K51" s="123" t="str">
        <f t="shared" si="3"/>
        <v>-</v>
      </c>
      <c r="L51" s="135">
        <f t="shared" si="4"/>
        <v>0</v>
      </c>
      <c r="M51" s="138">
        <f t="shared" si="5"/>
        <v>0</v>
      </c>
      <c r="O51" s="115">
        <f t="shared" si="6"/>
        <v>43</v>
      </c>
      <c r="P51" s="125">
        <f t="shared" si="7"/>
        <v>0</v>
      </c>
      <c r="Q51" t="e">
        <f t="shared" si="9"/>
        <v>#DIV/0!</v>
      </c>
      <c r="R51" s="126" t="e">
        <f t="shared" si="10"/>
        <v>#DIV/0!</v>
      </c>
    </row>
    <row r="52" spans="1:18" x14ac:dyDescent="0.35">
      <c r="A52" s="141"/>
      <c r="B52" s="132">
        <f t="shared" si="8"/>
        <v>44</v>
      </c>
      <c r="C52" s="142"/>
      <c r="D52" s="118"/>
      <c r="E52" s="119">
        <f t="shared" si="0"/>
        <v>0</v>
      </c>
      <c r="F52" s="120"/>
      <c r="G52" s="119">
        <f t="shared" si="1"/>
        <v>0</v>
      </c>
      <c r="H52" s="136">
        <f t="shared" si="2"/>
        <v>0</v>
      </c>
      <c r="I52" s="130"/>
      <c r="J52" s="130"/>
      <c r="K52" s="123" t="str">
        <f t="shared" si="3"/>
        <v>-</v>
      </c>
      <c r="L52" s="135">
        <f t="shared" si="4"/>
        <v>0</v>
      </c>
      <c r="M52" s="137">
        <f t="shared" si="5"/>
        <v>0</v>
      </c>
      <c r="O52" s="115">
        <f t="shared" si="6"/>
        <v>44</v>
      </c>
      <c r="P52" s="125">
        <f t="shared" si="7"/>
        <v>0</v>
      </c>
      <c r="Q52" t="e">
        <f t="shared" si="9"/>
        <v>#DIV/0!</v>
      </c>
      <c r="R52" s="126" t="e">
        <f t="shared" si="10"/>
        <v>#DIV/0!</v>
      </c>
    </row>
    <row r="53" spans="1:18" x14ac:dyDescent="0.35">
      <c r="A53" s="141"/>
      <c r="B53" s="132">
        <f t="shared" si="8"/>
        <v>45</v>
      </c>
      <c r="C53" s="142"/>
      <c r="D53" s="118"/>
      <c r="E53" s="119">
        <f t="shared" si="0"/>
        <v>0</v>
      </c>
      <c r="F53" s="120"/>
      <c r="G53" s="119">
        <f t="shared" si="1"/>
        <v>0</v>
      </c>
      <c r="H53" s="121">
        <f t="shared" si="2"/>
        <v>0</v>
      </c>
      <c r="I53" s="130"/>
      <c r="J53" s="130"/>
      <c r="K53" s="123" t="str">
        <f t="shared" si="3"/>
        <v>-</v>
      </c>
      <c r="L53" s="135">
        <f t="shared" si="4"/>
        <v>0</v>
      </c>
      <c r="M53" s="138">
        <f t="shared" si="5"/>
        <v>0</v>
      </c>
      <c r="O53" s="115">
        <f t="shared" si="6"/>
        <v>45</v>
      </c>
      <c r="P53" s="125">
        <f t="shared" si="7"/>
        <v>0</v>
      </c>
      <c r="Q53" t="e">
        <f t="shared" si="9"/>
        <v>#DIV/0!</v>
      </c>
      <c r="R53" s="126" t="e">
        <f t="shared" si="10"/>
        <v>#DIV/0!</v>
      </c>
    </row>
    <row r="54" spans="1:18" x14ac:dyDescent="0.35">
      <c r="A54" s="141"/>
      <c r="B54" s="132">
        <f t="shared" si="8"/>
        <v>46</v>
      </c>
      <c r="C54" s="142"/>
      <c r="D54" s="118"/>
      <c r="E54" s="119">
        <f t="shared" si="0"/>
        <v>0</v>
      </c>
      <c r="F54" s="120"/>
      <c r="G54" s="119">
        <f t="shared" si="1"/>
        <v>0</v>
      </c>
      <c r="H54" s="121">
        <f t="shared" si="2"/>
        <v>0</v>
      </c>
      <c r="I54" s="130"/>
      <c r="J54" s="130"/>
      <c r="K54" s="123" t="str">
        <f t="shared" si="3"/>
        <v>-</v>
      </c>
      <c r="L54" s="135">
        <f t="shared" si="4"/>
        <v>0</v>
      </c>
      <c r="M54" s="137">
        <f t="shared" si="5"/>
        <v>0</v>
      </c>
      <c r="O54" s="115">
        <f t="shared" si="6"/>
        <v>46</v>
      </c>
      <c r="P54" s="125">
        <f t="shared" si="7"/>
        <v>0</v>
      </c>
      <c r="Q54" t="e">
        <f t="shared" si="9"/>
        <v>#DIV/0!</v>
      </c>
      <c r="R54" s="126" t="e">
        <f t="shared" si="10"/>
        <v>#DIV/0!</v>
      </c>
    </row>
    <row r="55" spans="1:18" x14ac:dyDescent="0.35">
      <c r="A55" s="141"/>
      <c r="B55" s="132">
        <f t="shared" si="8"/>
        <v>47</v>
      </c>
      <c r="C55" s="142"/>
      <c r="D55" s="118"/>
      <c r="E55" s="119">
        <f t="shared" si="0"/>
        <v>0</v>
      </c>
      <c r="F55" s="120"/>
      <c r="G55" s="119">
        <f t="shared" si="1"/>
        <v>0</v>
      </c>
      <c r="H55" s="136">
        <f t="shared" si="2"/>
        <v>0</v>
      </c>
      <c r="I55" s="130"/>
      <c r="J55" s="130"/>
      <c r="K55" s="123" t="str">
        <f t="shared" si="3"/>
        <v>-</v>
      </c>
      <c r="L55" s="135">
        <f t="shared" si="4"/>
        <v>0</v>
      </c>
      <c r="M55" s="138">
        <f t="shared" si="5"/>
        <v>0</v>
      </c>
      <c r="O55" s="115">
        <f t="shared" si="6"/>
        <v>47</v>
      </c>
      <c r="P55" s="125">
        <f t="shared" si="7"/>
        <v>0</v>
      </c>
      <c r="Q55" t="e">
        <f t="shared" si="9"/>
        <v>#DIV/0!</v>
      </c>
      <c r="R55" s="126" t="e">
        <f t="shared" si="10"/>
        <v>#DIV/0!</v>
      </c>
    </row>
    <row r="56" spans="1:18" x14ac:dyDescent="0.35">
      <c r="A56" s="141"/>
      <c r="B56" s="132">
        <f t="shared" si="8"/>
        <v>48</v>
      </c>
      <c r="C56" s="142"/>
      <c r="D56" s="118"/>
      <c r="E56" s="119">
        <f t="shared" si="0"/>
        <v>0</v>
      </c>
      <c r="F56" s="120"/>
      <c r="G56" s="119">
        <f t="shared" si="1"/>
        <v>0</v>
      </c>
      <c r="H56" s="121">
        <f t="shared" si="2"/>
        <v>0</v>
      </c>
      <c r="I56" s="130"/>
      <c r="J56" s="130"/>
      <c r="K56" s="123" t="str">
        <f t="shared" si="3"/>
        <v>-</v>
      </c>
      <c r="L56" s="135">
        <f t="shared" si="4"/>
        <v>0</v>
      </c>
      <c r="M56" s="137">
        <f t="shared" si="5"/>
        <v>0</v>
      </c>
      <c r="O56" s="115">
        <f t="shared" si="6"/>
        <v>48</v>
      </c>
      <c r="P56" s="125">
        <f t="shared" si="7"/>
        <v>0</v>
      </c>
      <c r="Q56" t="e">
        <f t="shared" si="9"/>
        <v>#DIV/0!</v>
      </c>
      <c r="R56" s="126" t="e">
        <f t="shared" si="10"/>
        <v>#DIV/0!</v>
      </c>
    </row>
    <row r="57" spans="1:18" x14ac:dyDescent="0.35">
      <c r="A57" s="141"/>
      <c r="B57" s="132">
        <f t="shared" si="8"/>
        <v>49</v>
      </c>
      <c r="C57" s="142"/>
      <c r="D57" s="118"/>
      <c r="E57" s="119">
        <f t="shared" si="0"/>
        <v>0</v>
      </c>
      <c r="F57" s="120"/>
      <c r="G57" s="119">
        <f t="shared" si="1"/>
        <v>0</v>
      </c>
      <c r="H57" s="121">
        <f t="shared" si="2"/>
        <v>0</v>
      </c>
      <c r="I57" s="130"/>
      <c r="J57" s="130"/>
      <c r="K57" s="123" t="str">
        <f t="shared" si="3"/>
        <v>-</v>
      </c>
      <c r="L57" s="135">
        <f t="shared" si="4"/>
        <v>0</v>
      </c>
      <c r="M57" s="138">
        <f t="shared" si="5"/>
        <v>0</v>
      </c>
      <c r="O57" s="115">
        <f t="shared" si="6"/>
        <v>49</v>
      </c>
      <c r="P57" s="125">
        <f t="shared" si="7"/>
        <v>0</v>
      </c>
      <c r="Q57" t="e">
        <f t="shared" si="9"/>
        <v>#DIV/0!</v>
      </c>
      <c r="R57" s="126" t="e">
        <f t="shared" si="10"/>
        <v>#DIV/0!</v>
      </c>
    </row>
    <row r="58" spans="1:18" x14ac:dyDescent="0.35">
      <c r="A58" s="141"/>
      <c r="B58" s="132">
        <f t="shared" si="8"/>
        <v>50</v>
      </c>
      <c r="C58" s="142"/>
      <c r="D58" s="118"/>
      <c r="E58" s="119">
        <f t="shared" si="0"/>
        <v>0</v>
      </c>
      <c r="F58" s="120"/>
      <c r="G58" s="119">
        <f t="shared" si="1"/>
        <v>0</v>
      </c>
      <c r="H58" s="136">
        <f t="shared" si="2"/>
        <v>0</v>
      </c>
      <c r="I58" s="130"/>
      <c r="J58" s="130"/>
      <c r="K58" s="123" t="str">
        <f t="shared" si="3"/>
        <v>-</v>
      </c>
      <c r="L58" s="135">
        <f t="shared" si="4"/>
        <v>0</v>
      </c>
      <c r="M58" s="137">
        <f t="shared" si="5"/>
        <v>0</v>
      </c>
      <c r="O58" s="115">
        <f t="shared" si="6"/>
        <v>50</v>
      </c>
      <c r="P58" s="125">
        <f t="shared" si="7"/>
        <v>0</v>
      </c>
      <c r="Q58" t="e">
        <f t="shared" si="9"/>
        <v>#DIV/0!</v>
      </c>
      <c r="R58" s="126" t="e">
        <f t="shared" si="10"/>
        <v>#DIV/0!</v>
      </c>
    </row>
    <row r="59" spans="1:18" x14ac:dyDescent="0.35">
      <c r="A59" s="141"/>
      <c r="B59" s="132">
        <f t="shared" si="8"/>
        <v>51</v>
      </c>
      <c r="C59" s="142"/>
      <c r="D59" s="118"/>
      <c r="E59" s="119">
        <f t="shared" si="0"/>
        <v>0</v>
      </c>
      <c r="F59" s="120"/>
      <c r="G59" s="119">
        <f t="shared" si="1"/>
        <v>0</v>
      </c>
      <c r="H59" s="121">
        <f t="shared" si="2"/>
        <v>0</v>
      </c>
      <c r="I59" s="130"/>
      <c r="J59" s="130"/>
      <c r="K59" s="123" t="str">
        <f t="shared" si="3"/>
        <v>-</v>
      </c>
      <c r="L59" s="135">
        <f t="shared" si="4"/>
        <v>0</v>
      </c>
      <c r="M59" s="138">
        <f t="shared" si="5"/>
        <v>0</v>
      </c>
      <c r="O59" s="115">
        <f t="shared" si="6"/>
        <v>51</v>
      </c>
      <c r="P59" s="125">
        <f t="shared" si="7"/>
        <v>0</v>
      </c>
      <c r="Q59" t="e">
        <f t="shared" si="9"/>
        <v>#DIV/0!</v>
      </c>
      <c r="R59" s="126" t="e">
        <f t="shared" si="10"/>
        <v>#DIV/0!</v>
      </c>
    </row>
    <row r="60" spans="1:18" x14ac:dyDescent="0.35">
      <c r="A60" s="141"/>
      <c r="B60" s="132">
        <f t="shared" si="8"/>
        <v>52</v>
      </c>
      <c r="C60" s="142"/>
      <c r="D60" s="118"/>
      <c r="E60" s="119">
        <f t="shared" si="0"/>
        <v>0</v>
      </c>
      <c r="F60" s="120"/>
      <c r="G60" s="119">
        <f t="shared" si="1"/>
        <v>0</v>
      </c>
      <c r="H60" s="121">
        <f t="shared" si="2"/>
        <v>0</v>
      </c>
      <c r="I60" s="130"/>
      <c r="J60" s="130"/>
      <c r="K60" s="123" t="str">
        <f t="shared" si="3"/>
        <v>-</v>
      </c>
      <c r="L60" s="135">
        <f t="shared" si="4"/>
        <v>0</v>
      </c>
      <c r="M60" s="137">
        <f t="shared" si="5"/>
        <v>0</v>
      </c>
      <c r="O60" s="115">
        <f t="shared" si="6"/>
        <v>52</v>
      </c>
      <c r="P60" s="125">
        <f t="shared" si="7"/>
        <v>0</v>
      </c>
      <c r="Q60" t="e">
        <f t="shared" si="9"/>
        <v>#DIV/0!</v>
      </c>
      <c r="R60" s="126" t="e">
        <f t="shared" si="10"/>
        <v>#DIV/0!</v>
      </c>
    </row>
    <row r="61" spans="1:18" x14ac:dyDescent="0.35">
      <c r="A61" s="141"/>
      <c r="B61" s="132">
        <f t="shared" si="8"/>
        <v>53</v>
      </c>
      <c r="C61" s="142"/>
      <c r="D61" s="118"/>
      <c r="E61" s="119">
        <f t="shared" si="0"/>
        <v>0</v>
      </c>
      <c r="F61" s="120"/>
      <c r="G61" s="119">
        <f t="shared" si="1"/>
        <v>0</v>
      </c>
      <c r="H61" s="136">
        <f t="shared" si="2"/>
        <v>0</v>
      </c>
      <c r="I61" s="130"/>
      <c r="J61" s="130"/>
      <c r="K61" s="123" t="str">
        <f t="shared" si="3"/>
        <v>-</v>
      </c>
      <c r="L61" s="135">
        <f t="shared" si="4"/>
        <v>0</v>
      </c>
      <c r="M61" s="138">
        <f t="shared" si="5"/>
        <v>0</v>
      </c>
      <c r="O61" s="115">
        <f t="shared" si="6"/>
        <v>53</v>
      </c>
      <c r="P61" s="125">
        <f t="shared" si="7"/>
        <v>0</v>
      </c>
      <c r="Q61" t="e">
        <f t="shared" si="9"/>
        <v>#DIV/0!</v>
      </c>
      <c r="R61" s="126" t="e">
        <f t="shared" si="10"/>
        <v>#DIV/0!</v>
      </c>
    </row>
    <row r="62" spans="1:18" x14ac:dyDescent="0.35">
      <c r="A62" s="141"/>
      <c r="B62" s="132">
        <f t="shared" si="8"/>
        <v>54</v>
      </c>
      <c r="C62" s="142"/>
      <c r="D62" s="118"/>
      <c r="E62" s="119">
        <f t="shared" si="0"/>
        <v>0</v>
      </c>
      <c r="F62" s="120"/>
      <c r="G62" s="119">
        <f t="shared" si="1"/>
        <v>0</v>
      </c>
      <c r="H62" s="121">
        <f t="shared" si="2"/>
        <v>0</v>
      </c>
      <c r="I62" s="130"/>
      <c r="J62" s="130"/>
      <c r="K62" s="123" t="str">
        <f t="shared" si="3"/>
        <v>-</v>
      </c>
      <c r="L62" s="135">
        <f t="shared" si="4"/>
        <v>0</v>
      </c>
      <c r="M62" s="137">
        <f t="shared" si="5"/>
        <v>0</v>
      </c>
      <c r="O62" s="115">
        <f t="shared" si="6"/>
        <v>54</v>
      </c>
      <c r="P62" s="125">
        <f t="shared" si="7"/>
        <v>0</v>
      </c>
      <c r="Q62" t="e">
        <f t="shared" si="9"/>
        <v>#DIV/0!</v>
      </c>
      <c r="R62" s="126" t="e">
        <f t="shared" si="10"/>
        <v>#DIV/0!</v>
      </c>
    </row>
    <row r="63" spans="1:18" x14ac:dyDescent="0.35">
      <c r="A63" s="141"/>
      <c r="B63" s="132">
        <f t="shared" si="8"/>
        <v>55</v>
      </c>
      <c r="C63" s="142"/>
      <c r="D63" s="118"/>
      <c r="E63" s="119">
        <f t="shared" si="0"/>
        <v>0</v>
      </c>
      <c r="F63" s="120"/>
      <c r="G63" s="119">
        <f t="shared" si="1"/>
        <v>0</v>
      </c>
      <c r="H63" s="121">
        <f t="shared" si="2"/>
        <v>0</v>
      </c>
      <c r="I63" s="130"/>
      <c r="J63" s="130"/>
      <c r="K63" s="123" t="str">
        <f t="shared" si="3"/>
        <v>-</v>
      </c>
      <c r="L63" s="135">
        <f t="shared" si="4"/>
        <v>0</v>
      </c>
      <c r="M63" s="138">
        <f t="shared" si="5"/>
        <v>0</v>
      </c>
      <c r="O63" s="115">
        <f t="shared" si="6"/>
        <v>55</v>
      </c>
      <c r="P63" s="125">
        <f t="shared" si="7"/>
        <v>0</v>
      </c>
      <c r="Q63" t="e">
        <f t="shared" si="9"/>
        <v>#DIV/0!</v>
      </c>
      <c r="R63" s="126" t="e">
        <f t="shared" si="10"/>
        <v>#DIV/0!</v>
      </c>
    </row>
    <row r="64" spans="1:18" x14ac:dyDescent="0.35">
      <c r="A64" s="141"/>
      <c r="B64" s="132">
        <f t="shared" si="8"/>
        <v>56</v>
      </c>
      <c r="C64" s="142"/>
      <c r="D64" s="118"/>
      <c r="E64" s="119">
        <f t="shared" si="0"/>
        <v>0</v>
      </c>
      <c r="F64" s="120"/>
      <c r="G64" s="119">
        <f t="shared" si="1"/>
        <v>0</v>
      </c>
      <c r="H64" s="136">
        <f t="shared" si="2"/>
        <v>0</v>
      </c>
      <c r="I64" s="130"/>
      <c r="J64" s="130"/>
      <c r="K64" s="123" t="str">
        <f t="shared" si="3"/>
        <v>-</v>
      </c>
      <c r="L64" s="135">
        <f t="shared" si="4"/>
        <v>0</v>
      </c>
      <c r="M64" s="137">
        <f t="shared" si="5"/>
        <v>0</v>
      </c>
      <c r="O64" s="115">
        <f t="shared" si="6"/>
        <v>56</v>
      </c>
      <c r="P64" s="125">
        <f t="shared" si="7"/>
        <v>0</v>
      </c>
      <c r="Q64" t="e">
        <f t="shared" si="9"/>
        <v>#DIV/0!</v>
      </c>
      <c r="R64" s="126" t="e">
        <f t="shared" si="10"/>
        <v>#DIV/0!</v>
      </c>
    </row>
    <row r="65" spans="1:18" x14ac:dyDescent="0.35">
      <c r="A65" s="141"/>
      <c r="B65" s="132">
        <f t="shared" si="8"/>
        <v>57</v>
      </c>
      <c r="C65" s="142"/>
      <c r="D65" s="118"/>
      <c r="E65" s="119">
        <f t="shared" si="0"/>
        <v>0</v>
      </c>
      <c r="F65" s="120"/>
      <c r="G65" s="119">
        <f t="shared" si="1"/>
        <v>0</v>
      </c>
      <c r="H65" s="121">
        <f t="shared" si="2"/>
        <v>0</v>
      </c>
      <c r="I65" s="130"/>
      <c r="J65" s="130"/>
      <c r="K65" s="123" t="str">
        <f t="shared" si="3"/>
        <v>-</v>
      </c>
      <c r="L65" s="135">
        <f t="shared" si="4"/>
        <v>0</v>
      </c>
      <c r="M65" s="138">
        <f t="shared" si="5"/>
        <v>0</v>
      </c>
      <c r="O65" s="115">
        <f t="shared" si="6"/>
        <v>57</v>
      </c>
      <c r="P65" s="125">
        <f t="shared" si="7"/>
        <v>0</v>
      </c>
      <c r="Q65" t="e">
        <f t="shared" si="9"/>
        <v>#DIV/0!</v>
      </c>
      <c r="R65" s="126" t="e">
        <f t="shared" si="10"/>
        <v>#DIV/0!</v>
      </c>
    </row>
    <row r="66" spans="1:18" x14ac:dyDescent="0.35">
      <c r="A66" s="141"/>
      <c r="B66" s="132">
        <f t="shared" si="8"/>
        <v>58</v>
      </c>
      <c r="C66" s="142"/>
      <c r="D66" s="118"/>
      <c r="E66" s="119">
        <f t="shared" si="0"/>
        <v>0</v>
      </c>
      <c r="F66" s="120"/>
      <c r="G66" s="119">
        <f t="shared" si="1"/>
        <v>0</v>
      </c>
      <c r="H66" s="121">
        <f t="shared" si="2"/>
        <v>0</v>
      </c>
      <c r="I66" s="130"/>
      <c r="J66" s="130"/>
      <c r="K66" s="123" t="str">
        <f t="shared" si="3"/>
        <v>-</v>
      </c>
      <c r="L66" s="135">
        <f t="shared" si="4"/>
        <v>0</v>
      </c>
      <c r="M66" s="137">
        <f t="shared" si="5"/>
        <v>0</v>
      </c>
      <c r="O66" s="115">
        <f t="shared" si="6"/>
        <v>58</v>
      </c>
      <c r="P66" s="125">
        <f t="shared" si="7"/>
        <v>0</v>
      </c>
      <c r="Q66" t="e">
        <f t="shared" si="9"/>
        <v>#DIV/0!</v>
      </c>
      <c r="R66" s="126" t="e">
        <f t="shared" si="10"/>
        <v>#DIV/0!</v>
      </c>
    </row>
    <row r="67" spans="1:18" x14ac:dyDescent="0.35">
      <c r="A67" s="141"/>
      <c r="B67" s="132">
        <f t="shared" si="8"/>
        <v>59</v>
      </c>
      <c r="C67" s="142"/>
      <c r="D67" s="118"/>
      <c r="E67" s="119">
        <f t="shared" si="0"/>
        <v>0</v>
      </c>
      <c r="F67" s="120"/>
      <c r="G67" s="119">
        <f t="shared" si="1"/>
        <v>0</v>
      </c>
      <c r="H67" s="121">
        <f t="shared" si="2"/>
        <v>0</v>
      </c>
      <c r="I67" s="130"/>
      <c r="J67" s="130"/>
      <c r="K67" s="123" t="str">
        <f t="shared" si="3"/>
        <v>-</v>
      </c>
      <c r="L67" s="135">
        <f t="shared" si="4"/>
        <v>0</v>
      </c>
      <c r="M67" s="137">
        <f t="shared" si="5"/>
        <v>0</v>
      </c>
      <c r="O67" s="115">
        <f t="shared" si="6"/>
        <v>59</v>
      </c>
      <c r="P67" s="125">
        <f t="shared" si="7"/>
        <v>0</v>
      </c>
      <c r="Q67" t="e">
        <f t="shared" si="9"/>
        <v>#DIV/0!</v>
      </c>
      <c r="R67" s="126" t="e">
        <f t="shared" si="10"/>
        <v>#DIV/0!</v>
      </c>
    </row>
    <row r="68" spans="1:18" x14ac:dyDescent="0.35">
      <c r="A68" s="141"/>
      <c r="B68" s="132">
        <f t="shared" si="8"/>
        <v>60</v>
      </c>
      <c r="C68" s="142"/>
      <c r="D68" s="118"/>
      <c r="E68" s="119">
        <f t="shared" si="0"/>
        <v>0</v>
      </c>
      <c r="F68" s="120"/>
      <c r="G68" s="119">
        <f t="shared" si="1"/>
        <v>0</v>
      </c>
      <c r="H68" s="136">
        <f t="shared" si="2"/>
        <v>0</v>
      </c>
      <c r="I68" s="130"/>
      <c r="J68" s="130"/>
      <c r="K68" s="123" t="str">
        <f t="shared" si="3"/>
        <v>-</v>
      </c>
      <c r="L68" s="135">
        <f t="shared" si="4"/>
        <v>0</v>
      </c>
      <c r="M68" s="138">
        <f t="shared" si="5"/>
        <v>0</v>
      </c>
      <c r="O68" s="115">
        <f t="shared" si="6"/>
        <v>60</v>
      </c>
      <c r="P68" s="125">
        <f t="shared" si="7"/>
        <v>0</v>
      </c>
      <c r="Q68" t="e">
        <f t="shared" si="9"/>
        <v>#DIV/0!</v>
      </c>
      <c r="R68" s="126" t="e">
        <f t="shared" si="10"/>
        <v>#DIV/0!</v>
      </c>
    </row>
    <row r="69" spans="1:18" ht="15" thickBot="1" x14ac:dyDescent="0.4">
      <c r="A69" s="143"/>
      <c r="B69" s="144"/>
      <c r="C69" s="145"/>
      <c r="D69" s="146"/>
      <c r="E69" s="146"/>
      <c r="F69" s="147"/>
      <c r="G69" s="146"/>
      <c r="H69" s="146"/>
      <c r="I69" s="148"/>
      <c r="J69" s="149"/>
      <c r="K69" s="144"/>
      <c r="L69" s="144"/>
      <c r="M69" s="150"/>
      <c r="O69" s="151"/>
      <c r="P69" s="103"/>
      <c r="Q69" s="103"/>
      <c r="R69" s="152"/>
    </row>
    <row r="70" spans="1:18" ht="26" x14ac:dyDescent="0.35">
      <c r="A70" s="153" t="s">
        <v>136</v>
      </c>
      <c r="B70" s="154" t="s">
        <v>153</v>
      </c>
      <c r="C70" s="155" t="s">
        <v>154</v>
      </c>
      <c r="D70" s="155" t="s">
        <v>155</v>
      </c>
      <c r="E70" s="155" t="s">
        <v>156</v>
      </c>
      <c r="F70" s="156" t="s">
        <v>157</v>
      </c>
      <c r="G70" s="156" t="s">
        <v>158</v>
      </c>
      <c r="H70" s="154" t="s">
        <v>159</v>
      </c>
      <c r="I70" s="154" t="s">
        <v>148</v>
      </c>
      <c r="J70" s="155" t="s">
        <v>160</v>
      </c>
      <c r="K70" s="157" t="s">
        <v>161</v>
      </c>
      <c r="L70" s="155" t="s">
        <v>162</v>
      </c>
      <c r="M70" s="158"/>
    </row>
    <row r="71" spans="1:18" x14ac:dyDescent="0.35">
      <c r="A71" s="159"/>
      <c r="B71" s="160" t="s">
        <v>163</v>
      </c>
      <c r="C71" s="161">
        <f>C4</f>
        <v>0</v>
      </c>
      <c r="D71" s="162">
        <f t="shared" ref="D71:D83" si="11">C71*($H$4/1000)</f>
        <v>0</v>
      </c>
      <c r="E71" s="163">
        <f>J4</f>
        <v>0</v>
      </c>
      <c r="F71" s="163"/>
      <c r="G71" s="163"/>
      <c r="H71" s="164">
        <f>C71*E71</f>
        <v>0</v>
      </c>
      <c r="I71" s="162">
        <f t="shared" ref="I71:I83" si="12">D71*E71</f>
        <v>0</v>
      </c>
      <c r="J71" s="165"/>
      <c r="K71" s="166"/>
      <c r="L71" s="165"/>
      <c r="M71" s="167"/>
    </row>
    <row r="72" spans="1:18" x14ac:dyDescent="0.35">
      <c r="A72" s="168" t="s">
        <v>164</v>
      </c>
      <c r="B72" s="169" t="str">
        <f t="array" ref="B72">"F"&amp;MIN(IF($A$8:$A$68=1,$B$8:$B$68,""))&amp;"-"&amp;MAX(IF($A$8:$A$68=1,$B$8:$B$68,""))</f>
        <v>F0-0</v>
      </c>
      <c r="C72" s="170">
        <f>SUMIF(A8:A68,"=1",G8:G68)</f>
        <v>0</v>
      </c>
      <c r="D72" s="171">
        <f t="shared" si="11"/>
        <v>0</v>
      </c>
      <c r="E72" s="172" t="e">
        <f>SUMIF($A$7:$A$68,"=1",L7:L68)/$C$72</f>
        <v>#DIV/0!</v>
      </c>
      <c r="F72" s="172" t="e">
        <f>SUMIF($A$7:$A$68,"=1",N7:N68)/$C$72</f>
        <v>#DIV/0!</v>
      </c>
      <c r="G72" s="172" t="e">
        <f>SUMIF($A$7:$A$68,"=1",O6:O68)/$C$72</f>
        <v>#DIV/0!</v>
      </c>
      <c r="H72" s="170" t="e">
        <f t="shared" ref="H72:H83" si="13">(C72*E72)</f>
        <v>#DIV/0!</v>
      </c>
      <c r="I72" s="171" t="e">
        <f t="shared" si="12"/>
        <v>#DIV/0!</v>
      </c>
      <c r="J72" s="173" t="e">
        <f t="shared" ref="J72:J83" si="14">D72/$J$2</f>
        <v>#DIV/0!</v>
      </c>
      <c r="K72" s="174" t="e">
        <f t="shared" ref="K72:K83" si="15">C72/$C$71</f>
        <v>#DIV/0!</v>
      </c>
      <c r="L72" s="175" t="e">
        <f t="shared" ref="L72:L83" si="16">H72/$H$71</f>
        <v>#DIV/0!</v>
      </c>
      <c r="M72" s="176" t="s">
        <v>165</v>
      </c>
    </row>
    <row r="73" spans="1:18" x14ac:dyDescent="0.35">
      <c r="A73" s="168" t="s">
        <v>164</v>
      </c>
      <c r="B73" s="177" t="str">
        <f>B72</f>
        <v>F0-0</v>
      </c>
      <c r="C73" s="178"/>
      <c r="D73" s="171">
        <f t="shared" si="11"/>
        <v>0</v>
      </c>
      <c r="E73" s="179"/>
      <c r="F73" s="179"/>
      <c r="G73" s="179"/>
      <c r="H73" s="170">
        <f t="shared" si="13"/>
        <v>0</v>
      </c>
      <c r="I73" s="171">
        <f t="shared" si="12"/>
        <v>0</v>
      </c>
      <c r="J73" s="173" t="e">
        <f t="shared" si="14"/>
        <v>#DIV/0!</v>
      </c>
      <c r="K73" s="174" t="e">
        <f t="shared" si="15"/>
        <v>#DIV/0!</v>
      </c>
      <c r="L73" s="175" t="e">
        <f t="shared" si="16"/>
        <v>#DIV/0!</v>
      </c>
      <c r="M73" s="176" t="s">
        <v>166</v>
      </c>
    </row>
    <row r="74" spans="1:18" x14ac:dyDescent="0.35">
      <c r="A74" s="180" t="s">
        <v>167</v>
      </c>
      <c r="B74" s="181" t="str">
        <f t="array" ref="B74">"F"&amp;MIN(IF($A$8:$A$68=1,$B$8:$B$68,""),IF($A$8:$A$68=2,$B$8:$B$68,""))&amp;"-"&amp;MAX(IF($A$8:$A$68=1,$B$8:$B$68,""),IF($A$8:$A$68=2,$B$8:$B$68,""))</f>
        <v>F0-0</v>
      </c>
      <c r="C74" s="182">
        <f>SUMIF(A8:A68,"=1",G8:G68)+SUMIF(A8:A68,"=2",G8:G68)</f>
        <v>0</v>
      </c>
      <c r="D74" s="183">
        <f t="shared" si="11"/>
        <v>0</v>
      </c>
      <c r="E74" s="184" t="e">
        <f>(SUMIF($A$7:$A$68,"=1",L7:L68)+SUMIF($A$7:$A$68,"=2",L7:L68))/$C$74</f>
        <v>#DIV/0!</v>
      </c>
      <c r="F74" s="184" t="e">
        <f>(SUMIF($A$7:$A$68,"=1",N7:N68)+SUMIF($A$7:$A$68,"=2",N7:N68))/$C$74</f>
        <v>#DIV/0!</v>
      </c>
      <c r="G74" s="184" t="e">
        <f>(SUMIF($A$7:$A$68,"=1",O6:O68)+SUMIF($A$7:$A$68,"=2",O6:O68))/$C$74</f>
        <v>#DIV/0!</v>
      </c>
      <c r="H74" s="182" t="e">
        <f t="shared" si="13"/>
        <v>#DIV/0!</v>
      </c>
      <c r="I74" s="183" t="e">
        <f t="shared" si="12"/>
        <v>#DIV/0!</v>
      </c>
      <c r="J74" s="185" t="e">
        <f t="shared" si="14"/>
        <v>#DIV/0!</v>
      </c>
      <c r="K74" s="186" t="e">
        <f t="shared" si="15"/>
        <v>#DIV/0!</v>
      </c>
      <c r="L74" s="187" t="e">
        <f t="shared" si="16"/>
        <v>#DIV/0!</v>
      </c>
      <c r="M74" s="188" t="s">
        <v>165</v>
      </c>
    </row>
    <row r="75" spans="1:18" x14ac:dyDescent="0.35">
      <c r="A75" s="180" t="s">
        <v>167</v>
      </c>
      <c r="B75" s="181" t="str">
        <f>B74</f>
        <v>F0-0</v>
      </c>
      <c r="C75" s="189"/>
      <c r="D75" s="183">
        <f t="shared" si="11"/>
        <v>0</v>
      </c>
      <c r="E75" s="190"/>
      <c r="F75" s="190"/>
      <c r="G75" s="190"/>
      <c r="H75" s="182">
        <f t="shared" si="13"/>
        <v>0</v>
      </c>
      <c r="I75" s="183">
        <f t="shared" si="12"/>
        <v>0</v>
      </c>
      <c r="J75" s="185" t="e">
        <f t="shared" si="14"/>
        <v>#DIV/0!</v>
      </c>
      <c r="K75" s="186" t="e">
        <f t="shared" si="15"/>
        <v>#DIV/0!</v>
      </c>
      <c r="L75" s="187" t="e">
        <f t="shared" si="16"/>
        <v>#DIV/0!</v>
      </c>
      <c r="M75" s="188" t="s">
        <v>166</v>
      </c>
    </row>
    <row r="76" spans="1:18" x14ac:dyDescent="0.35">
      <c r="A76" s="191" t="s">
        <v>168</v>
      </c>
      <c r="B76" s="192" t="str">
        <f t="array" ref="B76">"F"&amp;MIN(IF($A$8:$A$68=1,$B$8:$B$68,""),IF($A$8:$A$68=2,$B$8:$B$68,""),IF($A$8:$A$68=3,$B$8:$B$68,""))&amp;"-"&amp;MAX(IF($A$8:$A$68=1,$B$8:$B$68,""),IF($A$8:$A$68=2,$B$8:$B$68,""),IF($A$8:$A$68=3,$B$8:$B$68,""))</f>
        <v>F0-0</v>
      </c>
      <c r="C76" s="193">
        <f>SUMIF(A8:A68,"=1",G8:G68)+SUMIF(A8:A68,"=2",G8:G68)+SUMIF(A8:A68,"=3",G8:G68)</f>
        <v>0</v>
      </c>
      <c r="D76" s="194">
        <f t="shared" si="11"/>
        <v>0</v>
      </c>
      <c r="E76" s="195" t="e">
        <f>(SUMIF($A$7:$A$68,"=1",L7:L68)+SUMIF($A$7:$A$68,"=2",L7:L68)+SUMIF($A$7:$A$68,"=3",L7:L68))/$C$76</f>
        <v>#DIV/0!</v>
      </c>
      <c r="F76" s="195" t="e">
        <f>(SUMIF($A$7:$A$68,"=1",N7:N68)+SUMIF($A$7:$A$68,"=2",N7:N68)+SUMIF($A$7:$A$68,"=3",N7:N68))/$C$76</f>
        <v>#DIV/0!</v>
      </c>
      <c r="G76" s="195" t="e">
        <f>(SUMIF($A$7:$A$68,"=1",O6:O68)+SUMIF($A$7:$A$68,"=2",O6:O68)+SUMIF($A$7:$A$68,"=3",O6:O68))/$C$76</f>
        <v>#DIV/0!</v>
      </c>
      <c r="H76" s="193" t="e">
        <f t="shared" si="13"/>
        <v>#DIV/0!</v>
      </c>
      <c r="I76" s="194" t="e">
        <f t="shared" si="12"/>
        <v>#DIV/0!</v>
      </c>
      <c r="J76" s="196" t="e">
        <f t="shared" si="14"/>
        <v>#DIV/0!</v>
      </c>
      <c r="K76" s="197" t="e">
        <f t="shared" si="15"/>
        <v>#DIV/0!</v>
      </c>
      <c r="L76" s="198" t="e">
        <f t="shared" si="16"/>
        <v>#DIV/0!</v>
      </c>
      <c r="M76" s="199" t="s">
        <v>165</v>
      </c>
    </row>
    <row r="77" spans="1:18" x14ac:dyDescent="0.35">
      <c r="A77" s="191" t="s">
        <v>168</v>
      </c>
      <c r="B77" s="192" t="str">
        <f>B76</f>
        <v>F0-0</v>
      </c>
      <c r="C77" s="200"/>
      <c r="D77" s="194">
        <f t="shared" si="11"/>
        <v>0</v>
      </c>
      <c r="E77" s="201"/>
      <c r="F77" s="201"/>
      <c r="G77" s="201"/>
      <c r="H77" s="193">
        <f t="shared" si="13"/>
        <v>0</v>
      </c>
      <c r="I77" s="194">
        <f t="shared" si="12"/>
        <v>0</v>
      </c>
      <c r="J77" s="196" t="e">
        <f t="shared" si="14"/>
        <v>#DIV/0!</v>
      </c>
      <c r="K77" s="197" t="e">
        <f t="shared" si="15"/>
        <v>#DIV/0!</v>
      </c>
      <c r="L77" s="198" t="e">
        <f t="shared" si="16"/>
        <v>#DIV/0!</v>
      </c>
      <c r="M77" s="199" t="s">
        <v>166</v>
      </c>
    </row>
    <row r="78" spans="1:18" x14ac:dyDescent="0.35">
      <c r="A78" s="202" t="s">
        <v>169</v>
      </c>
      <c r="B78" s="203" t="str">
        <f t="array" ref="B78">"F"&amp;MIN(IF($A$8:$A$68=1,$B$8:$B$68,""),IF($A$8:$A$68=2,$B$8:$B$68,""),IF($A$8:$A$68=3,$B$8:$B$68,""),IF($A$8:$A$68=4,$B$8:$B$68,""))&amp;"-"&amp;MAX(IF($A$8:$A$68=1,$B$8:$B$68,""),IF($A$8:$A$68=2,$B$8:$B$68,""),IF($A$8:$A$68=3,$B$8:$B$68,""),IF($A$8:$A$68=4,$B$8:$B$68,""))</f>
        <v>F0-0</v>
      </c>
      <c r="C78" s="204">
        <f>SUMIF(A8:A68,"=1",G8:G68)+SUMIF(A8:A68,"=2",G8:G68)+SUMIF(A8:A68,"=3",G8:G68)+SUMIF(A8:A68,"=4",G8:G68)</f>
        <v>0</v>
      </c>
      <c r="D78" s="205">
        <f t="shared" si="11"/>
        <v>0</v>
      </c>
      <c r="E78" s="206" t="e">
        <f>(SUMIF($A$7:$A$68,"=1",L7:L68)+SUMIF($A$7:$A$68,"=2",L7:L68)+SUMIF($A$7:$A$68,"=3",L7:L68)+SUMIF($A$7:$A$68,"=4",L7:L68))/$C$78</f>
        <v>#DIV/0!</v>
      </c>
      <c r="F78" s="206" t="e">
        <f>(SUMIF($A$7:$A$68,"=1",N7:N68)+SUMIF($A$7:$A$68,"=2",N7:N68)+SUMIF($A$7:$A$68,"=3",N7:N68)+SUMIF($A$7:$A$68,"=4",N7:N68))/$C$78</f>
        <v>#DIV/0!</v>
      </c>
      <c r="G78" s="206" t="e">
        <f>(SUMIF($A$7:$A$68,"=1",O6:O68)+SUMIF($A$7:$A$68,"=2",O6:O68)+SUMIF($A$7:$A$68,"=3",O6:O68)+SUMIF($A$7:$A$68,"=4",O6:O68))/$C$78</f>
        <v>#DIV/0!</v>
      </c>
      <c r="H78" s="204" t="e">
        <f t="shared" si="13"/>
        <v>#DIV/0!</v>
      </c>
      <c r="I78" s="205" t="e">
        <f t="shared" si="12"/>
        <v>#DIV/0!</v>
      </c>
      <c r="J78" s="207" t="e">
        <f t="shared" si="14"/>
        <v>#DIV/0!</v>
      </c>
      <c r="K78" s="208" t="e">
        <f t="shared" si="15"/>
        <v>#DIV/0!</v>
      </c>
      <c r="L78" s="209" t="e">
        <f t="shared" si="16"/>
        <v>#DIV/0!</v>
      </c>
      <c r="M78" s="210" t="s">
        <v>165</v>
      </c>
    </row>
    <row r="79" spans="1:18" x14ac:dyDescent="0.35">
      <c r="A79" s="202" t="s">
        <v>169</v>
      </c>
      <c r="B79" s="203" t="str">
        <f>B78</f>
        <v>F0-0</v>
      </c>
      <c r="C79" s="211"/>
      <c r="D79" s="205">
        <f t="shared" si="11"/>
        <v>0</v>
      </c>
      <c r="E79" s="212"/>
      <c r="F79" s="212"/>
      <c r="G79" s="212"/>
      <c r="H79" s="204">
        <f t="shared" si="13"/>
        <v>0</v>
      </c>
      <c r="I79" s="205">
        <f t="shared" si="12"/>
        <v>0</v>
      </c>
      <c r="J79" s="207" t="e">
        <f t="shared" si="14"/>
        <v>#DIV/0!</v>
      </c>
      <c r="K79" s="208" t="e">
        <f t="shared" si="15"/>
        <v>#DIV/0!</v>
      </c>
      <c r="L79" s="209" t="e">
        <f t="shared" si="16"/>
        <v>#DIV/0!</v>
      </c>
      <c r="M79" s="213" t="s">
        <v>166</v>
      </c>
    </row>
    <row r="80" spans="1:18" x14ac:dyDescent="0.35">
      <c r="A80" s="214" t="s">
        <v>170</v>
      </c>
      <c r="B80" s="215" t="str">
        <f t="array" ref="B80">"F"&amp;MIN(IF($A$8:$A$68=1,$B$8:$B$68,""),IF($A$8:$A$68=2,$B$8:$B$68,""),IF($A$8:$A$68=3,$B$8:$B$68,""),IF($A$8:$A$68=4,$B$8:$B$68,""),IF($A$8:$A$68=5,$B$8:$B$68,""))&amp;"-"&amp;MAX(IF($A$8:$A$68=1,$B$8:$B$68,""),IF($A$8:$A$68=2,$B$8:$B$68,""),IF($A$8:$A$68=3,$B$8:$B$68,""),IF($A$8:$A$68=4,$B$8:$B$68,""),IF($A$8:$A$68=5,$B$8:$B$68,""))</f>
        <v>F0-0</v>
      </c>
      <c r="C80" s="216">
        <f>SUMIF(A8:A68,"=1",G8:G68)+SUMIF(A8:A68,"=2",G8:G68)+SUMIF(A8:A68,"=3",G8:G68)+SUMIF(A8:A68,"=4",G8:G68)+SUMIF(A8:A68,"=5",G8:G68)</f>
        <v>0</v>
      </c>
      <c r="D80" s="217">
        <f t="shared" si="11"/>
        <v>0</v>
      </c>
      <c r="E80" s="218" t="e">
        <f>(SUMIF($A$7:$A$68,"=1",L7:L68)+SUMIF($A$7:$A$68,"=2",L7:L68)+SUMIF($A$7:$A$68,"=3",L7:L68)+SUMIF($A$7:$A$68,"=4",L7:L68)+SUMIF($A$7:$A$68,"=5",L7:L68))/$C$80</f>
        <v>#DIV/0!</v>
      </c>
      <c r="F80" s="218" t="e">
        <f>(SUMIF($A$7:$A$68,"=1",N7:N68)+SUMIF($A$7:$A$68,"=2",N7:N68)+SUMIF($A$7:$A$68,"=3",N7:N68)+SUMIF($A$7:$A$68,"=4",N7:N68)+SUMIF($A$7:$A$68,"=5",N7:N68))/$C$80</f>
        <v>#DIV/0!</v>
      </c>
      <c r="G80" s="218" t="e">
        <f>(SUMIF($A$7:$A$68,"=1",O6:O68)+SUMIF($A$7:$A$68,"=2",O6:O68)+SUMIF($A$7:$A$68,"=3",O6:O68)+SUMIF($A$7:$A$68,"=4",O6:O68)+SUMIF($A$7:$A$68,"=5",O6:O68))/$C$80</f>
        <v>#DIV/0!</v>
      </c>
      <c r="H80" s="219" t="e">
        <f t="shared" si="13"/>
        <v>#DIV/0!</v>
      </c>
      <c r="I80" s="217" t="e">
        <f t="shared" si="12"/>
        <v>#DIV/0!</v>
      </c>
      <c r="J80" s="220" t="e">
        <f t="shared" si="14"/>
        <v>#DIV/0!</v>
      </c>
      <c r="K80" s="221" t="e">
        <f t="shared" si="15"/>
        <v>#DIV/0!</v>
      </c>
      <c r="L80" s="222" t="e">
        <f t="shared" si="16"/>
        <v>#DIV/0!</v>
      </c>
      <c r="M80" s="223" t="s">
        <v>165</v>
      </c>
    </row>
    <row r="81" spans="1:13" x14ac:dyDescent="0.35">
      <c r="A81" s="214" t="s">
        <v>170</v>
      </c>
      <c r="B81" s="215" t="str">
        <f>B80</f>
        <v>F0-0</v>
      </c>
      <c r="C81" s="224"/>
      <c r="D81" s="217">
        <f t="shared" si="11"/>
        <v>0</v>
      </c>
      <c r="E81" s="225"/>
      <c r="F81" s="225"/>
      <c r="G81" s="225"/>
      <c r="H81" s="216">
        <f t="shared" si="13"/>
        <v>0</v>
      </c>
      <c r="I81" s="217">
        <f t="shared" si="12"/>
        <v>0</v>
      </c>
      <c r="J81" s="220" t="e">
        <f t="shared" si="14"/>
        <v>#DIV/0!</v>
      </c>
      <c r="K81" s="221" t="e">
        <f t="shared" si="15"/>
        <v>#DIV/0!</v>
      </c>
      <c r="L81" s="222" t="e">
        <f t="shared" si="16"/>
        <v>#DIV/0!</v>
      </c>
      <c r="M81" s="226" t="s">
        <v>166</v>
      </c>
    </row>
    <row r="82" spans="1:13" x14ac:dyDescent="0.35">
      <c r="A82" s="227" t="s">
        <v>171</v>
      </c>
      <c r="B82" s="228" t="str">
        <f t="array" ref="B82">"F"&amp;MIN(IF($A$8:$A$68=1,$B$8:$B$68,""),IF($A$8:$A$68=2,$B$8:$B$68,""),IF($A$8:$A$68=3,$B$8:$B$68,""),IF($A$8:$A$68=4,$B$8:$B$68,""),IF($A$8:$A$68=5,$B$8:$B$68,""),IF($A$8:$A$68=6,$B$8:$B$68,""))&amp;"-"&amp;MAX(IF($A$8:$A$68=1,$B$8:$B$68,""),IF($A$8:$A$68=2,$B$8:$B$68,""),IF($A$8:$A$68=3,$B$8:$B$68,""),IF($A$8:$A$68=4,$B$8:$B$68,""),IF($A$8:$A$68=5,$B$8:$B$68,""),IF($A$8:$A$68=6,$B$8:$B$68,""))</f>
        <v>F0-0</v>
      </c>
      <c r="C82" s="229">
        <f>SUMIF(A8:A68,"=1",G8:G68)+SUMIF(A8:A68,"=2",G8:G68)+SUMIF(A8:A68,"=3",G8:G68)+SUMIF(A8:A68,"=4",G8:G68)+SUMIF(A8:A68,"=5",G8:G68)+SUMIF(A8:A68,"=6",G8:G68)</f>
        <v>0</v>
      </c>
      <c r="D82" s="230">
        <f t="shared" si="11"/>
        <v>0</v>
      </c>
      <c r="E82" s="231" t="e">
        <f ca="1">(SUMIF($A$7:$A$68,"=1",L7:L68)+SUMIF($A$7:$A$68,"=2",L7:L68)+SUMIF($A$7:$A$68,"=3",L7:L68)+SUMIF($A$7:$A$68,"=4",L7:L68)+SUMIF($A$7:$A$68,"=5",L7:L68)+SUMIF($A$7:$A$68,"=6",L9:L68))/$C$82</f>
        <v>#DIV/0!</v>
      </c>
      <c r="F82" s="231" t="e">
        <f>(SUMIF($A$7:$A$68,"=1",N7:N68)+SUMIF($A$7:$A$68,"=2",N7:N68)+SUMIF($A$7:$A$68,"=3",N7:N68)+SUMIF($A$7:$A$68,"=4",N7:N68)+SUMIF($A$7:$A$68,"=5",N7:N68)+SUMIF($A$7:$A$68,"=6",N7:N68))/$C$82</f>
        <v>#DIV/0!</v>
      </c>
      <c r="G82" s="231" t="e">
        <f>(SUMIF($A$7:$A$68,"=1",O6:O68)+SUMIF($A$7:$A$68,"=2",O6:O68)+SUMIF($A$7:$A$68,"=3",O6:O68)+SUMIF($A$7:$A$68,"=4",O6:O68)+SUMIF($A$7:$A$68,"=5",O6:O68)+SUMIF($A$7:$A$68,"=6",O6:O68))/$C$82</f>
        <v>#DIV/0!</v>
      </c>
      <c r="H82" s="232" t="e">
        <f t="shared" ca="1" si="13"/>
        <v>#DIV/0!</v>
      </c>
      <c r="I82" s="230" t="e">
        <f t="shared" ca="1" si="12"/>
        <v>#DIV/0!</v>
      </c>
      <c r="J82" s="233" t="e">
        <f t="shared" si="14"/>
        <v>#DIV/0!</v>
      </c>
      <c r="K82" s="234" t="e">
        <f t="shared" si="15"/>
        <v>#DIV/0!</v>
      </c>
      <c r="L82" s="235" t="e">
        <f t="shared" ca="1" si="16"/>
        <v>#DIV/0!</v>
      </c>
      <c r="M82" s="236" t="s">
        <v>165</v>
      </c>
    </row>
    <row r="83" spans="1:13" x14ac:dyDescent="0.35">
      <c r="A83" s="227" t="s">
        <v>171</v>
      </c>
      <c r="B83" s="228" t="str">
        <f>B82</f>
        <v>F0-0</v>
      </c>
      <c r="C83" s="237"/>
      <c r="D83" s="230">
        <f t="shared" si="11"/>
        <v>0</v>
      </c>
      <c r="E83" s="238"/>
      <c r="F83" s="238"/>
      <c r="G83" s="238"/>
      <c r="H83" s="232">
        <f t="shared" si="13"/>
        <v>0</v>
      </c>
      <c r="I83" s="239">
        <f t="shared" si="12"/>
        <v>0</v>
      </c>
      <c r="J83" s="233" t="e">
        <f t="shared" si="14"/>
        <v>#DIV/0!</v>
      </c>
      <c r="K83" s="234" t="e">
        <f t="shared" si="15"/>
        <v>#DIV/0!</v>
      </c>
      <c r="L83" s="235" t="e">
        <f t="shared" si="16"/>
        <v>#DIV/0!</v>
      </c>
      <c r="M83" s="240" t="s">
        <v>166</v>
      </c>
    </row>
    <row r="84" spans="1:13" ht="15" thickBot="1" x14ac:dyDescent="0.4">
      <c r="A84" s="241"/>
      <c r="B84" s="242"/>
      <c r="C84" s="242"/>
      <c r="D84" s="242"/>
      <c r="E84" s="242"/>
      <c r="F84" s="243"/>
      <c r="G84" s="242"/>
      <c r="H84" s="243"/>
      <c r="I84" s="242"/>
      <c r="J84" s="244"/>
      <c r="K84" s="244"/>
      <c r="L84" s="244"/>
      <c r="M84" s="245"/>
    </row>
    <row r="85" spans="1:13" x14ac:dyDescent="0.35">
      <c r="A85" s="246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</row>
    <row r="86" spans="1:13" x14ac:dyDescent="0.35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</row>
    <row r="87" spans="1:13" x14ac:dyDescent="0.35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</row>
    <row r="88" spans="1:13" x14ac:dyDescent="0.35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</row>
    <row r="89" spans="1:13" x14ac:dyDescent="0.35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</row>
    <row r="90" spans="1:13" x14ac:dyDescent="0.35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</row>
    <row r="91" spans="1:13" x14ac:dyDescent="0.35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</row>
    <row r="92" spans="1:13" x14ac:dyDescent="0.35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</row>
    <row r="93" spans="1:13" x14ac:dyDescent="0.35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</row>
    <row r="94" spans="1:13" x14ac:dyDescent="0.35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</row>
    <row r="95" spans="1:13" x14ac:dyDescent="0.3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</row>
    <row r="96" spans="1:13" x14ac:dyDescent="0.35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</row>
    <row r="97" spans="1:13" x14ac:dyDescent="0.35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</row>
    <row r="98" spans="1:13" x14ac:dyDescent="0.35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</row>
    <row r="99" spans="1:13" x14ac:dyDescent="0.35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</row>
    <row r="100" spans="1:13" x14ac:dyDescent="0.35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</row>
    <row r="101" spans="1:13" x14ac:dyDescent="0.35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</row>
    <row r="102" spans="1:13" x14ac:dyDescent="0.35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</row>
    <row r="103" spans="1:13" x14ac:dyDescent="0.35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</row>
    <row r="104" spans="1:13" x14ac:dyDescent="0.35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</row>
    <row r="105" spans="1:13" x14ac:dyDescent="0.3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</row>
    <row r="106" spans="1:13" x14ac:dyDescent="0.35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</row>
    <row r="107" spans="1:13" x14ac:dyDescent="0.35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</row>
    <row r="108" spans="1:13" x14ac:dyDescent="0.35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</row>
    <row r="109" spans="1:13" x14ac:dyDescent="0.35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</row>
    <row r="110" spans="1:13" x14ac:dyDescent="0.35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</row>
    <row r="111" spans="1:13" x14ac:dyDescent="0.35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</row>
    <row r="112" spans="1:13" x14ac:dyDescent="0.35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</row>
    <row r="113" spans="1:13" x14ac:dyDescent="0.35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</row>
    <row r="114" spans="1:13" x14ac:dyDescent="0.35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</row>
    <row r="115" spans="1:13" x14ac:dyDescent="0.3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</row>
    <row r="116" spans="1:13" x14ac:dyDescent="0.35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</row>
    <row r="117" spans="1:13" x14ac:dyDescent="0.35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</row>
    <row r="118" spans="1:13" x14ac:dyDescent="0.35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</row>
    <row r="119" spans="1:13" x14ac:dyDescent="0.35">
      <c r="A119" s="247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</row>
    <row r="120" spans="1:13" x14ac:dyDescent="0.35">
      <c r="A120" s="247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</row>
    <row r="121" spans="1:13" x14ac:dyDescent="0.35">
      <c r="A121" s="247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</row>
    <row r="122" spans="1:13" x14ac:dyDescent="0.35">
      <c r="A122" s="247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</row>
    <row r="123" spans="1:13" x14ac:dyDescent="0.35">
      <c r="A123" s="247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</row>
    <row r="124" spans="1:13" x14ac:dyDescent="0.35">
      <c r="A124" s="247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</row>
    <row r="125" spans="1:13" x14ac:dyDescent="0.35">
      <c r="A125" s="247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</row>
    <row r="126" spans="1:13" x14ac:dyDescent="0.35">
      <c r="A126" s="247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</row>
    <row r="127" spans="1:13" x14ac:dyDescent="0.35">
      <c r="A127" s="247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</row>
    <row r="128" spans="1:13" x14ac:dyDescent="0.35">
      <c r="A128" s="247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</row>
    <row r="129" spans="1:13" x14ac:dyDescent="0.35">
      <c r="A129" s="247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</row>
    <row r="130" spans="1:13" x14ac:dyDescent="0.35">
      <c r="A130" s="247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</row>
    <row r="131" spans="1:13" x14ac:dyDescent="0.35">
      <c r="A131" s="247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</row>
    <row r="132" spans="1:13" x14ac:dyDescent="0.35">
      <c r="A132" s="247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</row>
    <row r="133" spans="1:13" x14ac:dyDescent="0.35">
      <c r="A133" s="247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</row>
    <row r="134" spans="1:13" x14ac:dyDescent="0.35">
      <c r="A134" s="247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</row>
    <row r="135" spans="1:13" x14ac:dyDescent="0.35">
      <c r="A135" s="247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</row>
    <row r="136" spans="1:13" x14ac:dyDescent="0.35">
      <c r="A136" s="247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</row>
    <row r="137" spans="1:13" x14ac:dyDescent="0.35">
      <c r="A137" s="247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</row>
    <row r="138" spans="1:13" x14ac:dyDescent="0.35">
      <c r="A138" s="247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</row>
    <row r="139" spans="1:13" x14ac:dyDescent="0.35">
      <c r="A139" s="247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</row>
    <row r="140" spans="1:13" x14ac:dyDescent="0.35">
      <c r="A140" s="247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</row>
    <row r="141" spans="1:13" x14ac:dyDescent="0.35">
      <c r="A141" s="247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</row>
    <row r="142" spans="1:13" x14ac:dyDescent="0.35">
      <c r="A142" s="248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</row>
    <row r="143" spans="1:13" x14ac:dyDescent="0.35">
      <c r="A143" s="249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</row>
    <row r="144" spans="1:13" x14ac:dyDescent="0.35">
      <c r="A144" s="249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</row>
    <row r="145" spans="1:13" x14ac:dyDescent="0.35">
      <c r="A145" s="249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</row>
    <row r="146" spans="1:13" x14ac:dyDescent="0.35">
      <c r="A146" s="249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</row>
    <row r="147" spans="1:13" x14ac:dyDescent="0.35">
      <c r="A147" s="249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</row>
    <row r="148" spans="1:13" x14ac:dyDescent="0.35">
      <c r="A148" s="249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</row>
    <row r="149" spans="1:13" x14ac:dyDescent="0.35">
      <c r="A149" s="249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</row>
    <row r="150" spans="1:13" x14ac:dyDescent="0.35">
      <c r="A150" s="249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</row>
    <row r="151" spans="1:13" x14ac:dyDescent="0.35">
      <c r="A151" s="249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</row>
    <row r="152" spans="1:13" x14ac:dyDescent="0.35">
      <c r="A152" s="249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</row>
    <row r="153" spans="1:13" x14ac:dyDescent="0.35">
      <c r="A153" s="249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</row>
    <row r="154" spans="1:13" x14ac:dyDescent="0.35">
      <c r="A154" s="249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</row>
    <row r="155" spans="1:13" x14ac:dyDescent="0.35">
      <c r="A155" s="249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</row>
    <row r="156" spans="1:13" x14ac:dyDescent="0.35">
      <c r="A156" s="249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</row>
    <row r="157" spans="1:13" x14ac:dyDescent="0.35">
      <c r="A157" s="249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</row>
    <row r="158" spans="1:13" x14ac:dyDescent="0.35">
      <c r="A158" s="249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</row>
    <row r="159" spans="1:13" x14ac:dyDescent="0.35">
      <c r="A159" s="249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</row>
    <row r="160" spans="1:13" x14ac:dyDescent="0.35">
      <c r="A160" s="249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</row>
    <row r="161" spans="1:13" x14ac:dyDescent="0.35">
      <c r="A161" s="249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</row>
    <row r="162" spans="1:13" x14ac:dyDescent="0.35">
      <c r="A162" s="249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</row>
    <row r="163" spans="1:13" x14ac:dyDescent="0.35">
      <c r="A163" s="249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</row>
    <row r="164" spans="1:13" x14ac:dyDescent="0.35">
      <c r="A164" s="249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</row>
    <row r="165" spans="1:13" x14ac:dyDescent="0.35">
      <c r="A165" s="249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</row>
    <row r="166" spans="1:13" x14ac:dyDescent="0.35">
      <c r="A166" s="249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</row>
    <row r="167" spans="1:13" x14ac:dyDescent="0.35">
      <c r="A167" s="249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</row>
    <row r="168" spans="1:13" x14ac:dyDescent="0.35">
      <c r="A168" s="249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</row>
    <row r="169" spans="1:13" x14ac:dyDescent="0.35">
      <c r="A169" s="249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</row>
    <row r="170" spans="1:13" x14ac:dyDescent="0.35">
      <c r="A170" s="249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</row>
    <row r="171" spans="1:13" x14ac:dyDescent="0.35">
      <c r="A171" s="249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</row>
    <row r="172" spans="1:13" x14ac:dyDescent="0.35">
      <c r="A172" s="249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</row>
    <row r="173" spans="1:13" x14ac:dyDescent="0.35">
      <c r="A173" s="249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</row>
    <row r="174" spans="1:13" x14ac:dyDescent="0.35">
      <c r="A174" s="249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</row>
    <row r="175" spans="1:13" x14ac:dyDescent="0.35">
      <c r="A175" s="249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</row>
    <row r="176" spans="1:13" x14ac:dyDescent="0.35">
      <c r="A176" s="249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</row>
    <row r="177" spans="1:13" x14ac:dyDescent="0.35">
      <c r="A177" s="249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</row>
    <row r="178" spans="1:13" x14ac:dyDescent="0.35">
      <c r="A178" s="249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</row>
    <row r="179" spans="1:13" x14ac:dyDescent="0.35">
      <c r="A179" s="249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</row>
    <row r="180" spans="1:13" x14ac:dyDescent="0.35">
      <c r="A180" s="249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</row>
    <row r="181" spans="1:13" x14ac:dyDescent="0.35">
      <c r="A181" s="249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</row>
    <row r="182" spans="1:13" x14ac:dyDescent="0.35">
      <c r="A182" s="249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</row>
    <row r="183" spans="1:13" x14ac:dyDescent="0.35">
      <c r="A183" s="249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</row>
    <row r="184" spans="1:13" x14ac:dyDescent="0.35">
      <c r="A184" s="249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</row>
    <row r="185" spans="1:13" x14ac:dyDescent="0.35">
      <c r="A185" s="249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</row>
    <row r="186" spans="1:13" x14ac:dyDescent="0.35">
      <c r="A186" s="249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</row>
    <row r="187" spans="1:13" x14ac:dyDescent="0.35">
      <c r="A187" s="249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</row>
    <row r="188" spans="1:13" x14ac:dyDescent="0.35">
      <c r="A188" s="249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</row>
    <row r="189" spans="1:13" x14ac:dyDescent="0.35">
      <c r="A189" s="249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</row>
    <row r="190" spans="1:13" x14ac:dyDescent="0.35">
      <c r="A190" s="249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</row>
    <row r="191" spans="1:13" x14ac:dyDescent="0.35">
      <c r="A191" s="249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</row>
    <row r="192" spans="1:13" x14ac:dyDescent="0.35">
      <c r="A192" s="249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</row>
    <row r="193" spans="1:13" x14ac:dyDescent="0.35">
      <c r="A193" s="249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</row>
    <row r="194" spans="1:13" x14ac:dyDescent="0.35">
      <c r="A194" s="249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</row>
    <row r="195" spans="1:13" x14ac:dyDescent="0.35">
      <c r="A195" s="249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</row>
    <row r="196" spans="1:13" x14ac:dyDescent="0.35">
      <c r="A196" s="249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</row>
    <row r="197" spans="1:13" x14ac:dyDescent="0.35">
      <c r="A197" s="249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</row>
    <row r="198" spans="1:13" x14ac:dyDescent="0.35">
      <c r="A198" s="249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</row>
    <row r="199" spans="1:13" x14ac:dyDescent="0.35">
      <c r="A199" s="249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</row>
    <row r="200" spans="1:13" x14ac:dyDescent="0.35">
      <c r="A200" s="249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</row>
    <row r="201" spans="1:13" x14ac:dyDescent="0.35">
      <c r="A201" s="249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</row>
    <row r="202" spans="1:13" x14ac:dyDescent="0.35">
      <c r="A202" s="249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</row>
    <row r="203" spans="1:13" x14ac:dyDescent="0.35">
      <c r="A203" s="249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</row>
    <row r="204" spans="1:13" x14ac:dyDescent="0.35">
      <c r="A204" s="249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</row>
    <row r="205" spans="1:13" x14ac:dyDescent="0.35">
      <c r="A205" s="249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</row>
    <row r="206" spans="1:13" x14ac:dyDescent="0.35">
      <c r="A206" s="249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</row>
    <row r="207" spans="1:13" x14ac:dyDescent="0.35">
      <c r="A207" s="249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</row>
    <row r="208" spans="1:13" x14ac:dyDescent="0.35">
      <c r="A208" s="249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</row>
    <row r="209" spans="1:13" x14ac:dyDescent="0.35">
      <c r="A209" s="249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</row>
    <row r="210" spans="1:13" x14ac:dyDescent="0.35">
      <c r="A210" s="249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</row>
    <row r="211" spans="1:13" x14ac:dyDescent="0.35">
      <c r="A211" s="249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</row>
    <row r="212" spans="1:13" x14ac:dyDescent="0.35">
      <c r="A212" s="249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</row>
    <row r="213" spans="1:13" x14ac:dyDescent="0.35">
      <c r="A213" s="249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</row>
    <row r="214" spans="1:13" x14ac:dyDescent="0.35">
      <c r="A214" s="249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</row>
    <row r="215" spans="1:13" x14ac:dyDescent="0.35">
      <c r="A215" s="249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</row>
    <row r="216" spans="1:13" x14ac:dyDescent="0.35">
      <c r="A216" s="249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</row>
    <row r="217" spans="1:13" x14ac:dyDescent="0.35">
      <c r="A217" s="249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</row>
    <row r="218" spans="1:13" x14ac:dyDescent="0.35">
      <c r="A218" s="249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</row>
    <row r="219" spans="1:13" x14ac:dyDescent="0.35">
      <c r="A219" s="249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</row>
    <row r="220" spans="1:13" x14ac:dyDescent="0.35">
      <c r="A220" s="249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</row>
    <row r="221" spans="1:13" x14ac:dyDescent="0.35">
      <c r="A221" s="249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</row>
    <row r="222" spans="1:13" x14ac:dyDescent="0.35">
      <c r="A222" s="249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</row>
    <row r="223" spans="1:13" x14ac:dyDescent="0.35">
      <c r="A223" s="249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</row>
    <row r="224" spans="1:13" x14ac:dyDescent="0.35">
      <c r="A224" s="249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</row>
    <row r="225" spans="1:13" x14ac:dyDescent="0.35">
      <c r="A225" s="249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</row>
    <row r="226" spans="1:13" x14ac:dyDescent="0.35">
      <c r="A226" s="249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</row>
    <row r="227" spans="1:13" x14ac:dyDescent="0.35">
      <c r="A227" s="249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</row>
    <row r="228" spans="1:13" x14ac:dyDescent="0.35">
      <c r="A228" s="249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</row>
    <row r="229" spans="1:13" x14ac:dyDescent="0.35">
      <c r="A229" s="249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</row>
    <row r="230" spans="1:13" x14ac:dyDescent="0.35">
      <c r="A230" s="249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</row>
    <row r="231" spans="1:13" x14ac:dyDescent="0.35">
      <c r="A231" s="249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</row>
    <row r="232" spans="1:13" x14ac:dyDescent="0.35">
      <c r="A232" s="249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</row>
    <row r="233" spans="1:13" x14ac:dyDescent="0.35">
      <c r="A233" s="249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</row>
    <row r="234" spans="1:13" x14ac:dyDescent="0.35">
      <c r="A234" s="249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</row>
    <row r="235" spans="1:13" x14ac:dyDescent="0.35">
      <c r="A235" s="249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</row>
    <row r="236" spans="1:13" x14ac:dyDescent="0.35">
      <c r="A236" s="249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</row>
    <row r="237" spans="1:13" x14ac:dyDescent="0.35">
      <c r="A237" s="249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</row>
    <row r="238" spans="1:13" x14ac:dyDescent="0.35">
      <c r="A238" s="249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</row>
    <row r="239" spans="1:13" x14ac:dyDescent="0.35">
      <c r="A239" s="249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</row>
    <row r="240" spans="1:13" x14ac:dyDescent="0.35">
      <c r="A240" s="249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</row>
    <row r="241" spans="1:13" x14ac:dyDescent="0.35">
      <c r="A241" s="249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</row>
    <row r="242" spans="1:13" x14ac:dyDescent="0.35">
      <c r="A242" s="249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</row>
    <row r="243" spans="1:13" x14ac:dyDescent="0.35">
      <c r="A243" s="249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</row>
    <row r="244" spans="1:13" x14ac:dyDescent="0.35">
      <c r="A244" s="249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</row>
    <row r="245" spans="1:13" x14ac:dyDescent="0.35">
      <c r="A245" s="249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</row>
    <row r="246" spans="1:13" x14ac:dyDescent="0.35">
      <c r="A246" s="249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</row>
    <row r="247" spans="1:13" x14ac:dyDescent="0.35">
      <c r="A247" s="249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</row>
    <row r="248" spans="1:13" x14ac:dyDescent="0.35">
      <c r="A248" s="249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</row>
    <row r="249" spans="1:13" x14ac:dyDescent="0.35">
      <c r="A249" s="249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</row>
    <row r="250" spans="1:13" x14ac:dyDescent="0.35">
      <c r="A250" s="249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</row>
    <row r="251" spans="1:13" x14ac:dyDescent="0.35">
      <c r="A251" s="249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</row>
    <row r="252" spans="1:13" x14ac:dyDescent="0.35">
      <c r="A252" s="249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</row>
    <row r="253" spans="1:13" x14ac:dyDescent="0.35">
      <c r="A253" s="249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</row>
    <row r="254" spans="1:13" x14ac:dyDescent="0.35">
      <c r="A254" s="249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</row>
    <row r="255" spans="1:13" x14ac:dyDescent="0.35">
      <c r="A255" s="249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</row>
    <row r="256" spans="1:13" x14ac:dyDescent="0.35">
      <c r="A256" s="249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</row>
    <row r="257" spans="1:13" x14ac:dyDescent="0.35">
      <c r="A257" s="249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</row>
    <row r="258" spans="1:13" x14ac:dyDescent="0.35">
      <c r="A258" s="249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</row>
    <row r="259" spans="1:13" x14ac:dyDescent="0.35">
      <c r="A259" s="249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</row>
    <row r="260" spans="1:13" x14ac:dyDescent="0.35">
      <c r="A260" s="249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</row>
    <row r="261" spans="1:13" x14ac:dyDescent="0.35">
      <c r="A261" s="249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</row>
    <row r="262" spans="1:13" x14ac:dyDescent="0.35">
      <c r="A262" s="249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</row>
    <row r="263" spans="1:13" x14ac:dyDescent="0.35">
      <c r="A263" s="249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</row>
    <row r="264" spans="1:13" x14ac:dyDescent="0.35">
      <c r="A264" s="249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</row>
    <row r="265" spans="1:13" x14ac:dyDescent="0.35">
      <c r="A265" s="249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</row>
    <row r="266" spans="1:13" x14ac:dyDescent="0.35">
      <c r="A266" s="249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</row>
    <row r="267" spans="1:13" x14ac:dyDescent="0.35">
      <c r="A267" s="249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</row>
    <row r="268" spans="1:13" x14ac:dyDescent="0.35">
      <c r="A268" s="249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</row>
    <row r="269" spans="1:13" x14ac:dyDescent="0.35">
      <c r="A269" s="249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</row>
    <row r="270" spans="1:13" x14ac:dyDescent="0.35">
      <c r="A270" s="249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</row>
    <row r="271" spans="1:13" x14ac:dyDescent="0.35">
      <c r="A271" s="249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</row>
    <row r="272" spans="1:13" x14ac:dyDescent="0.35">
      <c r="A272" s="249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</row>
    <row r="273" spans="1:13" x14ac:dyDescent="0.35">
      <c r="A273" s="249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</row>
    <row r="274" spans="1:13" x14ac:dyDescent="0.35">
      <c r="A274" s="249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</row>
    <row r="275" spans="1:13" x14ac:dyDescent="0.35">
      <c r="A275" s="249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</row>
    <row r="276" spans="1:13" x14ac:dyDescent="0.35">
      <c r="A276" s="249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</row>
    <row r="277" spans="1:13" x14ac:dyDescent="0.35">
      <c r="A277" s="249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</row>
    <row r="278" spans="1:13" x14ac:dyDescent="0.35">
      <c r="A278" s="249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</row>
    <row r="279" spans="1:13" x14ac:dyDescent="0.35">
      <c r="A279" s="249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</row>
    <row r="280" spans="1:13" x14ac:dyDescent="0.35">
      <c r="A280" s="249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</row>
    <row r="281" spans="1:13" x14ac:dyDescent="0.35">
      <c r="A281" s="249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</row>
    <row r="282" spans="1:13" x14ac:dyDescent="0.35">
      <c r="A282" s="249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</row>
    <row r="283" spans="1:13" x14ac:dyDescent="0.35">
      <c r="A283" s="249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</row>
    <row r="284" spans="1:13" x14ac:dyDescent="0.35">
      <c r="A284" s="249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</row>
    <row r="285" spans="1:13" x14ac:dyDescent="0.35">
      <c r="A285" s="249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</row>
    <row r="286" spans="1:13" x14ac:dyDescent="0.35">
      <c r="A286" s="249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</row>
    <row r="287" spans="1:13" x14ac:dyDescent="0.35">
      <c r="A287" s="249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</row>
    <row r="288" spans="1:13" x14ac:dyDescent="0.35">
      <c r="A288" s="249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</row>
    <row r="289" spans="1:13" x14ac:dyDescent="0.35">
      <c r="A289" s="249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</row>
    <row r="290" spans="1:13" x14ac:dyDescent="0.35">
      <c r="A290" s="249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</row>
    <row r="291" spans="1:13" x14ac:dyDescent="0.35">
      <c r="A291" s="249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</row>
    <row r="292" spans="1:13" x14ac:dyDescent="0.35">
      <c r="A292" s="249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</row>
    <row r="293" spans="1:13" x14ac:dyDescent="0.35">
      <c r="A293" s="249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</row>
    <row r="294" spans="1:13" x14ac:dyDescent="0.35">
      <c r="A294" s="249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</row>
    <row r="295" spans="1:13" x14ac:dyDescent="0.35">
      <c r="A295" s="249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</row>
    <row r="296" spans="1:13" x14ac:dyDescent="0.35">
      <c r="A296" s="249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</row>
    <row r="297" spans="1:13" x14ac:dyDescent="0.35">
      <c r="A297" s="249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</row>
    <row r="298" spans="1:13" x14ac:dyDescent="0.35">
      <c r="A298" s="249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</row>
  </sheetData>
  <mergeCells count="5">
    <mergeCell ref="C1:E1"/>
    <mergeCell ref="C2:D2"/>
    <mergeCell ref="C3:D3"/>
    <mergeCell ref="C4:D4"/>
    <mergeCell ref="B5:J5"/>
  </mergeCells>
  <conditionalFormatting sqref="C7:D68 F7:F68 I7:J68 B8 A8:A68 C1 F2 H2 C2:D4 J2:J4 F4 H4 C73 E73:G73 C75 E75:G75 C77 E77:G77 C79 E79:G79 C81 E81:G81 C83 E83:G83">
    <cfRule type="containsBlanks" dxfId="16" priority="17">
      <formula>LEN(TRIM(A1))=0</formula>
    </cfRule>
  </conditionalFormatting>
  <conditionalFormatting sqref="C7:F7 K7:K12 A7:B68 C8:J12 L8:M68 C13:K68">
    <cfRule type="expression" dxfId="15" priority="11">
      <formula>$A7=6</formula>
    </cfRule>
    <cfRule type="expression" dxfId="14" priority="12">
      <formula>$A7=5</formula>
    </cfRule>
    <cfRule type="expression" dxfId="13" priority="13">
      <formula>$A7=4</formula>
    </cfRule>
    <cfRule type="expression" dxfId="12" priority="14">
      <formula>$A7=3</formula>
    </cfRule>
    <cfRule type="expression" dxfId="11" priority="15">
      <formula>$A7=2</formula>
    </cfRule>
    <cfRule type="expression" dxfId="10" priority="16">
      <formula>$A7=1</formula>
    </cfRule>
  </conditionalFormatting>
  <conditionalFormatting sqref="O7:O68">
    <cfRule type="expression" dxfId="9" priority="7">
      <formula>$A9=6</formula>
    </cfRule>
    <cfRule type="expression" dxfId="8" priority="8">
      <formula>$A9=5</formula>
    </cfRule>
    <cfRule type="expression" dxfId="7" priority="9">
      <formula>$A9=4</formula>
    </cfRule>
    <cfRule type="expression" dxfId="6" priority="10">
      <formula>$A9=2</formula>
    </cfRule>
  </conditionalFormatting>
  <conditionalFormatting sqref="O7:P68">
    <cfRule type="expression" dxfId="5" priority="4">
      <formula>$A9=3</formula>
    </cfRule>
    <cfRule type="expression" dxfId="4" priority="6">
      <formula>$A9=1</formula>
    </cfRule>
  </conditionalFormatting>
  <conditionalFormatting sqref="P7:P68">
    <cfRule type="expression" dxfId="3" priority="1">
      <formula>$A9=6</formula>
    </cfRule>
    <cfRule type="expression" dxfId="2" priority="2">
      <formula>$A9=5</formula>
    </cfRule>
    <cfRule type="expression" dxfId="1" priority="3">
      <formula>$A9=4</formula>
    </cfRule>
    <cfRule type="expression" dxfId="0" priority="5">
      <formula>$A9=2</formula>
    </cfRule>
  </conditionalFormatting>
  <pageMargins left="0.7" right="0.7" top="0.75" bottom="0.75" header="0.3" footer="0.3"/>
  <pageSetup scale="59" orientation="portrait" r:id="rId1"/>
  <colBreaks count="1" manualBreakCount="1">
    <brk id="1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EDA5-C753-45A8-84C0-3E0F2821B73A}">
  <dimension ref="A1:F4"/>
  <sheetViews>
    <sheetView workbookViewId="0"/>
  </sheetViews>
  <sheetFormatPr defaultRowHeight="14.5" x14ac:dyDescent="0.35"/>
  <cols>
    <col min="1" max="1" width="10.1796875" bestFit="1" customWidth="1"/>
    <col min="2" max="2" width="17.81640625" bestFit="1" customWidth="1"/>
    <col min="4" max="4" width="10.81640625" bestFit="1" customWidth="1"/>
    <col min="5" max="5" width="18.81640625" bestFit="1" customWidth="1"/>
  </cols>
  <sheetData>
    <row r="1" spans="1:6" x14ac:dyDescent="0.35">
      <c r="A1" t="s">
        <v>1</v>
      </c>
      <c r="B1" t="s">
        <v>453</v>
      </c>
      <c r="C1" t="s">
        <v>506</v>
      </c>
      <c r="D1" t="s">
        <v>507</v>
      </c>
      <c r="E1" t="s">
        <v>19</v>
      </c>
      <c r="F1" t="s">
        <v>510</v>
      </c>
    </row>
    <row r="2" spans="1:6" x14ac:dyDescent="0.35">
      <c r="A2" s="328">
        <v>45971</v>
      </c>
      <c r="B2" t="s">
        <v>508</v>
      </c>
      <c r="C2">
        <v>6</v>
      </c>
      <c r="D2">
        <v>20.9</v>
      </c>
      <c r="F2" t="s">
        <v>511</v>
      </c>
    </row>
    <row r="3" spans="1:6" x14ac:dyDescent="0.35">
      <c r="A3" s="328">
        <v>45971</v>
      </c>
      <c r="B3" t="s">
        <v>508</v>
      </c>
      <c r="C3">
        <v>5.88</v>
      </c>
      <c r="D3">
        <v>20.9</v>
      </c>
      <c r="E3" t="s">
        <v>509</v>
      </c>
      <c r="F3" t="s">
        <v>511</v>
      </c>
    </row>
    <row r="4" spans="1:6" x14ac:dyDescent="0.35">
      <c r="A4" s="328">
        <v>45971</v>
      </c>
      <c r="B4" t="s">
        <v>512</v>
      </c>
      <c r="C4">
        <v>5.92</v>
      </c>
      <c r="F4" t="s">
        <v>511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70737D-4FA0-44BC-99B7-21BC1D281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183F29-92AE-4C93-A33B-9FCA14FB17A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9b65a21d-a0af-4271-ba34-c61e5c9924fa"/>
    <ds:schemaRef ds:uri="http://www.w3.org/XML/1998/namespace"/>
    <ds:schemaRef ds:uri="http://schemas.microsoft.com/office/infopath/2007/PartnerControls"/>
    <ds:schemaRef ds:uri="61081784-eb1d-4399-bb11-6e20c62c25a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5AC4273-1506-4F66-97D2-F6FD54CBD1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Weekly Plan</vt:lpstr>
      <vt:lpstr>Samples Timeline</vt:lpstr>
      <vt:lpstr>PUR and DESALT Status</vt:lpstr>
      <vt:lpstr>Desalting Sterilization</vt:lpstr>
      <vt:lpstr>Column Sterilization</vt:lpstr>
      <vt:lpstr>PUR Column</vt:lpstr>
      <vt:lpstr>Column Data</vt:lpstr>
      <vt:lpstr>Frac Worksheet</vt:lpstr>
      <vt:lpstr>Salt Ex buffer</vt:lpstr>
      <vt:lpstr>'Frac Worksheet'!Print_Area</vt:lpstr>
      <vt:lpstr>'PUR Column'!Print_Area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Weng</dc:creator>
  <cp:lastModifiedBy>Xiaohui Weng</cp:lastModifiedBy>
  <dcterms:created xsi:type="dcterms:W3CDTF">2025-08-04T18:51:36Z</dcterms:created>
  <dcterms:modified xsi:type="dcterms:W3CDTF">2026-01-27T19:37:01Z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