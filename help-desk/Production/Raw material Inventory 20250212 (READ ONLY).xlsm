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noligo.sharepoint.com/sites/SynoligoFolder/Shared Documents/General/7, Production/"/>
    </mc:Choice>
  </mc:AlternateContent>
  <xr:revisionPtr revIDLastSave="4505" documentId="13_ncr:1_{FCF195E1-FE03-4F0B-B076-90A80C864BFE}" xr6:coauthVersionLast="47" xr6:coauthVersionMax="47" xr10:uidLastSave="{7F7B90A4-08CF-402E-AD11-514CC8D44A54}"/>
  <bookViews>
    <workbookView xWindow="4245" yWindow="1335" windowWidth="21600" windowHeight="14025" firstSheet="2" activeTab="2" xr2:uid="{509A0AC9-9D67-45DF-85A0-29C6CC6B1F89}"/>
  </bookViews>
  <sheets>
    <sheet name="Amidite -old" sheetId="1" state="hidden" r:id="rId1"/>
    <sheet name="Data" sheetId="11" state="hidden" r:id="rId2"/>
    <sheet name="Amidite" sheetId="8" r:id="rId3"/>
    <sheet name="CPG in FRG-01" sheetId="2" r:id="rId4"/>
    <sheet name="Chem, NHS, Customer in FRZ-07" sheetId="3" r:id="rId5"/>
    <sheet name="Solvent" sheetId="10" r:id="rId6"/>
    <sheet name="Other" sheetId="4" state="hidden" r:id="rId7"/>
    <sheet name="Comments" sheetId="6" r:id="rId8"/>
  </sheets>
  <definedNames>
    <definedName name="_xlnm._FilterDatabase" localSheetId="2" hidden="1">Amidite!$A$1:$AP$403</definedName>
    <definedName name="_xlnm._FilterDatabase" localSheetId="0">'Amidite -old'!$A$1:$U$1</definedName>
    <definedName name="_xlnm._FilterDatabase" localSheetId="4" hidden="1">'Chem, NHS, Customer in FRZ-07'!$A$1:$X$74</definedName>
    <definedName name="_xlnm._FilterDatabase" localSheetId="3" hidden="1">'CPG in FRG-01'!$A$1:$T$139</definedName>
    <definedName name="_xlnm._FilterDatabase" localSheetId="6" hidden="1">Other!$A$1:$O$1</definedName>
    <definedName name="_xlnm._FilterDatabase" localSheetId="5" hidden="1">Solvent!$A$1:$R$25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76" i="8" l="1"/>
  <c r="R1" i="10"/>
  <c r="N13" i="2"/>
  <c r="F15" i="2"/>
  <c r="F22" i="8"/>
  <c r="F25" i="8"/>
  <c r="AF25" i="8"/>
  <c r="F179" i="8"/>
  <c r="M6" i="10"/>
  <c r="F6" i="10"/>
  <c r="F91" i="3"/>
  <c r="F4" i="3"/>
  <c r="R4" i="3" s="1"/>
  <c r="F2" i="3"/>
  <c r="F5" i="3"/>
  <c r="R5" i="3" s="1"/>
  <c r="F6" i="3"/>
  <c r="R6" i="3" s="1"/>
  <c r="F7" i="3"/>
  <c r="F8" i="3"/>
  <c r="F9" i="3"/>
  <c r="F10" i="3"/>
  <c r="F11" i="3"/>
  <c r="R11" i="3" s="1"/>
  <c r="F12" i="3"/>
  <c r="R12" i="3" s="1"/>
  <c r="F13" i="3"/>
  <c r="R13" i="3" s="1"/>
  <c r="F14" i="3"/>
  <c r="R14" i="3" s="1"/>
  <c r="F15" i="3"/>
  <c r="R15" i="3" s="1"/>
  <c r="F16" i="3"/>
  <c r="R16" i="3" s="1"/>
  <c r="F17" i="3"/>
  <c r="R17" i="3" s="1"/>
  <c r="F18" i="3"/>
  <c r="R18" i="3" s="1"/>
  <c r="F19" i="3"/>
  <c r="F20" i="3"/>
  <c r="F21" i="3"/>
  <c r="F22" i="3"/>
  <c r="F23" i="3"/>
  <c r="R23" i="3" s="1"/>
  <c r="F24" i="3"/>
  <c r="R24" i="3" s="1"/>
  <c r="F25" i="3"/>
  <c r="R25" i="3" s="1"/>
  <c r="F26" i="3"/>
  <c r="R26" i="3" s="1"/>
  <c r="F27" i="3"/>
  <c r="R27" i="3" s="1"/>
  <c r="F28" i="3"/>
  <c r="R28" i="3" s="1"/>
  <c r="F29" i="3"/>
  <c r="R29" i="3" s="1"/>
  <c r="F30" i="3"/>
  <c r="R30" i="3" s="1"/>
  <c r="F31" i="3"/>
  <c r="R31" i="3" s="1"/>
  <c r="F32" i="3"/>
  <c r="F33" i="3"/>
  <c r="R33" i="3" s="1"/>
  <c r="F34" i="3"/>
  <c r="F35" i="3"/>
  <c r="R35" i="3" s="1"/>
  <c r="F36" i="3"/>
  <c r="R36" i="3" s="1"/>
  <c r="F37" i="3"/>
  <c r="R37" i="3" s="1"/>
  <c r="F38" i="3"/>
  <c r="R38" i="3" s="1"/>
  <c r="F39" i="3"/>
  <c r="R39" i="3" s="1"/>
  <c r="F40" i="3"/>
  <c r="R40" i="3" s="1"/>
  <c r="F41" i="3"/>
  <c r="R41" i="3" s="1"/>
  <c r="F42" i="3"/>
  <c r="R42" i="3" s="1"/>
  <c r="F43" i="3"/>
  <c r="F44" i="3"/>
  <c r="F45" i="3"/>
  <c r="F46" i="3"/>
  <c r="F47" i="3"/>
  <c r="R47" i="3" s="1"/>
  <c r="F48" i="3"/>
  <c r="R48" i="3" s="1"/>
  <c r="F49" i="3"/>
  <c r="R49" i="3" s="1"/>
  <c r="F50" i="3"/>
  <c r="R50" i="3" s="1"/>
  <c r="F51" i="3"/>
  <c r="R51" i="3" s="1"/>
  <c r="F52" i="3"/>
  <c r="R52" i="3" s="1"/>
  <c r="F53" i="3"/>
  <c r="R53" i="3" s="1"/>
  <c r="F54" i="3"/>
  <c r="R54" i="3" s="1"/>
  <c r="F55" i="3"/>
  <c r="F56" i="3"/>
  <c r="F57" i="3"/>
  <c r="F58" i="3"/>
  <c r="F59" i="3"/>
  <c r="R59" i="3" s="1"/>
  <c r="F60" i="3"/>
  <c r="R60" i="3" s="1"/>
  <c r="F61" i="3"/>
  <c r="R61" i="3" s="1"/>
  <c r="F62" i="3"/>
  <c r="R62" i="3" s="1"/>
  <c r="F63" i="3"/>
  <c r="R63" i="3" s="1"/>
  <c r="F64" i="3"/>
  <c r="R64" i="3" s="1"/>
  <c r="F65" i="3"/>
  <c r="R65" i="3" s="1"/>
  <c r="F66" i="3"/>
  <c r="R66" i="3" s="1"/>
  <c r="F67" i="3"/>
  <c r="F68" i="3"/>
  <c r="F69" i="3"/>
  <c r="F70" i="3"/>
  <c r="F71" i="3"/>
  <c r="R71" i="3" s="1"/>
  <c r="F72" i="3"/>
  <c r="R72" i="3" s="1"/>
  <c r="F73" i="3"/>
  <c r="R73" i="3" s="1"/>
  <c r="F74" i="3"/>
  <c r="R74" i="3" s="1"/>
  <c r="F75" i="3"/>
  <c r="R75" i="3" s="1"/>
  <c r="F76" i="3"/>
  <c r="R76" i="3" s="1"/>
  <c r="F77" i="3"/>
  <c r="R77" i="3" s="1"/>
  <c r="F78" i="3"/>
  <c r="R78" i="3" s="1"/>
  <c r="F79" i="3"/>
  <c r="F80" i="3"/>
  <c r="F81" i="3"/>
  <c r="F82" i="3"/>
  <c r="F83" i="3"/>
  <c r="R83" i="3" s="1"/>
  <c r="F84" i="3"/>
  <c r="R84" i="3" s="1"/>
  <c r="F85" i="3"/>
  <c r="R85" i="3" s="1"/>
  <c r="F86" i="3"/>
  <c r="R86" i="3" s="1"/>
  <c r="F87" i="3"/>
  <c r="R87" i="3" s="1"/>
  <c r="F88" i="3"/>
  <c r="R88" i="3" s="1"/>
  <c r="F89" i="3"/>
  <c r="R89" i="3" s="1"/>
  <c r="F90" i="3"/>
  <c r="R90" i="3" s="1"/>
  <c r="F92" i="3"/>
  <c r="F93" i="3"/>
  <c r="F94" i="3"/>
  <c r="F3" i="3"/>
  <c r="R3" i="3" s="1"/>
  <c r="N3" i="2"/>
  <c r="F3" i="2"/>
  <c r="AF22" i="8"/>
  <c r="AF228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24" i="8"/>
  <c r="AF23" i="8"/>
  <c r="AF39" i="8"/>
  <c r="AF11" i="8"/>
  <c r="AF62" i="8"/>
  <c r="AF224" i="8"/>
  <c r="AF225" i="8"/>
  <c r="AF217" i="8"/>
  <c r="AF63" i="8"/>
  <c r="AF222" i="8"/>
  <c r="AF178" i="8"/>
  <c r="AF163" i="8"/>
  <c r="AF179" i="8"/>
  <c r="AF166" i="8"/>
  <c r="AF174" i="8"/>
  <c r="AF177" i="8"/>
  <c r="AF172" i="8"/>
  <c r="AF185" i="8"/>
  <c r="AF173" i="8"/>
  <c r="AF220" i="8"/>
  <c r="AF215" i="8"/>
  <c r="AF180" i="8"/>
  <c r="AF64" i="8"/>
  <c r="AF218" i="8"/>
  <c r="AF181" i="8"/>
  <c r="AF186" i="8"/>
  <c r="AF221" i="8"/>
  <c r="AF182" i="8"/>
  <c r="AF183" i="8"/>
  <c r="AF223" i="8"/>
  <c r="AF18" i="8"/>
  <c r="AF40" i="8"/>
  <c r="AF12" i="8"/>
  <c r="AF6" i="8"/>
  <c r="AF165" i="8"/>
  <c r="AF168" i="8"/>
  <c r="AF169" i="8"/>
  <c r="AF17" i="8"/>
  <c r="AF170" i="8"/>
  <c r="AF20" i="8"/>
  <c r="AF21" i="8"/>
  <c r="AF13" i="8"/>
  <c r="AF14" i="8"/>
  <c r="AF15" i="8"/>
  <c r="AF16" i="8"/>
  <c r="AF226" i="8"/>
  <c r="AF164" i="8"/>
  <c r="AF227" i="8"/>
  <c r="AF184" i="8"/>
  <c r="AF171" i="8"/>
  <c r="AF304" i="8"/>
  <c r="AF305" i="8"/>
  <c r="AF54" i="8"/>
  <c r="AF269" i="8"/>
  <c r="AF241" i="8"/>
  <c r="AF270" i="8"/>
  <c r="AF175" i="8"/>
  <c r="AF73" i="8"/>
  <c r="AF69" i="8"/>
  <c r="AF70" i="8"/>
  <c r="AF19" i="8"/>
  <c r="AF7" i="8"/>
  <c r="AF209" i="8"/>
  <c r="AF210" i="8"/>
  <c r="AF242" i="8"/>
  <c r="AF243" i="8"/>
  <c r="AF8" i="8"/>
  <c r="AF71" i="8"/>
  <c r="AF9" i="8"/>
  <c r="AF233" i="8"/>
  <c r="AF244" i="8"/>
  <c r="AF72" i="8"/>
  <c r="AF245" i="8"/>
  <c r="AF229" i="8"/>
  <c r="AF246" i="8"/>
  <c r="AF74" i="8"/>
  <c r="AF10" i="8"/>
  <c r="AF201" i="8"/>
  <c r="AF247" i="8"/>
  <c r="AF248" i="8"/>
  <c r="AF249" i="8"/>
  <c r="AF41" i="8"/>
  <c r="AF271" i="8"/>
  <c r="AF104" i="8"/>
  <c r="AF234" i="8"/>
  <c r="AF257" i="8"/>
  <c r="AF258" i="8"/>
  <c r="AF152" i="8"/>
  <c r="AF42" i="8"/>
  <c r="AF43" i="8"/>
  <c r="AF44" i="8"/>
  <c r="AF45" i="8"/>
  <c r="AF46" i="8"/>
  <c r="AF55" i="8"/>
  <c r="AF56" i="8"/>
  <c r="AF57" i="8"/>
  <c r="AF58" i="8"/>
  <c r="AF259" i="8"/>
  <c r="AF272" i="8"/>
  <c r="AF273" i="8"/>
  <c r="AF274" i="8"/>
  <c r="AF275" i="8"/>
  <c r="AF276" i="8"/>
  <c r="AF47" i="8"/>
  <c r="AF48" i="8"/>
  <c r="AF49" i="8"/>
  <c r="AF50" i="8"/>
  <c r="AF59" i="8"/>
  <c r="AF60" i="8"/>
  <c r="AF277" i="8"/>
  <c r="AF278" i="8"/>
  <c r="AF235" i="8"/>
  <c r="AF153" i="8"/>
  <c r="AF279" i="8"/>
  <c r="AF280" i="8"/>
  <c r="AF154" i="8"/>
  <c r="AF230" i="8"/>
  <c r="AF281" i="8"/>
  <c r="AF93" i="8"/>
  <c r="AF61" i="8"/>
  <c r="AF203" i="8"/>
  <c r="AF236" i="8"/>
  <c r="AF260" i="8"/>
  <c r="AF231" i="8"/>
  <c r="AF51" i="8"/>
  <c r="AF75" i="8"/>
  <c r="AF232" i="8"/>
  <c r="AF94" i="8"/>
  <c r="AF306" i="8"/>
  <c r="AF307" i="8"/>
  <c r="AF237" i="8"/>
  <c r="AF308" i="8"/>
  <c r="AF309" i="8"/>
  <c r="AF310" i="8"/>
  <c r="AF311" i="8"/>
  <c r="AF76" i="8"/>
  <c r="AF77" i="8"/>
  <c r="AF78" i="8"/>
  <c r="AF88" i="8"/>
  <c r="AF89" i="8"/>
  <c r="AF90" i="8"/>
  <c r="AF91" i="8"/>
  <c r="AF26" i="8"/>
  <c r="AF27" i="8"/>
  <c r="AF28" i="8"/>
  <c r="AF29" i="8"/>
  <c r="AF30" i="8"/>
  <c r="AF31" i="8"/>
  <c r="AF32" i="8"/>
  <c r="AF33" i="8"/>
  <c r="AF34" i="8"/>
  <c r="AF35" i="8"/>
  <c r="AF65" i="8"/>
  <c r="AF66" i="8"/>
  <c r="AF67" i="8"/>
  <c r="AF68" i="8"/>
  <c r="AF312" i="8"/>
  <c r="AF313" i="8"/>
  <c r="AF92" i="8"/>
  <c r="AF199" i="8"/>
  <c r="AF250" i="8"/>
  <c r="AF36" i="8"/>
  <c r="AF251" i="8"/>
  <c r="AF252" i="8"/>
  <c r="AF52" i="8"/>
  <c r="AF202" i="8"/>
  <c r="AF239" i="8"/>
  <c r="AF53" i="8"/>
  <c r="AF190" i="8"/>
  <c r="AF200" i="8"/>
  <c r="AF204" i="8"/>
  <c r="AF253" i="8"/>
  <c r="AF254" i="8"/>
  <c r="AF255" i="8"/>
  <c r="AF256" i="8"/>
  <c r="AF187" i="8"/>
  <c r="AF211" i="8"/>
  <c r="AF83" i="8"/>
  <c r="AF95" i="8"/>
  <c r="AF105" i="8"/>
  <c r="AF106" i="8"/>
  <c r="AF107" i="8"/>
  <c r="AF2" i="8"/>
  <c r="AF3" i="8"/>
  <c r="AF4" i="8"/>
  <c r="AF206" i="8"/>
  <c r="AF108" i="8"/>
  <c r="AF261" i="8"/>
  <c r="AF109" i="8"/>
  <c r="AF155" i="8"/>
  <c r="AF37" i="8"/>
  <c r="AF96" i="8"/>
  <c r="AF238" i="8"/>
  <c r="AF240" i="8"/>
  <c r="AF84" i="8"/>
  <c r="AF38" i="8"/>
  <c r="AF212" i="8"/>
  <c r="AF5" i="8"/>
  <c r="AF213" i="8"/>
  <c r="AF262" i="8"/>
  <c r="AF282" i="8"/>
  <c r="AF283" i="8"/>
  <c r="AF195" i="8"/>
  <c r="AF207" i="8"/>
  <c r="AF208" i="8"/>
  <c r="AF156" i="8"/>
  <c r="AF191" i="8"/>
  <c r="AF263" i="8"/>
  <c r="AF157" i="8"/>
  <c r="AF264" i="8"/>
  <c r="AF265" i="8"/>
  <c r="AF266" i="8"/>
  <c r="AF284" i="8"/>
  <c r="AF285" i="8"/>
  <c r="AF216" i="8"/>
  <c r="AF188" i="8"/>
  <c r="AF214" i="8"/>
  <c r="AF79" i="8"/>
  <c r="AF85" i="8"/>
  <c r="AF97" i="8"/>
  <c r="AF267" i="8"/>
  <c r="AF110" i="8"/>
  <c r="AF111" i="8"/>
  <c r="AF268" i="8"/>
  <c r="AF205" i="8"/>
  <c r="AF139" i="8"/>
  <c r="AF158" i="8"/>
  <c r="AF140" i="8"/>
  <c r="AF98" i="8"/>
  <c r="AF112" i="8"/>
  <c r="AF113" i="8"/>
  <c r="AF159" i="8"/>
  <c r="AF160" i="8"/>
  <c r="AF189" i="8"/>
  <c r="AF196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192" i="8"/>
  <c r="AF80" i="8"/>
  <c r="AF99" i="8"/>
  <c r="AF100" i="8"/>
  <c r="AF101" i="8"/>
  <c r="AF114" i="8"/>
  <c r="AF115" i="8"/>
  <c r="AF116" i="8"/>
  <c r="AF141" i="8"/>
  <c r="AF193" i="8"/>
  <c r="AF197" i="8"/>
  <c r="AF81" i="8"/>
  <c r="AF142" i="8"/>
  <c r="AF117" i="8"/>
  <c r="AF118" i="8"/>
  <c r="AF102" i="8"/>
  <c r="AF143" i="8"/>
  <c r="AF119" i="8"/>
  <c r="AF120" i="8"/>
  <c r="AF144" i="8"/>
  <c r="AF145" i="8"/>
  <c r="AF161" i="8"/>
  <c r="AF194" i="8"/>
  <c r="AF82" i="8"/>
  <c r="AF121" i="8"/>
  <c r="AF122" i="8"/>
  <c r="AF123" i="8"/>
  <c r="AF124" i="8"/>
  <c r="AF125" i="8"/>
  <c r="AF126" i="8"/>
  <c r="AF127" i="8"/>
  <c r="AF146" i="8"/>
  <c r="AF147" i="8"/>
  <c r="AF128" i="8"/>
  <c r="AF129" i="8"/>
  <c r="AF130" i="8"/>
  <c r="AF131" i="8"/>
  <c r="AF132" i="8"/>
  <c r="AF162" i="8"/>
  <c r="AF133" i="8"/>
  <c r="AF86" i="8"/>
  <c r="AF219" i="8"/>
  <c r="AF198" i="8"/>
  <c r="AF167" i="8"/>
  <c r="AF87" i="8"/>
  <c r="AF103" i="8"/>
  <c r="AF134" i="8"/>
  <c r="AF135" i="8"/>
  <c r="AF136" i="8"/>
  <c r="AF137" i="8"/>
  <c r="AF138" i="8"/>
  <c r="AF148" i="8"/>
  <c r="AF149" i="8"/>
  <c r="AF150" i="8"/>
  <c r="AF151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AI347" i="8" s="1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AI364" i="8" s="1"/>
  <c r="F365" i="8"/>
  <c r="F366" i="8"/>
  <c r="F11" i="2"/>
  <c r="F12" i="2"/>
  <c r="F13" i="2"/>
  <c r="F14" i="2"/>
  <c r="N14" i="2" s="1"/>
  <c r="N15" i="2"/>
  <c r="F16" i="2"/>
  <c r="N16" i="2" s="1"/>
  <c r="F17" i="2"/>
  <c r="F18" i="2"/>
  <c r="F19" i="2"/>
  <c r="F20" i="2"/>
  <c r="N20" i="2" s="1"/>
  <c r="F21" i="2"/>
  <c r="N21" i="2" s="1"/>
  <c r="F22" i="2"/>
  <c r="N22" i="2" s="1"/>
  <c r="F23" i="2"/>
  <c r="F24" i="2"/>
  <c r="F25" i="2"/>
  <c r="F26" i="2"/>
  <c r="N26" i="2" s="1"/>
  <c r="F27" i="2"/>
  <c r="N27" i="2" s="1"/>
  <c r="F28" i="2"/>
  <c r="N28" i="2" s="1"/>
  <c r="F29" i="2"/>
  <c r="F30" i="2"/>
  <c r="F31" i="2"/>
  <c r="F32" i="2"/>
  <c r="F33" i="2"/>
  <c r="N33" i="2" s="1"/>
  <c r="F34" i="2"/>
  <c r="F35" i="2"/>
  <c r="F36" i="2"/>
  <c r="F37" i="2"/>
  <c r="F38" i="2"/>
  <c r="F39" i="2"/>
  <c r="F40" i="2"/>
  <c r="N40" i="2" s="1"/>
  <c r="F41" i="2"/>
  <c r="F42" i="2"/>
  <c r="F43" i="2"/>
  <c r="F44" i="2"/>
  <c r="F45" i="2"/>
  <c r="F46" i="2"/>
  <c r="N46" i="2" s="1"/>
  <c r="F47" i="2"/>
  <c r="N47" i="2" s="1"/>
  <c r="F48" i="2"/>
  <c r="F49" i="2"/>
  <c r="N49" i="2" s="1"/>
  <c r="F50" i="2"/>
  <c r="N50" i="2" s="1"/>
  <c r="F51" i="2"/>
  <c r="N51" i="2" s="1"/>
  <c r="F52" i="2"/>
  <c r="N52" i="2" s="1"/>
  <c r="F53" i="2"/>
  <c r="F54" i="2"/>
  <c r="F55" i="2"/>
  <c r="N55" i="2" s="1"/>
  <c r="F56" i="2"/>
  <c r="N56" i="2" s="1"/>
  <c r="F57" i="2"/>
  <c r="N57" i="2" s="1"/>
  <c r="F58" i="2"/>
  <c r="N58" i="2" s="1"/>
  <c r="F59" i="2"/>
  <c r="F60" i="2"/>
  <c r="F61" i="2"/>
  <c r="F62" i="2"/>
  <c r="N62" i="2" s="1"/>
  <c r="F63" i="2"/>
  <c r="N63" i="2" s="1"/>
  <c r="F64" i="2"/>
  <c r="N64" i="2" s="1"/>
  <c r="F65" i="2"/>
  <c r="F66" i="2"/>
  <c r="F67" i="2"/>
  <c r="F68" i="2"/>
  <c r="F69" i="2"/>
  <c r="N69" i="2" s="1"/>
  <c r="F70" i="2"/>
  <c r="N70" i="2" s="1"/>
  <c r="F71" i="2"/>
  <c r="F72" i="2"/>
  <c r="F73" i="2"/>
  <c r="F74" i="2"/>
  <c r="F75" i="2"/>
  <c r="F76" i="2"/>
  <c r="F77" i="2"/>
  <c r="N77" i="2" s="1"/>
  <c r="F78" i="2"/>
  <c r="F79" i="2"/>
  <c r="N79" i="2" s="1"/>
  <c r="F80" i="2"/>
  <c r="N80" i="2" s="1"/>
  <c r="F81" i="2"/>
  <c r="N81" i="2" s="1"/>
  <c r="F82" i="2"/>
  <c r="N82" i="2" s="1"/>
  <c r="F83" i="2"/>
  <c r="F84" i="2"/>
  <c r="F85" i="2"/>
  <c r="F86" i="2"/>
  <c r="F87" i="2"/>
  <c r="N87" i="2" s="1"/>
  <c r="F88" i="2"/>
  <c r="N88" i="2" s="1"/>
  <c r="F89" i="2"/>
  <c r="F90" i="2"/>
  <c r="N90" i="2" s="1"/>
  <c r="F91" i="2"/>
  <c r="N91" i="2" s="1"/>
  <c r="F92" i="2"/>
  <c r="N92" i="2" s="1"/>
  <c r="F93" i="2"/>
  <c r="N93" i="2" s="1"/>
  <c r="F94" i="2"/>
  <c r="N94" i="2" s="1"/>
  <c r="F95" i="2"/>
  <c r="F96" i="2"/>
  <c r="F97" i="2"/>
  <c r="F98" i="2"/>
  <c r="F99" i="2"/>
  <c r="N99" i="2" s="1"/>
  <c r="F100" i="2"/>
  <c r="N100" i="2" s="1"/>
  <c r="F101" i="2"/>
  <c r="F102" i="2"/>
  <c r="N102" i="2" s="1"/>
  <c r="F103" i="2"/>
  <c r="N103" i="2" s="1"/>
  <c r="F104" i="2"/>
  <c r="N104" i="2" s="1"/>
  <c r="F105" i="2"/>
  <c r="N105" i="2" s="1"/>
  <c r="F106" i="2"/>
  <c r="N106" i="2" s="1"/>
  <c r="F107" i="2"/>
  <c r="F108" i="2"/>
  <c r="F109" i="2"/>
  <c r="F110" i="2"/>
  <c r="F111" i="2"/>
  <c r="N111" i="2" s="1"/>
  <c r="F112" i="2"/>
  <c r="N112" i="2" s="1"/>
  <c r="F113" i="2"/>
  <c r="F114" i="2"/>
  <c r="N114" i="2" s="1"/>
  <c r="F115" i="2"/>
  <c r="N115" i="2" s="1"/>
  <c r="F116" i="2"/>
  <c r="N116" i="2" s="1"/>
  <c r="F117" i="2"/>
  <c r="N117" i="2" s="1"/>
  <c r="F118" i="2"/>
  <c r="N118" i="2" s="1"/>
  <c r="F119" i="2"/>
  <c r="F120" i="2"/>
  <c r="F121" i="2"/>
  <c r="F122" i="2"/>
  <c r="F123" i="2"/>
  <c r="N123" i="2" s="1"/>
  <c r="F124" i="2"/>
  <c r="N124" i="2" s="1"/>
  <c r="F125" i="2"/>
  <c r="F126" i="2"/>
  <c r="N126" i="2" s="1"/>
  <c r="F127" i="2"/>
  <c r="N127" i="2" s="1"/>
  <c r="F128" i="2"/>
  <c r="N128" i="2" s="1"/>
  <c r="F129" i="2"/>
  <c r="N129" i="2" s="1"/>
  <c r="F130" i="2"/>
  <c r="N130" i="2" s="1"/>
  <c r="F131" i="2"/>
  <c r="F132" i="2"/>
  <c r="F133" i="2"/>
  <c r="F134" i="2"/>
  <c r="F135" i="2"/>
  <c r="N135" i="2" s="1"/>
  <c r="F136" i="2"/>
  <c r="N136" i="2" s="1"/>
  <c r="F137" i="2"/>
  <c r="F138" i="2"/>
  <c r="N138" i="2" s="1"/>
  <c r="F139" i="2"/>
  <c r="N139" i="2" s="1"/>
  <c r="F140" i="2"/>
  <c r="N140" i="2" s="1"/>
  <c r="F141" i="2"/>
  <c r="N141" i="2" s="1"/>
  <c r="F142" i="2"/>
  <c r="N142" i="2" s="1"/>
  <c r="F143" i="2"/>
  <c r="N143" i="2" s="1"/>
  <c r="F144" i="2"/>
  <c r="F145" i="2"/>
  <c r="N145" i="2" s="1"/>
  <c r="F146" i="2"/>
  <c r="N146" i="2" s="1"/>
  <c r="F147" i="2"/>
  <c r="N147" i="2" s="1"/>
  <c r="F148" i="2"/>
  <c r="N148" i="2" s="1"/>
  <c r="F149" i="2"/>
  <c r="N149" i="2" s="1"/>
  <c r="F150" i="2"/>
  <c r="N150" i="2" s="1"/>
  <c r="F151" i="2"/>
  <c r="N151" i="2" s="1"/>
  <c r="F152" i="2"/>
  <c r="N152" i="2" s="1"/>
  <c r="F153" i="2"/>
  <c r="N153" i="2" s="1"/>
  <c r="F154" i="2"/>
  <c r="N154" i="2" s="1"/>
  <c r="F155" i="2"/>
  <c r="F156" i="2"/>
  <c r="F157" i="2"/>
  <c r="N157" i="2" s="1"/>
  <c r="F158" i="2"/>
  <c r="N158" i="2" s="1"/>
  <c r="F159" i="2"/>
  <c r="N159" i="2" s="1"/>
  <c r="F160" i="2"/>
  <c r="N160" i="2" s="1"/>
  <c r="F161" i="2"/>
  <c r="F2" i="2"/>
  <c r="F4" i="2"/>
  <c r="F5" i="2"/>
  <c r="N5" i="2" s="1"/>
  <c r="F6" i="2"/>
  <c r="N6" i="2" s="1"/>
  <c r="F7" i="2"/>
  <c r="N7" i="2" s="1"/>
  <c r="F8" i="2"/>
  <c r="N8" i="2" s="1"/>
  <c r="F9" i="2"/>
  <c r="F10" i="2"/>
  <c r="N29" i="2"/>
  <c r="N34" i="2"/>
  <c r="N41" i="2"/>
  <c r="N53" i="2"/>
  <c r="N65" i="2"/>
  <c r="N71" i="2"/>
  <c r="N78" i="2"/>
  <c r="N83" i="2"/>
  <c r="N89" i="2"/>
  <c r="N95" i="2"/>
  <c r="N96" i="2"/>
  <c r="N101" i="2"/>
  <c r="N107" i="2"/>
  <c r="N108" i="2"/>
  <c r="N113" i="2"/>
  <c r="N119" i="2"/>
  <c r="N120" i="2"/>
  <c r="N125" i="2"/>
  <c r="N131" i="2"/>
  <c r="N132" i="2"/>
  <c r="N137" i="2"/>
  <c r="N144" i="2"/>
  <c r="N155" i="2"/>
  <c r="N156" i="2"/>
  <c r="N161" i="2"/>
  <c r="N4" i="2"/>
  <c r="N9" i="2"/>
  <c r="N10" i="2"/>
  <c r="N11" i="2"/>
  <c r="N12" i="2"/>
  <c r="N17" i="2"/>
  <c r="N18" i="2"/>
  <c r="N19" i="2"/>
  <c r="N23" i="2"/>
  <c r="N24" i="2"/>
  <c r="N25" i="2"/>
  <c r="N30" i="2"/>
  <c r="N31" i="2"/>
  <c r="N32" i="2"/>
  <c r="N35" i="2"/>
  <c r="N36" i="2"/>
  <c r="N37" i="2"/>
  <c r="N38" i="2"/>
  <c r="N39" i="2"/>
  <c r="N42" i="2"/>
  <c r="N43" i="2"/>
  <c r="N44" i="2"/>
  <c r="N45" i="2"/>
  <c r="N48" i="2"/>
  <c r="N54" i="2"/>
  <c r="N59" i="2"/>
  <c r="N60" i="2"/>
  <c r="N61" i="2"/>
  <c r="N66" i="2"/>
  <c r="N67" i="2"/>
  <c r="N68" i="2"/>
  <c r="N72" i="2"/>
  <c r="N73" i="2"/>
  <c r="N74" i="2"/>
  <c r="N75" i="2"/>
  <c r="N76" i="2"/>
  <c r="N84" i="2"/>
  <c r="N85" i="2"/>
  <c r="N86" i="2"/>
  <c r="N97" i="2"/>
  <c r="N98" i="2"/>
  <c r="N109" i="2"/>
  <c r="N110" i="2"/>
  <c r="N121" i="2"/>
  <c r="N122" i="2"/>
  <c r="N133" i="2"/>
  <c r="N134" i="2"/>
  <c r="R7" i="3"/>
  <c r="R8" i="3"/>
  <c r="R9" i="3"/>
  <c r="R10" i="3"/>
  <c r="R19" i="3"/>
  <c r="R20" i="3"/>
  <c r="R21" i="3"/>
  <c r="R22" i="3"/>
  <c r="R32" i="3"/>
  <c r="R34" i="3"/>
  <c r="R43" i="3"/>
  <c r="R44" i="3"/>
  <c r="R45" i="3"/>
  <c r="R46" i="3"/>
  <c r="R55" i="3"/>
  <c r="R56" i="3"/>
  <c r="R57" i="3"/>
  <c r="R58" i="3"/>
  <c r="R67" i="3"/>
  <c r="R68" i="3"/>
  <c r="R69" i="3"/>
  <c r="R70" i="3"/>
  <c r="R79" i="3"/>
  <c r="R80" i="3"/>
  <c r="R81" i="3"/>
  <c r="R82" i="3"/>
  <c r="R91" i="3"/>
  <c r="R92" i="3"/>
  <c r="R93" i="3"/>
  <c r="R94" i="3"/>
  <c r="M22" i="10"/>
  <c r="F18" i="10"/>
  <c r="M18" i="10" s="1"/>
  <c r="F19" i="10"/>
  <c r="M19" i="10" s="1"/>
  <c r="F20" i="10"/>
  <c r="M20" i="10" s="1"/>
  <c r="F21" i="10"/>
  <c r="M21" i="10" s="1"/>
  <c r="F22" i="10"/>
  <c r="F23" i="10"/>
  <c r="M23" i="10" s="1"/>
  <c r="F24" i="10"/>
  <c r="M24" i="10" s="1"/>
  <c r="F25" i="10"/>
  <c r="M25" i="10" s="1"/>
  <c r="N2" i="2"/>
  <c r="F17" i="8"/>
  <c r="F18" i="8"/>
  <c r="F19" i="8"/>
  <c r="F20" i="8"/>
  <c r="F21" i="8"/>
  <c r="F23" i="8"/>
  <c r="F24" i="8"/>
  <c r="F5" i="8"/>
  <c r="F2" i="8"/>
  <c r="F3" i="8"/>
  <c r="F4" i="8"/>
  <c r="F6" i="8"/>
  <c r="F7" i="8"/>
  <c r="F8" i="8"/>
  <c r="F10" i="8"/>
  <c r="F9" i="8"/>
  <c r="AI9" i="8" s="1"/>
  <c r="F12" i="8"/>
  <c r="F11" i="8"/>
  <c r="F16" i="8"/>
  <c r="F15" i="8"/>
  <c r="F13" i="8"/>
  <c r="F14" i="8"/>
  <c r="F216" i="8"/>
  <c r="F112" i="8"/>
  <c r="F111" i="8"/>
  <c r="F113" i="8"/>
  <c r="F120" i="8"/>
  <c r="F109" i="8"/>
  <c r="F106" i="8"/>
  <c r="AI106" i="8" s="1"/>
  <c r="F107" i="8"/>
  <c r="F108" i="8"/>
  <c r="F127" i="8"/>
  <c r="F148" i="8"/>
  <c r="F146" i="8"/>
  <c r="F147" i="8"/>
  <c r="F140" i="8"/>
  <c r="F141" i="8"/>
  <c r="F149" i="8"/>
  <c r="F150" i="8"/>
  <c r="F139" i="8"/>
  <c r="F151" i="8"/>
  <c r="F144" i="8"/>
  <c r="F143" i="8"/>
  <c r="F142" i="8"/>
  <c r="F145" i="8"/>
  <c r="F159" i="8"/>
  <c r="F154" i="8"/>
  <c r="F162" i="8"/>
  <c r="F158" i="8"/>
  <c r="F156" i="8"/>
  <c r="F160" i="8"/>
  <c r="F157" i="8"/>
  <c r="AI157" i="8" s="1"/>
  <c r="F161" i="8"/>
  <c r="F155" i="8"/>
  <c r="F153" i="8"/>
  <c r="F152" i="8"/>
  <c r="F163" i="8"/>
  <c r="F26" i="8"/>
  <c r="F27" i="8"/>
  <c r="F28" i="8"/>
  <c r="F38" i="8"/>
  <c r="F29" i="8"/>
  <c r="F30" i="8"/>
  <c r="F37" i="8"/>
  <c r="F31" i="8"/>
  <c r="F32" i="8"/>
  <c r="F33" i="8"/>
  <c r="F34" i="8"/>
  <c r="F35" i="8"/>
  <c r="F36" i="8"/>
  <c r="F39" i="8"/>
  <c r="F40" i="8"/>
  <c r="F47" i="8"/>
  <c r="F41" i="8"/>
  <c r="F53" i="8"/>
  <c r="F52" i="8"/>
  <c r="AI52" i="8" s="1"/>
  <c r="F51" i="8"/>
  <c r="AI51" i="8" s="1"/>
  <c r="F42" i="8"/>
  <c r="F43" i="8"/>
  <c r="F44" i="8"/>
  <c r="F45" i="8"/>
  <c r="F48" i="8"/>
  <c r="F49" i="8"/>
  <c r="F46" i="8"/>
  <c r="F50" i="8"/>
  <c r="F54" i="8"/>
  <c r="F55" i="8"/>
  <c r="F61" i="8"/>
  <c r="F56" i="8"/>
  <c r="F59" i="8"/>
  <c r="F57" i="8"/>
  <c r="F60" i="8"/>
  <c r="F58" i="8"/>
  <c r="F62" i="8"/>
  <c r="AI62" i="8" s="1"/>
  <c r="F63" i="8"/>
  <c r="F64" i="8"/>
  <c r="F65" i="8"/>
  <c r="AI65" i="8" s="1"/>
  <c r="F66" i="8"/>
  <c r="F67" i="8"/>
  <c r="F68" i="8"/>
  <c r="F72" i="8"/>
  <c r="F69" i="8"/>
  <c r="AI69" i="8" s="1"/>
  <c r="F71" i="8"/>
  <c r="F70" i="8"/>
  <c r="F105" i="8"/>
  <c r="F231" i="8"/>
  <c r="F230" i="8"/>
  <c r="F229" i="8"/>
  <c r="F234" i="8"/>
  <c r="F235" i="8"/>
  <c r="F233" i="8"/>
  <c r="F238" i="8"/>
  <c r="F236" i="8"/>
  <c r="F237" i="8"/>
  <c r="F239" i="8"/>
  <c r="F240" i="8"/>
  <c r="F250" i="8"/>
  <c r="AI250" i="8" s="1"/>
  <c r="F253" i="8"/>
  <c r="F254" i="8"/>
  <c r="F255" i="8"/>
  <c r="F252" i="8"/>
  <c r="F251" i="8"/>
  <c r="F244" i="8"/>
  <c r="F247" i="8"/>
  <c r="F256" i="8"/>
  <c r="F248" i="8"/>
  <c r="F249" i="8"/>
  <c r="AI249" i="8" s="1"/>
  <c r="F245" i="8"/>
  <c r="F241" i="8"/>
  <c r="F242" i="8"/>
  <c r="AI242" i="8" s="1"/>
  <c r="F246" i="8"/>
  <c r="F243" i="8"/>
  <c r="F261" i="8"/>
  <c r="F263" i="8"/>
  <c r="F264" i="8"/>
  <c r="F265" i="8"/>
  <c r="F259" i="8"/>
  <c r="F260" i="8"/>
  <c r="F257" i="8"/>
  <c r="F258" i="8"/>
  <c r="F267" i="8"/>
  <c r="AI267" i="8" s="1"/>
  <c r="F262" i="8"/>
  <c r="F266" i="8"/>
  <c r="F268" i="8"/>
  <c r="F272" i="8"/>
  <c r="F273" i="8"/>
  <c r="F274" i="8"/>
  <c r="F275" i="8"/>
  <c r="F284" i="8"/>
  <c r="F282" i="8"/>
  <c r="F283" i="8"/>
  <c r="AI283" i="8" s="1"/>
  <c r="F285" i="8"/>
  <c r="F286" i="8"/>
  <c r="F287" i="8"/>
  <c r="F288" i="8"/>
  <c r="F279" i="8"/>
  <c r="F277" i="8"/>
  <c r="F278" i="8"/>
  <c r="F280" i="8"/>
  <c r="F270" i="8"/>
  <c r="F289" i="8"/>
  <c r="F290" i="8"/>
  <c r="F291" i="8"/>
  <c r="F292" i="8"/>
  <c r="F293" i="8"/>
  <c r="F294" i="8"/>
  <c r="F295" i="8"/>
  <c r="AI295" i="8" s="1"/>
  <c r="F296" i="8"/>
  <c r="F297" i="8"/>
  <c r="F298" i="8"/>
  <c r="F299" i="8"/>
  <c r="AI299" i="8" s="1"/>
  <c r="F300" i="8"/>
  <c r="F301" i="8"/>
  <c r="F302" i="8"/>
  <c r="F303" i="8"/>
  <c r="F276" i="8"/>
  <c r="F269" i="8"/>
  <c r="F281" i="8"/>
  <c r="AI281" i="8" s="1"/>
  <c r="F271" i="8"/>
  <c r="F305" i="8"/>
  <c r="F304" i="8"/>
  <c r="F308" i="8"/>
  <c r="F309" i="8"/>
  <c r="F310" i="8"/>
  <c r="F311" i="8"/>
  <c r="F312" i="8"/>
  <c r="F306" i="8"/>
  <c r="AI306" i="8" s="1"/>
  <c r="F307" i="8"/>
  <c r="F313" i="8"/>
  <c r="F215" i="8"/>
  <c r="AI215" i="8" s="1"/>
  <c r="F218" i="8"/>
  <c r="F217" i="8"/>
  <c r="F219" i="8"/>
  <c r="F221" i="8"/>
  <c r="F220" i="8"/>
  <c r="F222" i="8"/>
  <c r="F223" i="8"/>
  <c r="F225" i="8"/>
  <c r="F224" i="8"/>
  <c r="F228" i="8"/>
  <c r="F227" i="8"/>
  <c r="F226" i="8"/>
  <c r="AI226" i="8" s="1"/>
  <c r="F188" i="8"/>
  <c r="F187" i="8"/>
  <c r="F189" i="8"/>
  <c r="F192" i="8"/>
  <c r="F191" i="8"/>
  <c r="F193" i="8"/>
  <c r="F190" i="8"/>
  <c r="AI190" i="8" s="1"/>
  <c r="F194" i="8"/>
  <c r="F196" i="8"/>
  <c r="F195" i="8"/>
  <c r="F197" i="8"/>
  <c r="F198" i="8"/>
  <c r="F200" i="8"/>
  <c r="F199" i="8"/>
  <c r="F202" i="8"/>
  <c r="F201" i="8"/>
  <c r="F203" i="8"/>
  <c r="F204" i="8"/>
  <c r="F205" i="8"/>
  <c r="AI205" i="8" s="1"/>
  <c r="F207" i="8"/>
  <c r="F206" i="8"/>
  <c r="F208" i="8"/>
  <c r="F214" i="8"/>
  <c r="F213" i="8"/>
  <c r="F212" i="8"/>
  <c r="AI212" i="8" s="1"/>
  <c r="F211" i="8"/>
  <c r="F210" i="8"/>
  <c r="F209" i="8"/>
  <c r="F175" i="8"/>
  <c r="AI175" i="8" s="1"/>
  <c r="F176" i="8"/>
  <c r="AI176" i="8" s="1"/>
  <c r="F177" i="8"/>
  <c r="F178" i="8"/>
  <c r="F181" i="8"/>
  <c r="F180" i="8"/>
  <c r="F184" i="8"/>
  <c r="F183" i="8"/>
  <c r="AI183" i="8" s="1"/>
  <c r="F182" i="8"/>
  <c r="F186" i="8"/>
  <c r="F185" i="8"/>
  <c r="F164" i="8"/>
  <c r="F165" i="8"/>
  <c r="F167" i="8"/>
  <c r="AI167" i="8" s="1"/>
  <c r="F166" i="8"/>
  <c r="F168" i="8"/>
  <c r="F169" i="8"/>
  <c r="F170" i="8"/>
  <c r="F171" i="8"/>
  <c r="F172" i="8"/>
  <c r="AI172" i="8" s="1"/>
  <c r="F173" i="8"/>
  <c r="F174" i="8"/>
  <c r="F79" i="8"/>
  <c r="F74" i="8"/>
  <c r="F75" i="8"/>
  <c r="F82" i="8"/>
  <c r="F76" i="8"/>
  <c r="F77" i="8"/>
  <c r="F78" i="8"/>
  <c r="F73" i="8"/>
  <c r="F81" i="8"/>
  <c r="F80" i="8"/>
  <c r="F86" i="8"/>
  <c r="F87" i="8"/>
  <c r="F83" i="8"/>
  <c r="F85" i="8"/>
  <c r="F84" i="8"/>
  <c r="F88" i="8"/>
  <c r="F89" i="8"/>
  <c r="F90" i="8"/>
  <c r="F91" i="8"/>
  <c r="F92" i="8"/>
  <c r="F94" i="8"/>
  <c r="F99" i="8"/>
  <c r="F100" i="8"/>
  <c r="AI100" i="8" s="1"/>
  <c r="F96" i="8"/>
  <c r="F101" i="8"/>
  <c r="F97" i="8"/>
  <c r="F103" i="8"/>
  <c r="AI103" i="8" s="1"/>
  <c r="F95" i="8"/>
  <c r="F102" i="8"/>
  <c r="AI102" i="8" s="1"/>
  <c r="F93" i="8"/>
  <c r="F98" i="8"/>
  <c r="F134" i="8"/>
  <c r="F135" i="8"/>
  <c r="F136" i="8"/>
  <c r="F137" i="8"/>
  <c r="F121" i="8"/>
  <c r="F131" i="8"/>
  <c r="F133" i="8"/>
  <c r="F128" i="8"/>
  <c r="F117" i="8"/>
  <c r="F122" i="8"/>
  <c r="F104" i="8"/>
  <c r="F138" i="8"/>
  <c r="F129" i="8"/>
  <c r="F130" i="8"/>
  <c r="F110" i="8"/>
  <c r="AI110" i="8" s="1"/>
  <c r="F119" i="8"/>
  <c r="F132" i="8"/>
  <c r="F114" i="8"/>
  <c r="F123" i="8"/>
  <c r="F118" i="8"/>
  <c r="F115" i="8"/>
  <c r="F124" i="8"/>
  <c r="AI124" i="8" s="1"/>
  <c r="F125" i="8"/>
  <c r="F116" i="8"/>
  <c r="AI116" i="8" s="1"/>
  <c r="F126" i="8"/>
  <c r="F232" i="8"/>
  <c r="F2" i="10"/>
  <c r="AI14" i="8" l="1"/>
  <c r="AI345" i="8"/>
  <c r="AI321" i="8"/>
  <c r="AI211" i="8"/>
  <c r="AI46" i="8"/>
  <c r="AI28" i="8"/>
  <c r="AI361" i="8"/>
  <c r="AI337" i="8"/>
  <c r="AI145" i="8"/>
  <c r="AI90" i="8"/>
  <c r="AI282" i="8"/>
  <c r="AI144" i="8"/>
  <c r="AI280" i="8"/>
  <c r="AI8" i="8"/>
  <c r="AI254" i="8"/>
  <c r="AI4" i="8"/>
  <c r="AI348" i="8"/>
  <c r="AI81" i="8"/>
  <c r="AI214" i="8"/>
  <c r="AI13" i="8"/>
  <c r="AI208" i="8"/>
  <c r="AI245" i="8"/>
  <c r="AI60" i="8"/>
  <c r="AI323" i="8"/>
  <c r="AI130" i="8"/>
  <c r="AI184" i="8"/>
  <c r="AI98" i="8"/>
  <c r="AI169" i="8"/>
  <c r="AI181" i="8"/>
  <c r="AI206" i="8"/>
  <c r="AI303" i="8"/>
  <c r="AI291" i="8"/>
  <c r="AI43" i="8"/>
  <c r="AI153" i="8"/>
  <c r="AI24" i="8"/>
  <c r="AI135" i="8"/>
  <c r="AI77" i="8"/>
  <c r="AI312" i="8"/>
  <c r="AI42" i="8"/>
  <c r="AI32" i="8"/>
  <c r="AI355" i="8"/>
  <c r="AI331" i="8"/>
  <c r="AI82" i="8"/>
  <c r="AI203" i="8"/>
  <c r="AI309" i="8"/>
  <c r="AI274" i="8"/>
  <c r="AI264" i="8"/>
  <c r="AI160" i="8"/>
  <c r="AI10" i="8"/>
  <c r="AI19" i="8"/>
  <c r="AI238" i="8"/>
  <c r="AI133" i="8"/>
  <c r="AI201" i="8"/>
  <c r="AI54" i="8"/>
  <c r="AI101" i="8"/>
  <c r="AI189" i="8"/>
  <c r="AI234" i="8"/>
  <c r="AI200" i="8"/>
  <c r="AI266" i="8"/>
  <c r="AI230" i="8"/>
  <c r="AI63" i="8"/>
  <c r="AI154" i="8"/>
  <c r="AI48" i="8"/>
  <c r="AI146" i="8"/>
  <c r="AI287" i="8"/>
  <c r="AI71" i="8"/>
  <c r="AI16" i="8"/>
  <c r="AI356" i="8"/>
  <c r="AI284" i="8"/>
  <c r="AI109" i="8"/>
  <c r="AI353" i="8"/>
  <c r="AI329" i="8"/>
  <c r="AI363" i="8"/>
  <c r="AI339" i="8"/>
  <c r="AI315" i="8"/>
  <c r="AI39" i="8"/>
  <c r="AI182" i="8"/>
  <c r="AI22" i="8"/>
  <c r="AI30" i="8"/>
  <c r="AI118" i="8"/>
  <c r="AI79" i="8"/>
  <c r="AI119" i="8"/>
  <c r="AI128" i="8"/>
  <c r="AI93" i="8"/>
  <c r="AI164" i="8"/>
  <c r="AI213" i="8"/>
  <c r="AI340" i="8"/>
  <c r="AI288" i="8"/>
  <c r="AI257" i="8"/>
  <c r="AI33" i="8"/>
  <c r="AI143" i="8"/>
  <c r="AI147" i="8"/>
  <c r="AI156" i="8"/>
  <c r="AI202" i="8"/>
  <c r="AI269" i="8"/>
  <c r="AI17" i="8"/>
  <c r="AI188" i="8"/>
  <c r="AI244" i="8"/>
  <c r="AI239" i="8"/>
  <c r="AI57" i="8"/>
  <c r="AI53" i="8"/>
  <c r="AI27" i="8"/>
  <c r="AI120" i="8"/>
  <c r="AI150" i="8"/>
  <c r="AI108" i="8"/>
  <c r="AI365" i="8"/>
  <c r="AI357" i="8"/>
  <c r="AI349" i="8"/>
  <c r="AI341" i="8"/>
  <c r="AI333" i="8"/>
  <c r="AI325" i="8"/>
  <c r="AI317" i="8"/>
  <c r="AI179" i="8"/>
  <c r="AI58" i="8"/>
  <c r="AI21" i="8"/>
  <c r="AI148" i="8"/>
  <c r="AI12" i="8"/>
  <c r="AI359" i="8"/>
  <c r="AI351" i="8"/>
  <c r="AI343" i="8"/>
  <c r="AI335" i="8"/>
  <c r="AI327" i="8"/>
  <c r="AI319" i="8"/>
  <c r="AI26" i="8"/>
  <c r="AI113" i="8"/>
  <c r="AI18" i="8"/>
  <c r="AI228" i="8"/>
  <c r="T1" i="2"/>
  <c r="AI332" i="8"/>
  <c r="AI324" i="8"/>
  <c r="AI316" i="8"/>
  <c r="AI121" i="8"/>
  <c r="AI310" i="8"/>
  <c r="AI296" i="8"/>
  <c r="AI285" i="8"/>
  <c r="AI255" i="8"/>
  <c r="AI112" i="8"/>
  <c r="AI5" i="8"/>
  <c r="AI91" i="8"/>
  <c r="AI86" i="8"/>
  <c r="AI75" i="8"/>
  <c r="AI224" i="8"/>
  <c r="AI233" i="8"/>
  <c r="AI55" i="8"/>
  <c r="AI136" i="8"/>
  <c r="AI192" i="8"/>
  <c r="AI155" i="8"/>
  <c r="AI107" i="8"/>
  <c r="AI166" i="8"/>
  <c r="AI223" i="8"/>
  <c r="AI313" i="8"/>
  <c r="AI277" i="8"/>
  <c r="AI141" i="8"/>
  <c r="AI7" i="8"/>
  <c r="AI180" i="8"/>
  <c r="AI275" i="8"/>
  <c r="AI94" i="8"/>
  <c r="AI76" i="8"/>
  <c r="AI177" i="8"/>
  <c r="AI227" i="8"/>
  <c r="AI219" i="8"/>
  <c r="AI311" i="8"/>
  <c r="AI297" i="8"/>
  <c r="AI289" i="8"/>
  <c r="AI241" i="8"/>
  <c r="AI56" i="8"/>
  <c r="AI47" i="8"/>
  <c r="AI111" i="8"/>
  <c r="AI2" i="8"/>
  <c r="AI129" i="8"/>
  <c r="AI92" i="8"/>
  <c r="AI170" i="8"/>
  <c r="AI199" i="8"/>
  <c r="AI193" i="8"/>
  <c r="AI217" i="8"/>
  <c r="AI276" i="8"/>
  <c r="AI270" i="8"/>
  <c r="AI268" i="8"/>
  <c r="AI64" i="8"/>
  <c r="AI61" i="8"/>
  <c r="AI40" i="8"/>
  <c r="AI37" i="8"/>
  <c r="AI152" i="8"/>
  <c r="AI298" i="8"/>
  <c r="AI216" i="8"/>
  <c r="AI115" i="8"/>
  <c r="AI89" i="8"/>
  <c r="AI191" i="8"/>
  <c r="AI218" i="8"/>
  <c r="AI123" i="8"/>
  <c r="AI80" i="8"/>
  <c r="AI209" i="8"/>
  <c r="AI198" i="8"/>
  <c r="AI225" i="8"/>
  <c r="AI278" i="8"/>
  <c r="AI262" i="8"/>
  <c r="AI263" i="8"/>
  <c r="AI248" i="8"/>
  <c r="AI235" i="8"/>
  <c r="AI159" i="8"/>
  <c r="AI290" i="8"/>
  <c r="AI3" i="8"/>
  <c r="AI138" i="8"/>
  <c r="AI232" i="8"/>
  <c r="AI122" i="8"/>
  <c r="AI210" i="8"/>
  <c r="AI197" i="8"/>
  <c r="AI256" i="8"/>
  <c r="AI72" i="8"/>
  <c r="AI35" i="8"/>
  <c r="AI99" i="8"/>
  <c r="AI137" i="8"/>
  <c r="AI96" i="8"/>
  <c r="AI174" i="8"/>
  <c r="AI187" i="8"/>
  <c r="AI258" i="8"/>
  <c r="AI247" i="8"/>
  <c r="AI34" i="8"/>
  <c r="AI20" i="8"/>
  <c r="AI366" i="8"/>
  <c r="AI358" i="8"/>
  <c r="AI350" i="8"/>
  <c r="AI342" i="8"/>
  <c r="AI334" i="8"/>
  <c r="AI326" i="8"/>
  <c r="AI318" i="8"/>
  <c r="AI36" i="8"/>
  <c r="AI29" i="8"/>
  <c r="AI149" i="8"/>
  <c r="AI23" i="8"/>
  <c r="AI360" i="8"/>
  <c r="AI352" i="8"/>
  <c r="AI344" i="8"/>
  <c r="AI336" i="8"/>
  <c r="AI328" i="8"/>
  <c r="AI320" i="8"/>
  <c r="AI222" i="8"/>
  <c r="AI307" i="8"/>
  <c r="AI300" i="8"/>
  <c r="AI292" i="8"/>
  <c r="AI279" i="8"/>
  <c r="AI243" i="8"/>
  <c r="AI240" i="8"/>
  <c r="AI229" i="8"/>
  <c r="AI142" i="8"/>
  <c r="AI6" i="8"/>
  <c r="AI73" i="8"/>
  <c r="AI78" i="8"/>
  <c r="AI49" i="8"/>
  <c r="AI125" i="8"/>
  <c r="AI66" i="8"/>
  <c r="AI41" i="8"/>
  <c r="AI131" i="8"/>
  <c r="AI83" i="8"/>
  <c r="AI171" i="8"/>
  <c r="AI185" i="8"/>
  <c r="AI286" i="8"/>
  <c r="AI259" i="8"/>
  <c r="AI236" i="8"/>
  <c r="AI45" i="8"/>
  <c r="AI151" i="8"/>
  <c r="AI87" i="8"/>
  <c r="AI186" i="8"/>
  <c r="AI139" i="8"/>
  <c r="AI127" i="8"/>
  <c r="AI114" i="8"/>
  <c r="AI304" i="8"/>
  <c r="AI301" i="8"/>
  <c r="AI293" i="8"/>
  <c r="AI261" i="8"/>
  <c r="AI50" i="8"/>
  <c r="AI38" i="8"/>
  <c r="AI161" i="8"/>
  <c r="AI25" i="8"/>
  <c r="AI207" i="8"/>
  <c r="AI302" i="8"/>
  <c r="AI253" i="8"/>
  <c r="AI126" i="8"/>
  <c r="AI132" i="8"/>
  <c r="AI117" i="8"/>
  <c r="AI134" i="8"/>
  <c r="AI88" i="8"/>
  <c r="AI204" i="8"/>
  <c r="AI195" i="8"/>
  <c r="AI305" i="8"/>
  <c r="AI68" i="8"/>
  <c r="AI140" i="8"/>
  <c r="AI15" i="8"/>
  <c r="AI97" i="8"/>
  <c r="AI168" i="8"/>
  <c r="AI294" i="8"/>
  <c r="AI84" i="8"/>
  <c r="AI173" i="8"/>
  <c r="AI165" i="8"/>
  <c r="AI196" i="8"/>
  <c r="AI220" i="8"/>
  <c r="AI271" i="8"/>
  <c r="AI246" i="8"/>
  <c r="AI67" i="8"/>
  <c r="AI85" i="8"/>
  <c r="AI178" i="8"/>
  <c r="AI194" i="8"/>
  <c r="AI221" i="8"/>
  <c r="AI273" i="8"/>
  <c r="AI260" i="8"/>
  <c r="AI251" i="8"/>
  <c r="AI237" i="8"/>
  <c r="AI231" i="8"/>
  <c r="AI59" i="8"/>
  <c r="AI11" i="8"/>
  <c r="AI272" i="8"/>
  <c r="AI252" i="8"/>
  <c r="AI105" i="8"/>
  <c r="AI31" i="8"/>
  <c r="AI163" i="8"/>
  <c r="AI158" i="8"/>
  <c r="AI104" i="8"/>
  <c r="AI74" i="8"/>
  <c r="AI308" i="8"/>
  <c r="AI95" i="8"/>
  <c r="AI265" i="8"/>
  <c r="AI70" i="8"/>
  <c r="AI44" i="8"/>
  <c r="AI162" i="8"/>
  <c r="AI362" i="8"/>
  <c r="AI354" i="8"/>
  <c r="AI346" i="8"/>
  <c r="AI338" i="8"/>
  <c r="AI330" i="8"/>
  <c r="AI322" i="8"/>
  <c r="AI314" i="8"/>
  <c r="F3" i="10"/>
  <c r="M3" i="10" s="1"/>
  <c r="F4" i="10"/>
  <c r="M4" i="10" s="1"/>
  <c r="F5" i="10"/>
  <c r="M5" i="10" s="1"/>
  <c r="F7" i="10"/>
  <c r="M7" i="10" s="1"/>
  <c r="F8" i="10"/>
  <c r="M8" i="10" s="1"/>
  <c r="F9" i="10"/>
  <c r="M9" i="10" s="1"/>
  <c r="F10" i="10"/>
  <c r="M10" i="10" s="1"/>
  <c r="F11" i="10"/>
  <c r="M11" i="10" s="1"/>
  <c r="F12" i="10"/>
  <c r="M12" i="10" s="1"/>
  <c r="F13" i="10"/>
  <c r="M13" i="10" s="1"/>
  <c r="F14" i="10"/>
  <c r="M14" i="10" s="1"/>
  <c r="F15" i="10"/>
  <c r="M15" i="10" s="1"/>
  <c r="F16" i="10"/>
  <c r="M16" i="10" s="1"/>
  <c r="F17" i="10"/>
  <c r="M17" i="10" s="1"/>
  <c r="R2" i="3"/>
  <c r="X1" i="3" s="1"/>
  <c r="M2" i="10" l="1"/>
  <c r="AP1" i="8" l="1"/>
  <c r="B1" i="6" l="1"/>
  <c r="Q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43" i="4"/>
  <c r="M48" i="1" l="1"/>
  <c r="M64" i="1"/>
  <c r="M47" i="1"/>
  <c r="M65" i="1"/>
  <c r="M66" i="1"/>
  <c r="M67" i="1"/>
  <c r="M68" i="1"/>
  <c r="M69" i="1"/>
  <c r="M96" i="1"/>
  <c r="M93" i="1"/>
  <c r="M70" i="1"/>
  <c r="M94" i="1"/>
  <c r="M18" i="1"/>
  <c r="M71" i="1"/>
  <c r="M95" i="1"/>
  <c r="M72" i="1"/>
  <c r="M97" i="1"/>
  <c r="M98" i="1"/>
  <c r="M99" i="1"/>
  <c r="M73" i="1"/>
  <c r="M100" i="1"/>
  <c r="M21" i="1"/>
  <c r="M60" i="1"/>
  <c r="M61" i="1"/>
  <c r="M58" i="1"/>
  <c r="M62" i="1"/>
  <c r="M63" i="1"/>
  <c r="M105" i="1"/>
  <c r="M22" i="1"/>
  <c r="M15" i="1"/>
  <c r="M25" i="1"/>
  <c r="M2" i="1"/>
  <c r="M19" i="1"/>
  <c r="M106" i="1"/>
  <c r="M107" i="1"/>
  <c r="M88" i="1"/>
  <c r="M108" i="1"/>
  <c r="M109" i="1"/>
  <c r="M110" i="1"/>
  <c r="M78" i="1"/>
  <c r="M80" i="1"/>
  <c r="M83" i="1"/>
  <c r="M81" i="1"/>
  <c r="M82" i="1"/>
  <c r="M84" i="1"/>
  <c r="M85" i="1"/>
  <c r="M86" i="1"/>
  <c r="M87" i="1"/>
  <c r="M5" i="1"/>
  <c r="M3" i="1"/>
  <c r="M55" i="1"/>
  <c r="M76" i="1"/>
  <c r="M111" i="1"/>
  <c r="M74" i="1"/>
  <c r="M75" i="1"/>
  <c r="M54" i="1"/>
  <c r="M10" i="1"/>
  <c r="M77" i="1"/>
  <c r="M59" i="1"/>
  <c r="M89" i="1"/>
  <c r="M90" i="1"/>
  <c r="M91" i="1"/>
  <c r="M92" i="1"/>
  <c r="M32" i="1"/>
  <c r="M11" i="1"/>
  <c r="M49" i="1"/>
  <c r="M50" i="1"/>
  <c r="M51" i="1"/>
  <c r="M52" i="1"/>
  <c r="M44" i="1"/>
  <c r="M45" i="1"/>
  <c r="M17" i="1"/>
  <c r="M46" i="1"/>
  <c r="M36" i="1"/>
  <c r="M35" i="1"/>
  <c r="M16" i="1"/>
  <c r="M101" i="1"/>
  <c r="M14" i="1"/>
  <c r="M102" i="1"/>
  <c r="M6" i="1"/>
  <c r="M23" i="1"/>
  <c r="M103" i="1"/>
  <c r="M29" i="1"/>
  <c r="M30" i="1"/>
  <c r="M31" i="1"/>
  <c r="M42" i="1"/>
  <c r="M79" i="1"/>
  <c r="M33" i="1"/>
  <c r="M104" i="1"/>
  <c r="W1" i="1" l="1"/>
  <c r="V413" i="8"/>
  <c r="V413" i="8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<sst xmlns="http://schemas.openxmlformats.org/spreadsheetml/2006/main" count="3271" uniqueCount="1486">
  <si>
    <t xml:space="preserve">Item Code </t>
  </si>
  <si>
    <t xml:space="preserve">Raw materials Description </t>
  </si>
  <si>
    <t>Cat#</t>
  </si>
  <si>
    <t>Material Class</t>
  </si>
  <si>
    <t>Stock Amount</t>
  </si>
  <si>
    <t>Total Amt</t>
  </si>
  <si>
    <t>Location</t>
  </si>
  <si>
    <t>Note</t>
  </si>
  <si>
    <t>PA-5Biotin</t>
  </si>
  <si>
    <t>ON-023</t>
  </si>
  <si>
    <t>Critical Raw</t>
  </si>
  <si>
    <t>FRZ-3</t>
  </si>
  <si>
    <t>Phosphoramidite, Biotin TEG</t>
  </si>
  <si>
    <t>ML-A002</t>
  </si>
  <si>
    <t>OP-013</t>
  </si>
  <si>
    <t>Phosphoramidite, DMT-Chol TEG</t>
  </si>
  <si>
    <t>OP-020</t>
  </si>
  <si>
    <t>PA-5Palm</t>
  </si>
  <si>
    <t>PA-6FAM</t>
  </si>
  <si>
    <t>ON-022</t>
  </si>
  <si>
    <t>PA-C10COOClTr</t>
  </si>
  <si>
    <t>Phosphoramidite, Undecanoic acid</t>
  </si>
  <si>
    <t>LK-A003</t>
  </si>
  <si>
    <t>8 x 50mg</t>
  </si>
  <si>
    <t>Phosphoramidite, Amino Linker 6 TFA</t>
  </si>
  <si>
    <t>PA-C6SH</t>
  </si>
  <si>
    <t>Phosphoramidite, Thiol modifier C6SH</t>
  </si>
  <si>
    <t>OP-043</t>
  </si>
  <si>
    <t>PA-CHOL6</t>
  </si>
  <si>
    <t xml:space="preserve">Phosphoramidite, Cholesteral </t>
  </si>
  <si>
    <t>PA-CPR</t>
  </si>
  <si>
    <t>Phosphoramidite, CPR</t>
  </si>
  <si>
    <t>PA-CPR-II</t>
  </si>
  <si>
    <t>Phosphoramidite, CPR II</t>
  </si>
  <si>
    <t>PA-CPR-S</t>
  </si>
  <si>
    <t>Phosphoramidite, CPR Solid</t>
  </si>
  <si>
    <t>PA-CY3</t>
  </si>
  <si>
    <t>Phosphoramidite, Cyanine 3</t>
  </si>
  <si>
    <t>OP-038</t>
  </si>
  <si>
    <t>PA-CY5</t>
  </si>
  <si>
    <t>Phosphoramidite, Cyanine 5 mono MMT</t>
  </si>
  <si>
    <t>OP-057</t>
  </si>
  <si>
    <t>20 x 100mg</t>
  </si>
  <si>
    <t>PA-D-5MC(Ac)</t>
  </si>
  <si>
    <t>8 x 5g</t>
  </si>
  <si>
    <t>FRZ-6</t>
  </si>
  <si>
    <t>PA-D-A(Bz)</t>
  </si>
  <si>
    <t xml:space="preserve">Phosphoramidite, dA(Bz) </t>
  </si>
  <si>
    <t>PA-D-C(AC)</t>
  </si>
  <si>
    <t>Phosphoramidite, dC(Ac)</t>
  </si>
  <si>
    <t>PA-D-G(IBU)</t>
  </si>
  <si>
    <t>Phosphoramidite, dG(iBu)</t>
  </si>
  <si>
    <t>PA-D-I</t>
  </si>
  <si>
    <t xml:space="preserve">Phosphoramidite, dI </t>
  </si>
  <si>
    <t>5 x 10g</t>
  </si>
  <si>
    <t>PA-D-T</t>
  </si>
  <si>
    <t xml:space="preserve">Phosphoramidite, dT </t>
  </si>
  <si>
    <t>PA-D-U</t>
  </si>
  <si>
    <t xml:space="preserve">Phosphoramidite, dU </t>
  </si>
  <si>
    <t>5 x 2g</t>
  </si>
  <si>
    <t>PA-F-A(BZ)</t>
  </si>
  <si>
    <t>Phosphoramidite, 2'-F A(Bz)</t>
  </si>
  <si>
    <t>FRZ-2</t>
  </si>
  <si>
    <t>PA-F-C(AC)</t>
  </si>
  <si>
    <t xml:space="preserve">Phosphoramidite, 2'-F C(Ac) </t>
  </si>
  <si>
    <t>PA-F-G(ibu)</t>
  </si>
  <si>
    <t>Phosphoramidite, 2'-F G(ibu)</t>
  </si>
  <si>
    <t>PA-F-U</t>
  </si>
  <si>
    <t xml:space="preserve">Phosphoramidite, 2'-F U </t>
  </si>
  <si>
    <t>PA-GNA-A(BZ)</t>
  </si>
  <si>
    <t>Phosphoramidite, GNA A(Bz)</t>
  </si>
  <si>
    <t>PA-1091</t>
  </si>
  <si>
    <t>1 x 20g</t>
  </si>
  <si>
    <t>PA-GNA-C(AC)</t>
  </si>
  <si>
    <t xml:space="preserve">Phosphoramidite, GNA C(Ac) </t>
  </si>
  <si>
    <t>PA-3091</t>
  </si>
  <si>
    <t>PA-GNA-G(ibu)</t>
  </si>
  <si>
    <t>Phosphoramidite, GNA G(ibu)</t>
  </si>
  <si>
    <t>PA-2091</t>
  </si>
  <si>
    <t>PA-GNA-T</t>
  </si>
  <si>
    <t xml:space="preserve">Phosphoramidite, GNA T </t>
  </si>
  <si>
    <t>PA-6090</t>
  </si>
  <si>
    <t>PA-HEX</t>
  </si>
  <si>
    <t>Phosphoramidite, HEX Dye</t>
  </si>
  <si>
    <t>OP-011</t>
  </si>
  <si>
    <t>50 x 100mg</t>
  </si>
  <si>
    <t>PA-L-5MC(Bz)</t>
  </si>
  <si>
    <t>Phosphoramidite, LNA 5-Me-C(Bz)</t>
  </si>
  <si>
    <t>PA-L-A(Bz)</t>
  </si>
  <si>
    <t>Phosphoramidite, LNA A(Bz)</t>
  </si>
  <si>
    <t>PA-L-G(dmf)</t>
  </si>
  <si>
    <t>Phosphoramidite, LNA G(dmf)</t>
  </si>
  <si>
    <t>PA-L-T</t>
  </si>
  <si>
    <t>Phosphoramidite, LNA T</t>
  </si>
  <si>
    <t>PA-M-5MC(Ac)</t>
  </si>
  <si>
    <t>Phosphoramidite, 2'-OMe 5-Me-C(Ac)</t>
  </si>
  <si>
    <t>PA-M-A(BZ)</t>
  </si>
  <si>
    <t xml:space="preserve">Phosphoramidite, 2'-OMe A(Bz) </t>
  </si>
  <si>
    <t>FRZ-5</t>
  </si>
  <si>
    <t>PA-M-A(Bz)s</t>
  </si>
  <si>
    <t>Phosphoramidite, 2'-OMe A(Bz) ps</t>
  </si>
  <si>
    <t>PR1-062</t>
  </si>
  <si>
    <t>PA-M-A-5VP(pom)</t>
  </si>
  <si>
    <t>PR1-028</t>
  </si>
  <si>
    <t>6x1g</t>
  </si>
  <si>
    <t>PA-M-C(AC)</t>
  </si>
  <si>
    <t xml:space="preserve">Phosphoramidite, 2'-OMe C(Ac) </t>
  </si>
  <si>
    <t>PA-M-C(Ac)s</t>
  </si>
  <si>
    <t>Phosphoramidite, 2'-OMe C(Ac) ps</t>
  </si>
  <si>
    <t>PR3-067</t>
  </si>
  <si>
    <t>PA-M-DAP(PAC)</t>
  </si>
  <si>
    <t>PR1-005</t>
  </si>
  <si>
    <t xml:space="preserve">4 x 1g  </t>
  </si>
  <si>
    <t>PA-M-G(IBU)</t>
  </si>
  <si>
    <t>Phosphoramidite, 2'-OMe G(iBu)</t>
  </si>
  <si>
    <t>PA-M-G(iBu)s</t>
  </si>
  <si>
    <t>Phosphoramidite, 2'-OMe G(iBu) ps</t>
  </si>
  <si>
    <t>PR2-063</t>
  </si>
  <si>
    <t>PA-M-I</t>
  </si>
  <si>
    <t xml:space="preserve">Phosphoramidite, 2'-OMe I </t>
  </si>
  <si>
    <t>PR6-001</t>
  </si>
  <si>
    <t>PA-MOE-5MC(BZ)</t>
  </si>
  <si>
    <t>Phosphoramidite, 2'-MOE 5-Me-C(BZ)</t>
  </si>
  <si>
    <t>PA-MOE-A(BZ)</t>
  </si>
  <si>
    <t>Phosphoramidite, 2'-MOE A(Bz)</t>
  </si>
  <si>
    <t>PA-MOE-G(iBu)</t>
  </si>
  <si>
    <t>Phosphoramidite, 2'-MOE G(iBu)</t>
  </si>
  <si>
    <t>PA-MOE-T</t>
  </si>
  <si>
    <t>Phosphoramidite, 2'-MOE T</t>
  </si>
  <si>
    <t>PA-M-T</t>
  </si>
  <si>
    <t>Phosphoramidite, 2'-OMe T</t>
  </si>
  <si>
    <t>PA-M-U</t>
  </si>
  <si>
    <t xml:space="preserve">Phosphoramidite, 2'-OMe U </t>
  </si>
  <si>
    <t>PA-M-U-5VP(pom)</t>
  </si>
  <si>
    <t>PR5-032</t>
  </si>
  <si>
    <t>25 x 2g</t>
  </si>
  <si>
    <t>PA-M-Us</t>
  </si>
  <si>
    <t>Phosphoramidite, 2'-OMe U ps</t>
  </si>
  <si>
    <t>PR5-052</t>
  </si>
  <si>
    <t>PA-PMO-A(Bz)</t>
  </si>
  <si>
    <t>Phosphoramidite, Morpholino A(Bz)</t>
  </si>
  <si>
    <t>PR1-007</t>
  </si>
  <si>
    <t>3 x 2g</t>
  </si>
  <si>
    <t>PA-PMO-C(Bz)</t>
  </si>
  <si>
    <t>Phosphoramidite, Morpholino C(Bz)</t>
  </si>
  <si>
    <t>PR3-014</t>
  </si>
  <si>
    <t>PA-PMO-G(iBu,O-NPE)</t>
  </si>
  <si>
    <t>PR2-012</t>
  </si>
  <si>
    <t>PA-PMO-T</t>
  </si>
  <si>
    <t>Phosphoramidite, Morpholino T</t>
  </si>
  <si>
    <t>PR4-003</t>
  </si>
  <si>
    <t xml:space="preserve"> 3 x 2g</t>
  </si>
  <si>
    <t>PA-R-A(BZ)</t>
  </si>
  <si>
    <t>Phosphoramidite, 2'-OTBDMS A(Bz)</t>
  </si>
  <si>
    <t>2 x 20g</t>
  </si>
  <si>
    <t>PA-R-C(AC)</t>
  </si>
  <si>
    <t>Phosphoramidite, 2'-OTBDMS C(Ac)</t>
  </si>
  <si>
    <t>3 x 20g</t>
  </si>
  <si>
    <t>PA-R-G(AC)</t>
  </si>
  <si>
    <t xml:space="preserve">Phosphoramidite, 2'-OTBDMS G(AC) </t>
  </si>
  <si>
    <t>PA-R-G(IBU)</t>
  </si>
  <si>
    <t xml:space="preserve">Phosphoramidite, 2'-OTBDMS G(iBu) </t>
  </si>
  <si>
    <t xml:space="preserve">4 x 20g  </t>
  </si>
  <si>
    <t>PA-R-U</t>
  </si>
  <si>
    <t>Phosphoramidite, 2'-OTBDMS U</t>
  </si>
  <si>
    <t>PA-SP18</t>
  </si>
  <si>
    <t>Phosphoramidite, Spacer 18</t>
  </si>
  <si>
    <t>OP-003</t>
  </si>
  <si>
    <t>PA-SP9</t>
  </si>
  <si>
    <t>Phosphoramidite, Spacer 9</t>
  </si>
  <si>
    <t>OP-206</t>
  </si>
  <si>
    <t>PA-SPC3</t>
  </si>
  <si>
    <t>Phosphoramidite, Spacer C3</t>
  </si>
  <si>
    <t>110894-23-0</t>
  </si>
  <si>
    <t>PA-U-A(BZ)</t>
  </si>
  <si>
    <t>Phosphoramidite, UNA A(Bz)</t>
  </si>
  <si>
    <t>PA-U-C(AC)</t>
  </si>
  <si>
    <t>Phosphoramidite, UNA C(Ac)</t>
  </si>
  <si>
    <t>9 x 5g</t>
  </si>
  <si>
    <t>PA-U-G(IBU)</t>
  </si>
  <si>
    <t xml:space="preserve">Phosphoramidite, UNA G(iBu) </t>
  </si>
  <si>
    <t>PA-U-U</t>
  </si>
  <si>
    <t>Phosphoramidite, UNA U</t>
  </si>
  <si>
    <t>Phosphoramidite, BHQ-3</t>
  </si>
  <si>
    <t>FL-A026</t>
  </si>
  <si>
    <t>Phosphoramidite, BDQ-2 (TAO)</t>
  </si>
  <si>
    <t>FL-A027</t>
  </si>
  <si>
    <t>5 x 100mg</t>
  </si>
  <si>
    <t>Phosphoramidite, Stearyl</t>
  </si>
  <si>
    <t>3 x 100mg</t>
  </si>
  <si>
    <t>2 x 250mg</t>
  </si>
  <si>
    <t>1 x 1g</t>
  </si>
  <si>
    <t>1 x 0.25g</t>
  </si>
  <si>
    <t>Phosphoramidite, Spacer C2</t>
  </si>
  <si>
    <t>Phosphoramidite, 5’-Palmitate C6</t>
  </si>
  <si>
    <t xml:space="preserve">1 x 1g  </t>
  </si>
  <si>
    <t>Phosphoramidite, Reverse Abasic</t>
  </si>
  <si>
    <t>OP-040</t>
  </si>
  <si>
    <t>PR5-042</t>
  </si>
  <si>
    <t>8 x 500mg</t>
  </si>
  <si>
    <t>PR2-018</t>
  </si>
  <si>
    <t>PR3-058</t>
  </si>
  <si>
    <t>PR1-014</t>
  </si>
  <si>
    <t>Phosphoramidite, Amino modifier 7</t>
  </si>
  <si>
    <t>LK-A023</t>
  </si>
  <si>
    <t>Phosphoramidite, HD-F570</t>
  </si>
  <si>
    <t>OP-035</t>
  </si>
  <si>
    <t>OP-028</t>
  </si>
  <si>
    <t>Verified</t>
  </si>
  <si>
    <t>PD1-001</t>
  </si>
  <si>
    <t>PD2-002</t>
  </si>
  <si>
    <t>PD3-001</t>
  </si>
  <si>
    <t>PD5-001</t>
  </si>
  <si>
    <t>PR1-004</t>
  </si>
  <si>
    <t>PR2-006</t>
  </si>
  <si>
    <t>PR3-007</t>
  </si>
  <si>
    <t>PR4-002</t>
  </si>
  <si>
    <t xml:space="preserve">Phosphoramidite, 2'-OMe 2,6-Diamino Purine </t>
  </si>
  <si>
    <t>Phosphoramidite, 5'-Biotin</t>
  </si>
  <si>
    <t>Phosphoramidite, 5'-FAM</t>
  </si>
  <si>
    <t>Phosphoramidite, cEt 5-Me-C(Bz)</t>
  </si>
  <si>
    <t>Phosphoramidite, cEt 5-Me-U</t>
  </si>
  <si>
    <t>Phosphoramidite, 2'-OMe A, 5'-vp(POM)</t>
  </si>
  <si>
    <t>Phosphoramidite, 2'-OMe U, 5'-vp(POM)</t>
  </si>
  <si>
    <t>Phosphoramidite, cEt A(Bz)</t>
  </si>
  <si>
    <t>Phosphoramidite, cEt G(iBu)</t>
  </si>
  <si>
    <t>Phosphoramidite, Morpholino G(N2-iBu,O6-NPE)</t>
  </si>
  <si>
    <t>Phosphoramidite, Tocopherol</t>
  </si>
  <si>
    <t>Phosphoramidite, d5Me-C(Ac)</t>
  </si>
  <si>
    <t>PR1-001</t>
  </si>
  <si>
    <t>PR3-001</t>
  </si>
  <si>
    <t>PR2-002</t>
  </si>
  <si>
    <t>PR5-001</t>
  </si>
  <si>
    <t>PR5-002</t>
  </si>
  <si>
    <t>PR1-008</t>
  </si>
  <si>
    <t>PR2-007</t>
  </si>
  <si>
    <t>PR3-008</t>
  </si>
  <si>
    <t>PR5-003</t>
  </si>
  <si>
    <t>PD1-004</t>
  </si>
  <si>
    <t>PD2-004</t>
  </si>
  <si>
    <t>PD3-007</t>
  </si>
  <si>
    <t>PD4-002</t>
  </si>
  <si>
    <t>PD3-009</t>
  </si>
  <si>
    <t>PD5-002</t>
  </si>
  <si>
    <t>PR1-002</t>
  </si>
  <si>
    <t>PR2-005</t>
  </si>
  <si>
    <t>PR4-001</t>
  </si>
  <si>
    <t>PR3-009</t>
  </si>
  <si>
    <t>PR5-007</t>
  </si>
  <si>
    <t>PR2-014</t>
  </si>
  <si>
    <t>PR3-018</t>
  </si>
  <si>
    <t>PR1-012</t>
  </si>
  <si>
    <t>Phosphoramidite, Amino modifier C6 dT</t>
  </si>
  <si>
    <t>Phosphoramidite, BDQ-1 (ZEN)</t>
  </si>
  <si>
    <t>Hongene DDP price</t>
  </si>
  <si>
    <t>UoM</t>
  </si>
  <si>
    <t>gram</t>
  </si>
  <si>
    <t>5 x 40g,  6 x 20g</t>
  </si>
  <si>
    <t>4 x 40g,  6 x 20g</t>
  </si>
  <si>
    <t>7 x 20g,  5 x 40g</t>
  </si>
  <si>
    <t>4 x 40g, 13 x 20g</t>
  </si>
  <si>
    <t>4 x 40g,  8 x 20g</t>
  </si>
  <si>
    <t>4 x 40g,  18 x 20g</t>
  </si>
  <si>
    <t>1 x 40g, 4 x 20g, 3 x 80g</t>
  </si>
  <si>
    <t xml:space="preserve">6 x 500mg,  6 x 250mg  </t>
  </si>
  <si>
    <t>2 x 40g,  3 x 80g,  9 x 20g</t>
  </si>
  <si>
    <t xml:space="preserve">7 x 250mg,  5 x 500mg  </t>
  </si>
  <si>
    <t>1 x 40g,  3 x 80g,  9 x 20g</t>
  </si>
  <si>
    <t xml:space="preserve">5 x 500mg,  7 x 250mg  </t>
  </si>
  <si>
    <t xml:space="preserve"> 1 x 40g, 3 x 80g, 8 x 20g</t>
  </si>
  <si>
    <t xml:space="preserve"> 20 x 250mg,  47 x 85mg</t>
  </si>
  <si>
    <t>50 x 80mg,  9 x 250mg</t>
  </si>
  <si>
    <t>10 x 1g,  50 x 85mg</t>
  </si>
  <si>
    <t>10 x 100mg,  4 x 250mg</t>
  </si>
  <si>
    <t>1x 70mg,  2x 0.25g</t>
  </si>
  <si>
    <t>10 x 100mg,   4 x 250mg</t>
  </si>
  <si>
    <t>50 x 12mg,  1 x 250mg,  50 x 80mg,  20 x 250mg,  2 x 1g</t>
  </si>
  <si>
    <t>47 x 100mg,  10 x 250mg</t>
  </si>
  <si>
    <t>5 x 20g,  14 x 10g,  4 x 40g</t>
  </si>
  <si>
    <t>15 x 10g,  5 x 40g,  4 x 20g</t>
  </si>
  <si>
    <t>15 x 10g,  5 x 20g,  4 x 40g</t>
  </si>
  <si>
    <t>50 x 120mg,  20 x 250mg</t>
  </si>
  <si>
    <t>14 x 10g,  5 x 20g,  4 x 40g</t>
  </si>
  <si>
    <t>4 x 10g, 5 x 20g</t>
  </si>
  <si>
    <t xml:space="preserve">5 x 10g,  5 x 20g </t>
  </si>
  <si>
    <t xml:space="preserve">4 x 10g,  5 x 20g </t>
  </si>
  <si>
    <t xml:space="preserve">   96 x 80mg,  20 x 1g</t>
  </si>
  <si>
    <t>Value</t>
  </si>
  <si>
    <t>Inventory Value</t>
  </si>
  <si>
    <t>Phosphoramidite, 5'-Chol-TEG</t>
  </si>
  <si>
    <t>Phosphoramidite, 5'-Palm C7</t>
  </si>
  <si>
    <t>NHS, Cy5</t>
  </si>
  <si>
    <t>NHS-Cy5</t>
  </si>
  <si>
    <t>PA-SPC2</t>
  </si>
  <si>
    <t>Phosphoramidite, Doubler Asymmetrical</t>
  </si>
  <si>
    <t>Phosphoramidite, Doubler Symmetrical</t>
  </si>
  <si>
    <t>Phosphoramidite, HQ-F554</t>
  </si>
  <si>
    <t>PA-HQ-F554</t>
  </si>
  <si>
    <t>PA-InvAb</t>
  </si>
  <si>
    <t>PA-HD-F570</t>
  </si>
  <si>
    <t>PA-cEt-T</t>
  </si>
  <si>
    <t>PA-cEt-G(iBu)</t>
  </si>
  <si>
    <t>PA-cEt-A(Bz)</t>
  </si>
  <si>
    <t>PA-cEt-5Me-C(Bz)</t>
  </si>
  <si>
    <t>PA-Biotin-TEG</t>
  </si>
  <si>
    <t>Phosphoramidite,  Trebler</t>
  </si>
  <si>
    <t>PA-Trebler-1</t>
  </si>
  <si>
    <t>PA-5Chol-TEG</t>
  </si>
  <si>
    <t>PA-C6NH2-TFA</t>
  </si>
  <si>
    <t>CPG-</t>
  </si>
  <si>
    <t>30 x 20g, 4 x 40g, 4X5g</t>
  </si>
  <si>
    <t>10 x 2g, 3x1g</t>
  </si>
  <si>
    <t xml:space="preserve"> 43 x 80mg,  9 x 1g,  41 x 250mg</t>
  </si>
  <si>
    <t>Glycogene DDP Price</t>
  </si>
  <si>
    <t>PA-FANA-A(Bz)</t>
  </si>
  <si>
    <t>PA-FANA-G(IBU)</t>
  </si>
  <si>
    <t>PA-FANA-C(AC)</t>
  </si>
  <si>
    <t>PA-FANA-T</t>
  </si>
  <si>
    <t>Phosphoramidite, 2'-FANA A(Bz)</t>
  </si>
  <si>
    <t>Phosphoramidite, 2'-FANA G(IBU)</t>
  </si>
  <si>
    <t>Phosphoramidite, 2'-FANA C(AC)</t>
  </si>
  <si>
    <t>Phosphoramidite, 2'-FANA T</t>
  </si>
  <si>
    <t>PD1-015</t>
  </si>
  <si>
    <t>PD2-012</t>
  </si>
  <si>
    <t>PD3-015</t>
  </si>
  <si>
    <t>PD4-040</t>
  </si>
  <si>
    <t>~74</t>
  </si>
  <si>
    <t>PA-D-A(PAC)</t>
  </si>
  <si>
    <t>PA-D-G(PAC)</t>
  </si>
  <si>
    <t>CPG, 500A, Inverted abasic</t>
  </si>
  <si>
    <t>Unit Price</t>
  </si>
  <si>
    <t>Acetonitrile</t>
  </si>
  <si>
    <t>CPG, 500A, Inverted dT</t>
  </si>
  <si>
    <t>Phosphoramidite, L96</t>
  </si>
  <si>
    <t>PA-GALNAC-5</t>
  </si>
  <si>
    <t>PA-D-U-5OHBUTYNL</t>
  </si>
  <si>
    <t>Phosphoramidite, 5-hydroxybutynl dU</t>
  </si>
  <si>
    <t>SO-ACN</t>
  </si>
  <si>
    <t>AB-ACOH</t>
  </si>
  <si>
    <t>Acetic acid</t>
  </si>
  <si>
    <t>L</t>
  </si>
  <si>
    <t>CPG, 1000A, Universal</t>
  </si>
  <si>
    <t>2-Azido-1,3-dimethylimidazolinium Hexafluorophosphate</t>
  </si>
  <si>
    <t>1266134-54-6</t>
  </si>
  <si>
    <t>Phosphoramidite, dA(PAC)</t>
  </si>
  <si>
    <t>PA-D-A(PAC)-POET</t>
  </si>
  <si>
    <t>Phosphoramidite, dA(PAC) P-ethoxy</t>
  </si>
  <si>
    <t>PA-D-T-POET</t>
  </si>
  <si>
    <t>Phosphoramidite, dT P-ethoxy</t>
  </si>
  <si>
    <t>2-Phenoxyacetic anhydride</t>
  </si>
  <si>
    <t>(4aS,7R,8aS)-9,9-Dimethyltetrahydro-4H-4a,7-
methanobenzo[c][1,2]oxazireno[2,3-b]isothiazole
3,3--dioxide</t>
  </si>
  <si>
    <t>Phosphoramidite, dG(PAC)</t>
  </si>
  <si>
    <t>Phosphoramidite, 2'-MOE 2,6-diamino purine</t>
  </si>
  <si>
    <t>PA-MOE-DAP</t>
  </si>
  <si>
    <t>DDTT</t>
  </si>
  <si>
    <t>Arctom</t>
  </si>
  <si>
    <t>NHS-Bis-PEG5-N</t>
  </si>
  <si>
    <t>NHS, Bis PEG5</t>
  </si>
  <si>
    <t>Quanta</t>
  </si>
  <si>
    <t>PA-TNA-T</t>
  </si>
  <si>
    <t>PA-TNA-A(BZ)</t>
  </si>
  <si>
    <t>PA-TNA-C(BZ)</t>
  </si>
  <si>
    <t>Phosphoramidite, TNA T</t>
  </si>
  <si>
    <t>Phosphoramidite, TNA A(BZ)</t>
  </si>
  <si>
    <t>Phosphoramidite, TNA C(BZ)</t>
  </si>
  <si>
    <t>TBAPP</t>
  </si>
  <si>
    <t>DSK Bio</t>
  </si>
  <si>
    <t>PA-R-A(BZ) 5'2'</t>
  </si>
  <si>
    <t>Phosphoramidite, rA 5'2'</t>
  </si>
  <si>
    <t>SO-DCM</t>
  </si>
  <si>
    <t>DCM</t>
  </si>
  <si>
    <t>Phosphoramidite, dA(BZ) P-Methyl</t>
  </si>
  <si>
    <t>Phosphoramidite, dG(IBU) P-Methyl</t>
  </si>
  <si>
    <t>Phosphoramidite, dT P-Methyl</t>
  </si>
  <si>
    <t>PA-D-A(BZ) 5'2'</t>
  </si>
  <si>
    <t>Phosphoramidite, dA 5'2'</t>
  </si>
  <si>
    <t>SO-THF</t>
  </si>
  <si>
    <t>THF</t>
  </si>
  <si>
    <t>SO-PYR</t>
  </si>
  <si>
    <t>Pyridine</t>
  </si>
  <si>
    <t>PA-TNA-G(Ac)</t>
  </si>
  <si>
    <t>Phosphoramidite, TNA G(Ac)</t>
  </si>
  <si>
    <t>PA-TEG-Chol</t>
  </si>
  <si>
    <t>PA-Doubler-2</t>
  </si>
  <si>
    <t>PA-Doubler</t>
  </si>
  <si>
    <t>PA-Tocopherol</t>
  </si>
  <si>
    <t>PA-Stearyl</t>
  </si>
  <si>
    <t>CPG, 500A, Universal</t>
  </si>
  <si>
    <t>CPG-500-Unylinker</t>
  </si>
  <si>
    <t>CPG-1000-Unylinker</t>
  </si>
  <si>
    <t>DCI</t>
  </si>
  <si>
    <t>ETT</t>
  </si>
  <si>
    <t>AC-DCI</t>
  </si>
  <si>
    <t>AC-ETT</t>
  </si>
  <si>
    <t>OX-DDTT</t>
  </si>
  <si>
    <t>BTT</t>
  </si>
  <si>
    <t>AC-BTT</t>
  </si>
  <si>
    <t>OX-I2</t>
  </si>
  <si>
    <t>Iodine</t>
  </si>
  <si>
    <t>AB-MENH2</t>
  </si>
  <si>
    <t>Methylamine, aqueous</t>
  </si>
  <si>
    <t>mL</t>
  </si>
  <si>
    <t>SO-PHENOXYANHYDRIDE</t>
  </si>
  <si>
    <t>SO-ACETICANHYDRIDE</t>
  </si>
  <si>
    <t>Acetic anhydride</t>
  </si>
  <si>
    <t>SO-HFIP</t>
  </si>
  <si>
    <t>HFIP</t>
  </si>
  <si>
    <t>AB-TEA</t>
  </si>
  <si>
    <t>Triethylamine</t>
  </si>
  <si>
    <t>SO-IPA</t>
  </si>
  <si>
    <t>Isopropanol</t>
  </si>
  <si>
    <t>SO-1Methylimidazole</t>
  </si>
  <si>
    <t>1-Methylimidazole</t>
  </si>
  <si>
    <t>AB-NH4OH</t>
  </si>
  <si>
    <t>Ammonium hydroxide</t>
  </si>
  <si>
    <t>AB-DEA</t>
  </si>
  <si>
    <t>Diethylamine</t>
  </si>
  <si>
    <t>MS-4A</t>
  </si>
  <si>
    <t>Molecular sieves, 4A 8-12mesh</t>
  </si>
  <si>
    <t>SO-Pyridine</t>
  </si>
  <si>
    <t>AB-HCL</t>
  </si>
  <si>
    <t>Hydrochloric acid, ACS grade</t>
  </si>
  <si>
    <t>SA-NACLO4</t>
  </si>
  <si>
    <t>Sodium perchlorate</t>
  </si>
  <si>
    <t>SA-TBAPP</t>
  </si>
  <si>
    <t>SO-Toluene</t>
  </si>
  <si>
    <t>Toluene</t>
  </si>
  <si>
    <t>SO-Acetone</t>
  </si>
  <si>
    <t>Acetone</t>
  </si>
  <si>
    <t>SO-1BUTANOL</t>
  </si>
  <si>
    <t>1-Butanol</t>
  </si>
  <si>
    <t>SO-ETHYLACETATE</t>
  </si>
  <si>
    <t>Ethyl acetate</t>
  </si>
  <si>
    <t>SO-MEOH</t>
  </si>
  <si>
    <t>Methanol</t>
  </si>
  <si>
    <t>SO-ETOH</t>
  </si>
  <si>
    <t>Ethanol</t>
  </si>
  <si>
    <t>MS-3A</t>
  </si>
  <si>
    <t xml:space="preserve">Molecular sieves, 3A </t>
  </si>
  <si>
    <t>SO-TMSI</t>
  </si>
  <si>
    <t>Iodo trimethylsilane</t>
  </si>
  <si>
    <t>SO-TEAA-2M</t>
  </si>
  <si>
    <t>2M TEAA</t>
  </si>
  <si>
    <t>SO-DMF</t>
  </si>
  <si>
    <t>DMF</t>
  </si>
  <si>
    <t>AB-H3PO4</t>
  </si>
  <si>
    <t>Phosphoric acid</t>
  </si>
  <si>
    <t>RS-UNIPS30300</t>
  </si>
  <si>
    <t>UniPS 30-300, 30um, 300A</t>
  </si>
  <si>
    <t>CPG, 1000A, rA(bz)</t>
  </si>
  <si>
    <t>CPG-1000-RU</t>
  </si>
  <si>
    <t>CPG, 1000A, rC(AC)</t>
  </si>
  <si>
    <t>CPG, 1000A, rG(IBU)</t>
  </si>
  <si>
    <t>CPG-500-SpC3</t>
  </si>
  <si>
    <t>CPG, 500A, Spacer C3</t>
  </si>
  <si>
    <t>CPG-1000-SpC3</t>
  </si>
  <si>
    <t>CPG-2000-RU</t>
  </si>
  <si>
    <t>CPG, 2000A, Spacer C3</t>
  </si>
  <si>
    <t>CPG, 2000A, rA(bz)</t>
  </si>
  <si>
    <t>CPG, 2000A, rC(AC)</t>
  </si>
  <si>
    <t>CPG, 2000A, rG(IBU)</t>
  </si>
  <si>
    <t>CPG, 2000A, rU</t>
  </si>
  <si>
    <t>CPG-500-RU</t>
  </si>
  <si>
    <t>CPG, 500A, rA(bz)</t>
  </si>
  <si>
    <t>CPG, 500A, rC(AC)</t>
  </si>
  <si>
    <t>CPG, 500A, rG(IBU)</t>
  </si>
  <si>
    <t>CPG, 500A, rU</t>
  </si>
  <si>
    <t>CPG-1000-RA(BZ)</t>
  </si>
  <si>
    <t>CPG-1000-RC(AC)</t>
  </si>
  <si>
    <t>CPG-1000-RG(IBU)</t>
  </si>
  <si>
    <t>CPG-2000-RA(BZ)</t>
  </si>
  <si>
    <t>CPG-500-RA(BZ)</t>
  </si>
  <si>
    <t>CPG-2000-RC(AC)</t>
  </si>
  <si>
    <t>CPG-500-RC(AC)</t>
  </si>
  <si>
    <t>CPG-2000-RG(IBU)</t>
  </si>
  <si>
    <t>CPG-500-RG(IBU)</t>
  </si>
  <si>
    <t>CPG-500-DA(BZ)</t>
  </si>
  <si>
    <t>CPG-1000-DA(BZ)</t>
  </si>
  <si>
    <t>CPG-2000-DA(BZ)</t>
  </si>
  <si>
    <t>CPG-500-DC(AC)</t>
  </si>
  <si>
    <t>CPG-1000-DC(AC)</t>
  </si>
  <si>
    <t>CPG-2000-DC(AC)</t>
  </si>
  <si>
    <t>CPG, 500A, dA(BZ)</t>
  </si>
  <si>
    <t>CPG, 1000A, dA(BZ)</t>
  </si>
  <si>
    <t>CPG, 2000A, dA(BZ)</t>
  </si>
  <si>
    <t>CPG-500-DG(IBU)</t>
  </si>
  <si>
    <t>CPG-1000-DG(IBU)</t>
  </si>
  <si>
    <t>CPG-2000-DG(IBU)</t>
  </si>
  <si>
    <t>CPG-500-DT</t>
  </si>
  <si>
    <t>CPG-1000-DT</t>
  </si>
  <si>
    <t>CPG-2000-DT</t>
  </si>
  <si>
    <t>CPG-2000-Unylinker</t>
  </si>
  <si>
    <t>CPG-3000-Unylinker</t>
  </si>
  <si>
    <t>CPG, 2000A, Universal</t>
  </si>
  <si>
    <t>CPG, 3000A, Universal</t>
  </si>
  <si>
    <t>100umol</t>
  </si>
  <si>
    <t>CPG, 500A, 3'Amino modifier C6 TFA</t>
  </si>
  <si>
    <t>CPG, 1000A, 3'Amino modifier C6 TFA</t>
  </si>
  <si>
    <t>CPG, 1000A, DMT C6 Disulfide</t>
  </si>
  <si>
    <t>CPG, 500A, DMT C6 Disulfide</t>
  </si>
  <si>
    <t>CPG, 1000A, DMT C3 Disulfide</t>
  </si>
  <si>
    <t>CPG, 500A, DMT C3 Disulfide</t>
  </si>
  <si>
    <t>SA-NABR</t>
  </si>
  <si>
    <t>Sodium bromide</t>
  </si>
  <si>
    <t>30 x 100umol</t>
  </si>
  <si>
    <t>Phosphoramidite, DBCO-TEG</t>
  </si>
  <si>
    <t>SA-Urea</t>
  </si>
  <si>
    <t>Urea</t>
  </si>
  <si>
    <t>SA-Tris</t>
  </si>
  <si>
    <t>Tris</t>
  </si>
  <si>
    <t>SO-DMSO</t>
  </si>
  <si>
    <t>DMSO</t>
  </si>
  <si>
    <t>SA-N(ET)4F</t>
  </si>
  <si>
    <t>Tetraehtylammonium fluride</t>
  </si>
  <si>
    <t>CELL-2KDA-0.1</t>
  </si>
  <si>
    <t>Cellulose, 2KDA MWCO 0.1M2</t>
  </si>
  <si>
    <t>ea</t>
  </si>
  <si>
    <t>RS-SEPHADEX-G25</t>
  </si>
  <si>
    <t>Sephadex G-25 Fine</t>
  </si>
  <si>
    <t>CPG-2000-MA(BZ)</t>
  </si>
  <si>
    <t>CPG, 2000A, 2'OMe A(BZ)</t>
  </si>
  <si>
    <t>CPG-2000-MG(IBU)</t>
  </si>
  <si>
    <t>CPG, 2000A, 2'OMe G(IBU)</t>
  </si>
  <si>
    <t>CPG-2000-MC(AC)</t>
  </si>
  <si>
    <t>CPG, 2000A, 2'OMe C(AC)</t>
  </si>
  <si>
    <t>CPG-2000-MU</t>
  </si>
  <si>
    <t>CPG, 2000A, 2'OMe U</t>
  </si>
  <si>
    <t>SO-PIPERIDINE</t>
  </si>
  <si>
    <t>Piperidine</t>
  </si>
  <si>
    <t>SA-NAN3</t>
  </si>
  <si>
    <t>Sodium azide</t>
  </si>
  <si>
    <t>SA-NAHS</t>
  </si>
  <si>
    <t>Sodium hydrosulfide</t>
  </si>
  <si>
    <t>SA-NAHCO3</t>
  </si>
  <si>
    <t>Sodium bicarbonate</t>
  </si>
  <si>
    <t>SA-NAOAC-3M</t>
  </si>
  <si>
    <t>Sodium acetate, 3M</t>
  </si>
  <si>
    <t>AB-DIPEA</t>
  </si>
  <si>
    <t>DIPEA</t>
  </si>
  <si>
    <t>AB-DBU</t>
  </si>
  <si>
    <t>DBU</t>
  </si>
  <si>
    <t>AB-NH2CH2CH2NH2</t>
  </si>
  <si>
    <t>Ethylene diamine</t>
  </si>
  <si>
    <t>AC-HATU</t>
  </si>
  <si>
    <t>HATU</t>
  </si>
  <si>
    <t>AC-HBTU</t>
  </si>
  <si>
    <t>HBTU</t>
  </si>
  <si>
    <t>SA-NAI</t>
  </si>
  <si>
    <t>Sodium iodide</t>
  </si>
  <si>
    <t>SA-K2CO3</t>
  </si>
  <si>
    <t>Potassium carbonate</t>
  </si>
  <si>
    <t>AB-DCA</t>
  </si>
  <si>
    <t>Dichloroacetic acid</t>
  </si>
  <si>
    <t>RS-TSKSUPERQ5PW20</t>
  </si>
  <si>
    <t>TSKGel superQ5PW(20)</t>
  </si>
  <si>
    <t>NHS, DBCO PEG4</t>
  </si>
  <si>
    <t>NHS, Tetrazine</t>
  </si>
  <si>
    <t>NHS-DBCO-PEG4-N</t>
  </si>
  <si>
    <t>NHS-Tetrazine-N</t>
  </si>
  <si>
    <t>NHS-TCO-PEG4-N</t>
  </si>
  <si>
    <t>NHS, TCO-PEG4</t>
  </si>
  <si>
    <t>NHS, Azidoacetic acid</t>
  </si>
  <si>
    <t>NHS-</t>
  </si>
  <si>
    <t>PA-Sp12</t>
  </si>
  <si>
    <t>phosphoramidie, Spacer 12</t>
  </si>
  <si>
    <t>CPG-1000-TEG-Chol</t>
  </si>
  <si>
    <t>CPG, 1000A, TEG CHOL</t>
  </si>
  <si>
    <t>NHS, Azido PEG4</t>
  </si>
  <si>
    <t>NHS-Azido-PEG4-N</t>
  </si>
  <si>
    <t>CPG-1000-MA(BZ)</t>
  </si>
  <si>
    <t>CPG-1000-MG(IBU)</t>
  </si>
  <si>
    <t>CPG-1000-MC(AC)</t>
  </si>
  <si>
    <t>CPG-1000-MU</t>
  </si>
  <si>
    <t>CPG, 1000A, 2'OMe A(BZ)</t>
  </si>
  <si>
    <t>CPG, 1000A, 2'OMe G(IBU)</t>
  </si>
  <si>
    <t>CPG, 1000A, 2'OMe C(AC)</t>
  </si>
  <si>
    <t>CPG, 1000A, 2'OMe U</t>
  </si>
  <si>
    <t>CPG-2000-FA(BZ)</t>
  </si>
  <si>
    <t>CPG-2000-FC(AC)</t>
  </si>
  <si>
    <t>CPG-2000-FG(IBU)</t>
  </si>
  <si>
    <t>CPG-2000-FU</t>
  </si>
  <si>
    <t>CPG, 2000A, 2'F U</t>
  </si>
  <si>
    <t>CPG, 2000A, 2'F G(IBU)</t>
  </si>
  <si>
    <t>CPG, 2000A, 2'F C(AC)</t>
  </si>
  <si>
    <t>CPG, 2000A, 2'F A(BZ)</t>
  </si>
  <si>
    <t>CPG-1000-FA(BZ)</t>
  </si>
  <si>
    <t>CPG-1000-FC(AC)</t>
  </si>
  <si>
    <t>CPG-1000-FG(IBU)</t>
  </si>
  <si>
    <t>CPG-1000-FU</t>
  </si>
  <si>
    <t>CPG, 1000A, 2'F A(BZ)</t>
  </si>
  <si>
    <t>CPG, 1000A, 2'F C(AC)</t>
  </si>
  <si>
    <t>CPG, 1000A, 2'F G(IBU)</t>
  </si>
  <si>
    <t>CPG, 1000A, 2'F U</t>
  </si>
  <si>
    <t>AC-XH</t>
  </si>
  <si>
    <t>Xanthine hydride</t>
  </si>
  <si>
    <t>Hitgene DDP Price</t>
  </si>
  <si>
    <t>Wuhu Huaren DDP Price</t>
  </si>
  <si>
    <t>Chemgene DDP Price</t>
  </si>
  <si>
    <t>Other vendor price</t>
  </si>
  <si>
    <t>Chemgene Price</t>
  </si>
  <si>
    <t>Hongene Price</t>
  </si>
  <si>
    <t>Synthpore Price</t>
  </si>
  <si>
    <t>PA-D-A(BZ) P-Me</t>
  </si>
  <si>
    <t>Other Price</t>
  </si>
  <si>
    <t>Broadpharm</t>
  </si>
  <si>
    <t>Lumiprobe</t>
  </si>
  <si>
    <t>Vector Lab Price</t>
  </si>
  <si>
    <t>AIC Price</t>
  </si>
  <si>
    <t>Oakwood price</t>
  </si>
  <si>
    <t>Sigma Price</t>
  </si>
  <si>
    <t>PA-D-T-P-Me</t>
  </si>
  <si>
    <t>PA-D-G(IBU)-P-Me</t>
  </si>
  <si>
    <t>19 x 250mg,  31 x 65mg,   3 x 1g</t>
  </si>
  <si>
    <t>5 x 250mg,  16 x 100umol, 6x1g</t>
  </si>
  <si>
    <t>Pack 80g</t>
  </si>
  <si>
    <t>DNA-A(Bz)</t>
  </si>
  <si>
    <t>S1</t>
  </si>
  <si>
    <t>DNA-G(ibu)</t>
  </si>
  <si>
    <t>S2</t>
  </si>
  <si>
    <t>DNA-T</t>
  </si>
  <si>
    <t>S5</t>
  </si>
  <si>
    <t>S3</t>
  </si>
  <si>
    <t>S4</t>
  </si>
  <si>
    <t>MOE-G(ibu)</t>
  </si>
  <si>
    <t>MOE-T</t>
  </si>
  <si>
    <t>LNA-G(dmf)</t>
  </si>
  <si>
    <t>LNA-G(iBu)</t>
  </si>
  <si>
    <t>D3</t>
  </si>
  <si>
    <t>mU</t>
  </si>
  <si>
    <t>fU</t>
  </si>
  <si>
    <t>3’-rU</t>
  </si>
  <si>
    <t>rU (TC)</t>
  </si>
  <si>
    <t>UNA-U</t>
  </si>
  <si>
    <t>rU (TOM)</t>
  </si>
  <si>
    <t>L-dT</t>
  </si>
  <si>
    <t>L-rU</t>
  </si>
  <si>
    <t>D4</t>
  </si>
  <si>
    <t>3’-dT</t>
  </si>
  <si>
    <t>P-Me-dT</t>
  </si>
  <si>
    <t>P-Me-mU</t>
  </si>
  <si>
    <t>PMO-T</t>
  </si>
  <si>
    <t>cEt-T</t>
  </si>
  <si>
    <t>FANA-T</t>
  </si>
  <si>
    <t>dA(PAC)</t>
  </si>
  <si>
    <t>dG(iPAC)</t>
  </si>
  <si>
    <t>VPmU</t>
  </si>
  <si>
    <t>D1</t>
  </si>
  <si>
    <t>VPmA</t>
  </si>
  <si>
    <t>mUs</t>
  </si>
  <si>
    <t>TNA-T</t>
  </si>
  <si>
    <t>GNA-T</t>
  </si>
  <si>
    <t>D2</t>
  </si>
  <si>
    <t>mT</t>
  </si>
  <si>
    <t>mI</t>
  </si>
  <si>
    <t>Inverted abasic</t>
  </si>
  <si>
    <t>dI</t>
  </si>
  <si>
    <t>Cholesterol TEG</t>
  </si>
  <si>
    <t>Cyanine 3</t>
  </si>
  <si>
    <t>Amino C6 dT</t>
  </si>
  <si>
    <t>5’ Palmitate</t>
  </si>
  <si>
    <t>C7-Palmitate</t>
  </si>
  <si>
    <t>FRZ-10</t>
  </si>
  <si>
    <t>FRZ-12</t>
  </si>
  <si>
    <t>FRZ-11</t>
  </si>
  <si>
    <t>Freezer</t>
  </si>
  <si>
    <t>2’-Amino-U</t>
  </si>
  <si>
    <t>PD5-031</t>
  </si>
  <si>
    <t>PD2-070</t>
  </si>
  <si>
    <t>BP-P036</t>
  </si>
  <si>
    <t>PD2-003</t>
  </si>
  <si>
    <t>PD4-001</t>
  </si>
  <si>
    <t>PD1-003</t>
  </si>
  <si>
    <t>PD3-005</t>
  </si>
  <si>
    <t>OP-034</t>
  </si>
  <si>
    <t>CUSTOM</t>
  </si>
  <si>
    <t>C8 Amidite</t>
  </si>
  <si>
    <t>194015-05-9</t>
  </si>
  <si>
    <t>C11 Amidite</t>
  </si>
  <si>
    <t>C14 Amidite</t>
  </si>
  <si>
    <t>125676-85-9</t>
  </si>
  <si>
    <t>19987-41-6</t>
  </si>
  <si>
    <t>CLP-2706</t>
  </si>
  <si>
    <t>CLP-2795</t>
  </si>
  <si>
    <t>Stearyl amidite</t>
  </si>
  <si>
    <t>10-1979</t>
  </si>
  <si>
    <t>Amino modifier 7</t>
  </si>
  <si>
    <t>Amino modifier serinol</t>
  </si>
  <si>
    <t>TFA PEG4 amidite</t>
  </si>
  <si>
    <t>1384068-23-8</t>
  </si>
  <si>
    <t>mG(ibu)</t>
  </si>
  <si>
    <t>PR2-003</t>
  </si>
  <si>
    <t>PD6-002</t>
  </si>
  <si>
    <t>PR6-001,ANP-5758</t>
  </si>
  <si>
    <t>PA-1042</t>
  </si>
  <si>
    <t>PR3-083,237060-94-5</t>
  </si>
  <si>
    <t>L-rG(ibu)</t>
  </si>
  <si>
    <t>L-rC(ac)</t>
  </si>
  <si>
    <t>PR2-064,679809-76-8</t>
  </si>
  <si>
    <t>PR5-064,144490-31-3</t>
  </si>
  <si>
    <t>1803193-36-3</t>
  </si>
  <si>
    <t>157327-97-4</t>
  </si>
  <si>
    <t>142103-12-6</t>
  </si>
  <si>
    <t>157327-96-3</t>
  </si>
  <si>
    <t>PR2-051</t>
  </si>
  <si>
    <t>LK-A007</t>
  </si>
  <si>
    <t>LK-A008</t>
  </si>
  <si>
    <t>Total, umol</t>
  </si>
  <si>
    <t>Total, g</t>
  </si>
  <si>
    <t>misc.</t>
  </si>
  <si>
    <t>LK-A035</t>
  </si>
  <si>
    <t>PA-3121</t>
  </si>
  <si>
    <t>FANA-G(DMF)</t>
  </si>
  <si>
    <t>FANA-C(AC)</t>
  </si>
  <si>
    <t>PA-4121</t>
  </si>
  <si>
    <t>PA-1121</t>
  </si>
  <si>
    <t>TNA-G (AC)</t>
  </si>
  <si>
    <t>N/A</t>
  </si>
  <si>
    <t>PA-1002</t>
  </si>
  <si>
    <t>PA-1001</t>
  </si>
  <si>
    <t>P-Me-mA (bz)</t>
  </si>
  <si>
    <t>P-Me-mC (ac)</t>
  </si>
  <si>
    <t>P-Me-mG (ibu)</t>
  </si>
  <si>
    <t>P-Me-dG(ibu)</t>
  </si>
  <si>
    <t>PD2-071</t>
  </si>
  <si>
    <t>PD4-046</t>
  </si>
  <si>
    <t>PD1-060</t>
  </si>
  <si>
    <t>P-Me-dC(ac)</t>
  </si>
  <si>
    <t>PD3-090</t>
  </si>
  <si>
    <t>PD4-003</t>
  </si>
  <si>
    <t>PD2-005</t>
  </si>
  <si>
    <t>PD3-006</t>
  </si>
  <si>
    <t>PD1-006</t>
  </si>
  <si>
    <t>PR1-029</t>
  </si>
  <si>
    <t>PR2-034</t>
  </si>
  <si>
    <t>PR3-034</t>
  </si>
  <si>
    <t>PR5-027</t>
  </si>
  <si>
    <t>PD5-006</t>
  </si>
  <si>
    <t>PD1-012</t>
  </si>
  <si>
    <t>PD2-009</t>
  </si>
  <si>
    <t>PD3-012</t>
  </si>
  <si>
    <t>PD2-016</t>
  </si>
  <si>
    <t>PR3-040</t>
  </si>
  <si>
    <t>PR5-030</t>
  </si>
  <si>
    <t>PD2-044</t>
  </si>
  <si>
    <t>PD1-042</t>
  </si>
  <si>
    <t>PD3-067</t>
  </si>
  <si>
    <t>PD4-032</t>
  </si>
  <si>
    <t>PR2-069</t>
  </si>
  <si>
    <t>PR2-050</t>
  </si>
  <si>
    <t>PR1-070</t>
  </si>
  <si>
    <t>PR3-072</t>
  </si>
  <si>
    <t>PR5-056</t>
  </si>
  <si>
    <t>PR2-075</t>
  </si>
  <si>
    <t>PR5-072</t>
  </si>
  <si>
    <t>Material Name</t>
  </si>
  <si>
    <t>Vendor Catalog No.</t>
  </si>
  <si>
    <t>N-4000-05</t>
  </si>
  <si>
    <t>N-4000-20</t>
  </si>
  <si>
    <t>N-4000-30</t>
  </si>
  <si>
    <t>CPG, 1000A, 3'-PT Amino modifier C6</t>
  </si>
  <si>
    <t>HONGENE</t>
  </si>
  <si>
    <t>CPG, 500A, Pyro Azide</t>
  </si>
  <si>
    <t>N-4000-10, SP0545X4050</t>
  </si>
  <si>
    <t>LS1</t>
  </si>
  <si>
    <t>LS2</t>
  </si>
  <si>
    <t>CPG, 500A, 3' C7 Palmityl</t>
  </si>
  <si>
    <t>ON-423</t>
  </si>
  <si>
    <t>RS2</t>
  </si>
  <si>
    <t>CPG-500-MA(BZ)</t>
  </si>
  <si>
    <t>CPG-500-MC(AC)</t>
  </si>
  <si>
    <t>CPG-500-MG(IBU)</t>
  </si>
  <si>
    <t>CPG-500-MU</t>
  </si>
  <si>
    <t>CPG, 500A, 2'OMe A(BZ)</t>
  </si>
  <si>
    <t>CPG, 500A, 2'OMe C(AC)</t>
  </si>
  <si>
    <t>CPG, 500A, 2'OMe G(IBU)</t>
  </si>
  <si>
    <t>CPG, 500A, 2'OMe U</t>
  </si>
  <si>
    <t>N-7905-05</t>
  </si>
  <si>
    <t>N-7910-05</t>
  </si>
  <si>
    <t>N-7904-05</t>
  </si>
  <si>
    <t>N-5103-20</t>
  </si>
  <si>
    <t>N-5104-20</t>
  </si>
  <si>
    <t>N-5212-20</t>
  </si>
  <si>
    <t>CPG, 500A, Abasic</t>
  </si>
  <si>
    <t>CPG, 1000A, Abasic</t>
  </si>
  <si>
    <t>CPG, 500A, LNA-A(BZ)</t>
  </si>
  <si>
    <t>CPG, 500A, BiotinTEG</t>
  </si>
  <si>
    <t>SP0361X1525</t>
  </si>
  <si>
    <t>SP0407X1525</t>
  </si>
  <si>
    <t>SP0352X1525</t>
  </si>
  <si>
    <t>SP0349X1525</t>
  </si>
  <si>
    <t>HONGENE,SP0188X4050</t>
  </si>
  <si>
    <t>HONGENE,SP0186X4050</t>
  </si>
  <si>
    <t>HONGENE,SP0189X4050</t>
  </si>
  <si>
    <t>SP0269X8090</t>
  </si>
  <si>
    <t>SP0272X8090</t>
  </si>
  <si>
    <t>SP0282X4050</t>
  </si>
  <si>
    <t>SP0281X4050</t>
  </si>
  <si>
    <t>SP0279X4050</t>
  </si>
  <si>
    <t>SP0421X1525</t>
  </si>
  <si>
    <t>SP0422X1525</t>
  </si>
  <si>
    <t>SP0424X1525</t>
  </si>
  <si>
    <t>SP0425X1525</t>
  </si>
  <si>
    <t>SP0289X4050</t>
  </si>
  <si>
    <t>SP0285X4050</t>
  </si>
  <si>
    <t>CPG, 500A, Phosphate</t>
  </si>
  <si>
    <t>CPG, 500A, Cholesterol TEG</t>
  </si>
  <si>
    <t>CPG, 1000A, BiotinTEG</t>
  </si>
  <si>
    <t>ML-C003</t>
  </si>
  <si>
    <t>CPG, 1000A, 3'Amino modifier C7 TFA</t>
  </si>
  <si>
    <t>LK-C037</t>
  </si>
  <si>
    <t>CPG, 3'MGB-BQ2</t>
  </si>
  <si>
    <t>FL-C032</t>
  </si>
  <si>
    <t>genepoly</t>
  </si>
  <si>
    <t>CPG, 3000A, 2'OMe A(BZ)</t>
  </si>
  <si>
    <t>CPG, 3000A, 2'OMe C(AC)</t>
  </si>
  <si>
    <t>CPG, 3000A, 2'OMe G(IBU)</t>
  </si>
  <si>
    <t>CPG, 3000A, 2'OMe U</t>
  </si>
  <si>
    <t>CPG, 1000A, LNA-A(BZ)</t>
  </si>
  <si>
    <t>CPG, 1000A, 3'Amino modifier C7</t>
  </si>
  <si>
    <t>CPG, 1000A, rU</t>
  </si>
  <si>
    <t>CPG, 1000A, 6FAM</t>
  </si>
  <si>
    <t>CPG, 500A, BHQ1</t>
  </si>
  <si>
    <t>CPG, 500A, BHQ2</t>
  </si>
  <si>
    <t>CPG, 1000A, MGB</t>
  </si>
  <si>
    <t>CPG, 1000A, TAMRA</t>
  </si>
  <si>
    <t>CPG, 1000A, 2'3'ddC</t>
  </si>
  <si>
    <t>CPG, 1000A, Pyro Azide</t>
  </si>
  <si>
    <t>N-9976-10</t>
  </si>
  <si>
    <t>N-9987-05</t>
  </si>
  <si>
    <t>N-9976-05</t>
  </si>
  <si>
    <t>CPG, 1000A, 3'amino modifier serinol</t>
  </si>
  <si>
    <t>20-2997</t>
  </si>
  <si>
    <t>LS3</t>
  </si>
  <si>
    <t>RS3</t>
  </si>
  <si>
    <t>ON-133</t>
  </si>
  <si>
    <t>misc A, C, G, U, 2'O C16 lipid</t>
  </si>
  <si>
    <t>SC-200768A</t>
  </si>
  <si>
    <t>Biotin amidite</t>
  </si>
  <si>
    <t>CLP-1517</t>
  </si>
  <si>
    <t>5'thiol C6 disulfide modifier</t>
  </si>
  <si>
    <t>CLP-8506</t>
  </si>
  <si>
    <t>DBCO-TEG</t>
  </si>
  <si>
    <t>5'Carboxy modifier C10</t>
  </si>
  <si>
    <t>10-1935</t>
  </si>
  <si>
    <t>10-1941, Hongene</t>
  </si>
  <si>
    <t>CLP-1114</t>
  </si>
  <si>
    <t>CLP-9908</t>
  </si>
  <si>
    <t>CLP-1120</t>
  </si>
  <si>
    <t>CLP-9009</t>
  </si>
  <si>
    <t>CLP-5215</t>
  </si>
  <si>
    <t>Asymmetrical branching</t>
  </si>
  <si>
    <t>CLP-7169</t>
  </si>
  <si>
    <t>Symmetrical branching</t>
  </si>
  <si>
    <t>10-1920</t>
  </si>
  <si>
    <t>Trebler</t>
  </si>
  <si>
    <t>10-1922</t>
  </si>
  <si>
    <t>OP-003, 10-1918, CLP-9765</t>
  </si>
  <si>
    <t>Spacer C2</t>
  </si>
  <si>
    <t>2552-B250</t>
  </si>
  <si>
    <t>158041-83-9</t>
  </si>
  <si>
    <t>2'-O-PivOM U</t>
  </si>
  <si>
    <t>ANP-3219</t>
  </si>
  <si>
    <t>ANP-3216</t>
  </si>
  <si>
    <t>ANP-3218</t>
  </si>
  <si>
    <t>ANP-3217</t>
  </si>
  <si>
    <t>PR5-100, ANP-8554</t>
  </si>
  <si>
    <t>CPG, 1000A, 3'BHQ-3</t>
  </si>
  <si>
    <t>FL-C025</t>
  </si>
  <si>
    <t>LK-C011</t>
  </si>
  <si>
    <t>N-3355-10</t>
  </si>
  <si>
    <t>ANP-5543-D</t>
  </si>
  <si>
    <t>P-EtO dT</t>
  </si>
  <si>
    <t>ANP-6544</t>
  </si>
  <si>
    <t>ANP-5531</t>
  </si>
  <si>
    <t>N-Palmitoyl-4,7,10-trioxatridecane diamine</t>
  </si>
  <si>
    <t>FRZ-07</t>
  </si>
  <si>
    <t>FRG-01</t>
  </si>
  <si>
    <t>FRZ-05</t>
  </si>
  <si>
    <t>FRZ-06</t>
  </si>
  <si>
    <t>FRZ-08</t>
  </si>
  <si>
    <t>FRZ-09</t>
  </si>
  <si>
    <t>Fmoc amino C6</t>
  </si>
  <si>
    <t>CLP-1586</t>
  </si>
  <si>
    <t>LK-A034, 10-1997</t>
  </si>
  <si>
    <t>147190-40-7</t>
  </si>
  <si>
    <t>DMS(O)MT Aminolink C6</t>
  </si>
  <si>
    <t>MISC</t>
  </si>
  <si>
    <t>BP-22467, 824426-32-6</t>
  </si>
  <si>
    <t>BP-22418</t>
  </si>
  <si>
    <t>BP-22946</t>
  </si>
  <si>
    <t>NHS, 800CW</t>
  </si>
  <si>
    <t>BP-25130</t>
  </si>
  <si>
    <t>NHS, MAL-PEG5</t>
  </si>
  <si>
    <t>BP-21856</t>
  </si>
  <si>
    <t>BP-22288</t>
  </si>
  <si>
    <t>NHS, Acrylic acid</t>
  </si>
  <si>
    <t>SC-233817</t>
  </si>
  <si>
    <t>NHS, MAL-PEG3</t>
  </si>
  <si>
    <t>BP-20518</t>
  </si>
  <si>
    <t>BP-22294</t>
  </si>
  <si>
    <t>NHS, MAL-C6</t>
  </si>
  <si>
    <t>55750-63-5</t>
  </si>
  <si>
    <t>NHS, TAMRA</t>
  </si>
  <si>
    <t>FL-E033</t>
  </si>
  <si>
    <t>NHS, MAL-PEG4</t>
  </si>
  <si>
    <t>1325208-25-0</t>
  </si>
  <si>
    <t>DBCO CY5</t>
  </si>
  <si>
    <t>B30F0</t>
  </si>
  <si>
    <t>NHS, Azidobutyric acid</t>
  </si>
  <si>
    <t>NHS, BIS dPEG</t>
  </si>
  <si>
    <t>NHS, ATTO 488</t>
  </si>
  <si>
    <t>NHS, AF750</t>
  </si>
  <si>
    <t>A37568</t>
  </si>
  <si>
    <t>NHS, AF647</t>
  </si>
  <si>
    <t>56820, 66820</t>
  </si>
  <si>
    <t>NHS, Qusar 670 (Cy5)</t>
  </si>
  <si>
    <t>FL-E008</t>
  </si>
  <si>
    <t>NHS, AZDye 647</t>
  </si>
  <si>
    <t>1121-1000</t>
  </si>
  <si>
    <t>ACN</t>
  </si>
  <si>
    <t>DCA</t>
  </si>
  <si>
    <t>NMI</t>
  </si>
  <si>
    <t>ISOBUTYRIC ANHY</t>
  </si>
  <si>
    <t>TOLUENE</t>
  </si>
  <si>
    <t>METHNOL</t>
  </si>
  <si>
    <t>TEA</t>
  </si>
  <si>
    <t>ACOH</t>
  </si>
  <si>
    <t>NH4OH</t>
  </si>
  <si>
    <t>ACETONE</t>
  </si>
  <si>
    <t>DEA</t>
  </si>
  <si>
    <t>Total, L</t>
  </si>
  <si>
    <t>AIC</t>
  </si>
  <si>
    <t>NOVA</t>
  </si>
  <si>
    <t>NA</t>
  </si>
  <si>
    <t>cEt-G(ibu)</t>
  </si>
  <si>
    <t>mGs (ibu)</t>
  </si>
  <si>
    <t>GNA-G(ibu)</t>
  </si>
  <si>
    <t>UNA-G(ibu)</t>
  </si>
  <si>
    <t>cEt-C(bz) 5Me</t>
  </si>
  <si>
    <t>TNA-C (bz)</t>
  </si>
  <si>
    <t>UNA-A(bz)</t>
  </si>
  <si>
    <t>PR2-070</t>
  </si>
  <si>
    <t>PR3-089</t>
  </si>
  <si>
    <t>VPmG(ibu)</t>
  </si>
  <si>
    <t>VPmC(ac)</t>
  </si>
  <si>
    <t>PD5-039, ANP-9403</t>
  </si>
  <si>
    <t>CPG, 2000A, Phosphate</t>
  </si>
  <si>
    <t>ANP-5542</t>
  </si>
  <si>
    <t>ANP-5541</t>
  </si>
  <si>
    <t>ANP-5532</t>
  </si>
  <si>
    <t>ANP-5533</t>
  </si>
  <si>
    <t>P-MeO dT</t>
  </si>
  <si>
    <t>ANP-3764</t>
  </si>
  <si>
    <t>PD3-089, ANP-5322</t>
  </si>
  <si>
    <t>NHS, Folate</t>
  </si>
  <si>
    <t>153445-05-7</t>
  </si>
  <si>
    <t>BNA G(ibu)</t>
  </si>
  <si>
    <t>BNA A(bz)</t>
  </si>
  <si>
    <t>BNA T</t>
  </si>
  <si>
    <t>CPG, Amino serinol</t>
  </si>
  <si>
    <t>LK-C038</t>
  </si>
  <si>
    <t>NHS, Methylacrylate</t>
  </si>
  <si>
    <t>38862-25-8</t>
  </si>
  <si>
    <t>P-Me-dA(bz)</t>
  </si>
  <si>
    <t>PR1-099, ANP-8551</t>
  </si>
  <si>
    <t>PR2-099, ANP-8553</t>
  </si>
  <si>
    <t>PR3-117, ANP-8556</t>
  </si>
  <si>
    <t>ACETIC ANHYDRIDE</t>
  </si>
  <si>
    <t>NHS, BIS(PEG3-MAL) PEG3</t>
  </si>
  <si>
    <t>BP-28010</t>
  </si>
  <si>
    <t>CPG, 1000A, Azide Modified</t>
  </si>
  <si>
    <t>rI</t>
  </si>
  <si>
    <t>BP-D034</t>
  </si>
  <si>
    <t>PD1-061</t>
  </si>
  <si>
    <t>CPG, 500A, Inverted dG(ibu)</t>
  </si>
  <si>
    <t>N-3351-05</t>
  </si>
  <si>
    <t>CPG, 1000A, dG(iPr PAC)</t>
  </si>
  <si>
    <t>CPG, 1000A, dA(PAC)</t>
  </si>
  <si>
    <t>FANA-A(bz)</t>
  </si>
  <si>
    <t>N-7912-05</t>
  </si>
  <si>
    <t>CPG, 1000A, Palmitate</t>
  </si>
  <si>
    <t>DBCO PEG4 Mal</t>
  </si>
  <si>
    <t>CPG, 1000A, DIO</t>
  </si>
  <si>
    <t>tocopherol TEG amidite</t>
  </si>
  <si>
    <t>Total Value</t>
  </si>
  <si>
    <t>PD2-007</t>
  </si>
  <si>
    <t>MOE-C 5Me(bz)</t>
  </si>
  <si>
    <t>PR3-017</t>
  </si>
  <si>
    <t>Tri-GalNAc Acid (protected)</t>
  </si>
  <si>
    <t>Tri-GalNAc Acid (unprotected)</t>
  </si>
  <si>
    <t>Symmetric doubler</t>
  </si>
  <si>
    <t>Glycogene Price</t>
  </si>
  <si>
    <t>Hitgene Price</t>
  </si>
  <si>
    <t>Others</t>
  </si>
  <si>
    <t>3’-dC (bz)</t>
  </si>
  <si>
    <t>3’-dA (bz)</t>
  </si>
  <si>
    <t>3’-dG (ibu)</t>
  </si>
  <si>
    <t>cEt-A (bz)</t>
  </si>
  <si>
    <t>L-rA (bz)</t>
  </si>
  <si>
    <t>PMO-A (bz)</t>
  </si>
  <si>
    <t>PMO-C (bz)</t>
  </si>
  <si>
    <t>PMO-G (PhAc)</t>
  </si>
  <si>
    <t>mAs (bz)</t>
  </si>
  <si>
    <t>TNA-A (bz)</t>
  </si>
  <si>
    <t>rU (TBDMS)</t>
  </si>
  <si>
    <t>MOE-A (bz)</t>
  </si>
  <si>
    <t>LNA-A (bz)</t>
  </si>
  <si>
    <t>mA (bz)</t>
  </si>
  <si>
    <t>mC (ac)</t>
  </si>
  <si>
    <t>fA (bz)</t>
  </si>
  <si>
    <t>fG (ibu)</t>
  </si>
  <si>
    <t>fC (ac)</t>
  </si>
  <si>
    <t>2’-Amino-A (Bz)</t>
  </si>
  <si>
    <t>2’-Amino-C (AC)</t>
  </si>
  <si>
    <t>2’-Amino-G (ibu)</t>
  </si>
  <si>
    <t>2'-O-PivOM A (PAC)</t>
  </si>
  <si>
    <t>2'-O-PivOM C (AC)</t>
  </si>
  <si>
    <t>2'-O-PivOM G (PAC)</t>
  </si>
  <si>
    <t>P-EtO dA (PAC)</t>
  </si>
  <si>
    <t>P-EtO dC (PAC)</t>
  </si>
  <si>
    <t>P-EtO dG (iPAC)</t>
  </si>
  <si>
    <t>P-MeO dA (PAC)</t>
  </si>
  <si>
    <t>P-MeO dC (PAC)</t>
  </si>
  <si>
    <t>P-MeO dG (iPAC)</t>
  </si>
  <si>
    <t>3’-rA (bz)</t>
  </si>
  <si>
    <t>3’-rC (ac)</t>
  </si>
  <si>
    <t>3’-rG (ibu)</t>
  </si>
  <si>
    <t>L-dA (bz)</t>
  </si>
  <si>
    <t>L-dC (bz)</t>
  </si>
  <si>
    <t>L-dG (ibu)</t>
  </si>
  <si>
    <t>rA (ac) (TOM)</t>
  </si>
  <si>
    <t>rA (ibu) (TC)</t>
  </si>
  <si>
    <t>rC (ac) (TC)</t>
  </si>
  <si>
    <t>rC (ac) (TOM)</t>
  </si>
  <si>
    <t>rG (ac) (TOM)</t>
  </si>
  <si>
    <t>rG (cpp) (TC)</t>
  </si>
  <si>
    <t>mDAP (diPAC)</t>
  </si>
  <si>
    <t>PA-2019</t>
  </si>
  <si>
    <t>PA-2006</t>
  </si>
  <si>
    <t>PA-2012</t>
  </si>
  <si>
    <t>fG (iBu)</t>
  </si>
  <si>
    <t>PA-2013</t>
  </si>
  <si>
    <t>PA-2015</t>
  </si>
  <si>
    <t>PD1-036</t>
  </si>
  <si>
    <t>dTs</t>
  </si>
  <si>
    <t>PD3-051</t>
  </si>
  <si>
    <t>PD2-034</t>
  </si>
  <si>
    <t>PD4-016</t>
  </si>
  <si>
    <t>5’-Amino(MMT)-mG(ibu)</t>
  </si>
  <si>
    <t>PR2-114</t>
  </si>
  <si>
    <t>mCs (ac)</t>
  </si>
  <si>
    <t>GNA-C (ac)</t>
  </si>
  <si>
    <t>PA-2003</t>
  </si>
  <si>
    <t>3'-Amino A (dmf)</t>
  </si>
  <si>
    <t>3'-Amino C (bz)</t>
  </si>
  <si>
    <t>3'-Amino G (ibu)</t>
  </si>
  <si>
    <t>3'-Amino T</t>
  </si>
  <si>
    <t>fI</t>
  </si>
  <si>
    <t>PD6-001</t>
  </si>
  <si>
    <t>dAs</t>
  </si>
  <si>
    <t>FRZ</t>
  </si>
  <si>
    <t>005154-4L</t>
  </si>
  <si>
    <t>PYRIDINE (LOW GRADE)</t>
  </si>
  <si>
    <t>PYRIDINE (HIGH GRADE)</t>
  </si>
  <si>
    <t>PB2050</t>
  </si>
  <si>
    <t>RN-6397</t>
  </si>
  <si>
    <t>PR1-102</t>
  </si>
  <si>
    <t>PR2-097</t>
  </si>
  <si>
    <t>PR3-127</t>
  </si>
  <si>
    <t>DNA-U</t>
  </si>
  <si>
    <t>rA (bz) (TBDMS)</t>
  </si>
  <si>
    <t>rC (AC) (TBDMS)</t>
  </si>
  <si>
    <t>rG (ibu) (TBDMS)</t>
  </si>
  <si>
    <t>RS4</t>
  </si>
  <si>
    <t>CPG, 1000A, Inert</t>
  </si>
  <si>
    <t>CPG, 500A, Inert</t>
  </si>
  <si>
    <t>2'-Amino-dC</t>
  </si>
  <si>
    <t>ANP-5322</t>
  </si>
  <si>
    <t>CPG, 600A, 3'-GalNAc-S (L96)</t>
  </si>
  <si>
    <t>CPG, 500A, Gal3C2 (Primetech)</t>
  </si>
  <si>
    <t>CPG, 1000A, Gal3C2 (Primetech)</t>
  </si>
  <si>
    <t>fG (N-Ac)</t>
  </si>
  <si>
    <t>BP-F041</t>
  </si>
  <si>
    <t>MOE-G(N-Ac)</t>
  </si>
  <si>
    <t>BP-M042</t>
  </si>
  <si>
    <t>2'-ara-OMe-A(bz)</t>
  </si>
  <si>
    <t>2'-ara-OMe-G(ibu)</t>
  </si>
  <si>
    <t>2'-ara-OMe-U</t>
  </si>
  <si>
    <t>PR5-103</t>
  </si>
  <si>
    <t>FAM-dT</t>
  </si>
  <si>
    <t>FL-A022</t>
  </si>
  <si>
    <t>CPG, 1000A, dC(AC)</t>
  </si>
  <si>
    <t>CPG, 1000A, dG(IBU)</t>
  </si>
  <si>
    <t>CPG, 1000A, dT</t>
  </si>
  <si>
    <t>CPG, 2000A, dC(AC)</t>
  </si>
  <si>
    <t>CPG, 2000A, dG(IBU)</t>
  </si>
  <si>
    <t>CPG, 2000A, dT</t>
  </si>
  <si>
    <t>CPG, 500A, dC(AC)</t>
  </si>
  <si>
    <t>CPG, 500A, dG(IBU)</t>
  </si>
  <si>
    <t>CPG, 500A, dT</t>
  </si>
  <si>
    <t>CPG, 500A, moeA(bz)</t>
  </si>
  <si>
    <t>CPG, 500A, moeG(ibu)</t>
  </si>
  <si>
    <t>CPG, 500A, moe5Me C(bz)</t>
  </si>
  <si>
    <t>CPG, 500A, moeT</t>
  </si>
  <si>
    <t>N-5101-20</t>
  </si>
  <si>
    <t>N-3351-10</t>
  </si>
  <si>
    <t>N-3353-10</t>
  </si>
  <si>
    <t>N-3354-10, hongene</t>
  </si>
  <si>
    <t>N-3354-05, hongene</t>
  </si>
  <si>
    <t>CPG, 500A, LNA-5Me C(BZ)</t>
  </si>
  <si>
    <t>CPG, 1000A, LNA-5Me C(BZ)</t>
  </si>
  <si>
    <t>N-1004-05</t>
  </si>
  <si>
    <t>LS4</t>
  </si>
  <si>
    <t>CPG, 600A, GalNAc Analogue (serinol)</t>
  </si>
  <si>
    <t>CPG, GalNAc-L96</t>
  </si>
  <si>
    <t>GA-3015</t>
  </si>
  <si>
    <t>CPG, 600A, GalNAc C7 (amino C7)</t>
  </si>
  <si>
    <t>CPG, 1000A, inverted dA(BZ)</t>
  </si>
  <si>
    <t>CPG, 1000A, inverted dC(ac)</t>
  </si>
  <si>
    <t>CPG, 1000A, inverted dG(ibu)</t>
  </si>
  <si>
    <t>CPG, 1000A, inverted dT</t>
  </si>
  <si>
    <t>NP, Inverted abasic</t>
  </si>
  <si>
    <t>300umol</t>
  </si>
  <si>
    <t>PR1-011, A380332, 129451-75-8</t>
  </si>
  <si>
    <t>207347-42-0, GL102008-L002</t>
  </si>
  <si>
    <t>PA-2121</t>
  </si>
  <si>
    <t>5'-Biotin</t>
  </si>
  <si>
    <t>Thiol-C6</t>
  </si>
  <si>
    <t>5'-Fluorescein (6-FAM)</t>
  </si>
  <si>
    <t>HEX Dye</t>
  </si>
  <si>
    <t>C8-Alkyne-dT</t>
  </si>
  <si>
    <t>10-1540</t>
  </si>
  <si>
    <t>Super T-3'-amidite</t>
  </si>
  <si>
    <t>M830040</t>
  </si>
  <si>
    <t>dSpacer</t>
  </si>
  <si>
    <t>Spacer 9</t>
  </si>
  <si>
    <t>Spacer 18</t>
  </si>
  <si>
    <t>Abasic</t>
  </si>
  <si>
    <t>ANP-7058, 3009-1C</t>
  </si>
  <si>
    <t>Spacer 12 (DMT-PEG4)</t>
  </si>
  <si>
    <t>C3 Spacer</t>
  </si>
  <si>
    <t>069-063</t>
  </si>
  <si>
    <t>2'-Amino-U</t>
  </si>
  <si>
    <t>ANP-9403</t>
  </si>
  <si>
    <t>TFA amino C6</t>
  </si>
  <si>
    <t>133975-85-6</t>
  </si>
  <si>
    <t>Fmoc amino C7</t>
  </si>
  <si>
    <t>LNA-T</t>
  </si>
  <si>
    <t>LNA-C 5Me(ac)</t>
  </si>
  <si>
    <t>PA-3074</t>
  </si>
  <si>
    <t>Cholesterol-TEG</t>
  </si>
  <si>
    <t>5'-Cholesterol-TEG</t>
  </si>
  <si>
    <t>fC(ac)</t>
  </si>
  <si>
    <t>D1, D2</t>
  </si>
  <si>
    <t>BHQ-1</t>
  </si>
  <si>
    <t>FL-A030</t>
  </si>
  <si>
    <t>D3,D4</t>
  </si>
  <si>
    <t>BHQ-1-dT</t>
  </si>
  <si>
    <t>FL-A023</t>
  </si>
  <si>
    <t>BDQ2</t>
  </si>
  <si>
    <t>BDQ1</t>
  </si>
  <si>
    <t>BHQ-2</t>
  </si>
  <si>
    <t>FL-A031</t>
  </si>
  <si>
    <t>Genepoly</t>
  </si>
  <si>
    <t>Cal Fluor Red 610</t>
  </si>
  <si>
    <t>FL-A011</t>
  </si>
  <si>
    <t>Tri-GalNAc amidite</t>
  </si>
  <si>
    <t>Biotin TEG</t>
  </si>
  <si>
    <t>OP-214</t>
  </si>
  <si>
    <t>GalNAc amidite</t>
  </si>
  <si>
    <t>TBAPPi</t>
  </si>
  <si>
    <t>ON-113</t>
  </si>
  <si>
    <t>NHS, Mal-C3</t>
  </si>
  <si>
    <t>55750-62-4</t>
  </si>
  <si>
    <t>dCs 5Me</t>
  </si>
  <si>
    <t>BNA 5Me C(Ac)</t>
  </si>
  <si>
    <t>DNA-dC(ac) 5Me</t>
  </si>
  <si>
    <t>5381-99-7</t>
  </si>
  <si>
    <t>Docosahexaenoic Acid</t>
  </si>
  <si>
    <t>GalNAc Cluster COONa (Roche)</t>
  </si>
  <si>
    <t>NHS, PEG-40k (2 arm branched)</t>
  </si>
  <si>
    <t>CUSTOMER PROPRIETARY MATERIALS</t>
  </si>
  <si>
    <t>moeDAP</t>
  </si>
  <si>
    <t>rG (ac)</t>
  </si>
  <si>
    <t>UNA-C(ac)</t>
  </si>
  <si>
    <t>mG (ac)</t>
  </si>
  <si>
    <t>BP-O017, PR2-020</t>
  </si>
  <si>
    <t>5-Me-moeC (Ac)</t>
  </si>
  <si>
    <t>DMT dodecane diol (SpC12)</t>
  </si>
  <si>
    <t>DMT hexane diol (SpC6)</t>
  </si>
  <si>
    <t>DMT nonane diol (SpC9)</t>
  </si>
  <si>
    <t>DMT propane diol (SpC3)</t>
  </si>
  <si>
    <t>2'-ara-OMe-C(bz)</t>
  </si>
  <si>
    <t>PA-2014</t>
  </si>
  <si>
    <t>CPR I</t>
  </si>
  <si>
    <t>CPR II</t>
  </si>
  <si>
    <t>NAG-37 GalNAc</t>
  </si>
  <si>
    <t>OP-052</t>
  </si>
  <si>
    <t>10-1907, 2H7PB</t>
  </si>
  <si>
    <t>dGs</t>
  </si>
  <si>
    <t>ON-294</t>
  </si>
  <si>
    <t>CPGN-27A</t>
  </si>
  <si>
    <t>PR5-120</t>
  </si>
  <si>
    <t>hitgen</t>
  </si>
  <si>
    <t>GMBS</t>
  </si>
  <si>
    <t>Fmoc-Cys(StBu)-OH</t>
  </si>
  <si>
    <t>73724-43-3</t>
  </si>
  <si>
    <t>Tris(benzyltriazolylmethyl)amine</t>
  </si>
  <si>
    <t>510758-28-8</t>
  </si>
  <si>
    <t>80307-12-6</t>
  </si>
  <si>
    <t>5'-Amino-Modifier TEG</t>
  </si>
  <si>
    <t>10-1917-02</t>
  </si>
  <si>
    <t>5-F-dU</t>
  </si>
  <si>
    <t>L96</t>
  </si>
  <si>
    <t>LK-A048</t>
  </si>
  <si>
    <t>D-dI-PSM</t>
  </si>
  <si>
    <t>5'-Amino-Mod C6- MMT</t>
  </si>
  <si>
    <t>LK-A001</t>
  </si>
  <si>
    <t>D-dG (dmf)-PSM</t>
  </si>
  <si>
    <t>D-dT-PSM</t>
  </si>
  <si>
    <t>L-N3-dU-PSM</t>
  </si>
  <si>
    <t>D-fA (Bz)-PSM</t>
  </si>
  <si>
    <t>L-fG (iBu)-PSM</t>
  </si>
  <si>
    <t>L-fC (Ac)-PSM</t>
  </si>
  <si>
    <t>D-fC (Ac)-PSM</t>
  </si>
  <si>
    <t>D-mA (Bz)-PSM</t>
  </si>
  <si>
    <t>L-mC (Ac)-PSM</t>
  </si>
  <si>
    <t>L-mU-PSM</t>
  </si>
  <si>
    <t>L-5-Me-moeC (Bz)-PSM</t>
  </si>
  <si>
    <t>D-dC (Ac)-PSM</t>
  </si>
  <si>
    <t>PA-2111</t>
  </si>
  <si>
    <t>CPG, 2000A, moeA(bz)</t>
  </si>
  <si>
    <t>CPG, 2000A, moeG(ibu)</t>
  </si>
  <si>
    <t>CPG, 2000A, moe5Me C(bz)</t>
  </si>
  <si>
    <t>CPG, 2000A, moeT</t>
  </si>
  <si>
    <t>Pyro-Alkyne CPG, 1000Å</t>
  </si>
  <si>
    <t>2'/3'-Acetyl U 3'-succinate-LCAA CPG, 1000A</t>
  </si>
  <si>
    <t>Synthepore</t>
  </si>
  <si>
    <t>BCN-2</t>
  </si>
  <si>
    <t>Hongene</t>
  </si>
  <si>
    <t>3'-O-DMTr-2'-O-TBDMS-G(iBu)</t>
  </si>
  <si>
    <t>3'-O-DMTr-2'-O-TBDMS-U</t>
  </si>
  <si>
    <t>PR2-054</t>
  </si>
  <si>
    <t>PR3-059</t>
  </si>
  <si>
    <t>PR5-043</t>
  </si>
  <si>
    <t>BP-P035, PR5-096</t>
  </si>
  <si>
    <t>1-Me-pseudo dU</t>
  </si>
  <si>
    <t>1-Me-pseudo rU</t>
  </si>
  <si>
    <t>pseudo rU</t>
  </si>
  <si>
    <t>pseudo dU</t>
  </si>
  <si>
    <t>N3-pseudo dU L-PSM</t>
  </si>
  <si>
    <t>NHS, DBCO</t>
  </si>
  <si>
    <t>1353016-71-3</t>
  </si>
  <si>
    <t>D-DPSE-DNA-G</t>
  </si>
  <si>
    <t>D-DPSE-DNA-T</t>
  </si>
  <si>
    <t>L-DPSE-DNA-A</t>
  </si>
  <si>
    <t>L-DPSE-DNA-G</t>
  </si>
  <si>
    <t>L-DPSE-DNA-C</t>
  </si>
  <si>
    <t>L-DPSE-DNA-T</t>
  </si>
  <si>
    <t>L-DPSE-2'OMe-G</t>
  </si>
  <si>
    <t>L-PSM-2'OMe-A</t>
  </si>
  <si>
    <t>L-DPSE-2'OMe-A</t>
  </si>
  <si>
    <t>L-DPSE-2'OMe-U</t>
  </si>
  <si>
    <t>L-PSM-2'OMOE-G</t>
  </si>
  <si>
    <t>Hitgen</t>
  </si>
  <si>
    <t>PD5-040, BP-P035</t>
  </si>
  <si>
    <t>PR1-142</t>
  </si>
  <si>
    <t>3'-O-DMTr-2'-O-TBDMS-A(Bz)</t>
  </si>
  <si>
    <t>Palm NHS ester</t>
  </si>
  <si>
    <t>CAS No. 14464-31-4</t>
  </si>
  <si>
    <t>CPG, 1000A, 3'-Phosphate</t>
  </si>
  <si>
    <t>CPG, 1000A, Cyanine 5</t>
  </si>
  <si>
    <t>CPG, 500A, Cyanine 5</t>
  </si>
  <si>
    <t>rA CPG 2'/3'-Acetyl, 1000A</t>
  </si>
  <si>
    <t>rG CPG 2'/3'-Acetyl, 100A</t>
  </si>
  <si>
    <t>rC CPG 2'/3'-Acetyl, 1000A</t>
  </si>
  <si>
    <t>rU CPG 2'/3'-Acetyl, 1000A</t>
  </si>
  <si>
    <t>Speical CPG (for cyclic oligo)</t>
  </si>
  <si>
    <t>CPG, 1000A, moe5Me C(bz)</t>
  </si>
  <si>
    <t>CPG, 1000A, moeA(bz)</t>
  </si>
  <si>
    <t>CPG, 1000A, moeG(ibu)</t>
  </si>
  <si>
    <t>CPG, 1000A, moeT</t>
  </si>
  <si>
    <t>CPG, 500A, PC-DCA</t>
  </si>
  <si>
    <t>DNA-G(dmf)</t>
  </si>
  <si>
    <t>DNA-C(Bz)</t>
  </si>
  <si>
    <t>D-DPSE-dC</t>
  </si>
  <si>
    <t>L-DPSE-fA</t>
  </si>
  <si>
    <t>L-DPSE-fG</t>
  </si>
  <si>
    <t>L-DPSE-mC</t>
  </si>
  <si>
    <t>L-DPSE-5Me-moeC</t>
  </si>
  <si>
    <t>L-DPSE-N3-iso-ddU</t>
  </si>
  <si>
    <t>L-DPSE-fC</t>
  </si>
  <si>
    <t>Inv-dA (bz)</t>
  </si>
  <si>
    <t>Inv-dC (ac)</t>
  </si>
  <si>
    <t>Inv-dG (dmf)</t>
  </si>
  <si>
    <t>Inv-dG (ibu)</t>
  </si>
  <si>
    <t>Inv-dT</t>
  </si>
  <si>
    <t>Inv-fA (bz)</t>
  </si>
  <si>
    <t>Inv-fC (ac)</t>
  </si>
  <si>
    <t>Inv-fG (ibu)</t>
  </si>
  <si>
    <t>Inv-fU</t>
  </si>
  <si>
    <t>Inv-mA (bz)</t>
  </si>
  <si>
    <t>Inv-mC (ac)</t>
  </si>
  <si>
    <t>Inv-mG (ibu)</t>
  </si>
  <si>
    <t>Inv-mU</t>
  </si>
  <si>
    <t>3'-O-DMTr-2'-O-TBDMS-C(Ac)</t>
  </si>
  <si>
    <t>PD2-006</t>
  </si>
  <si>
    <t>PD3-003</t>
  </si>
  <si>
    <t>CPG, 1000A, Docosanoyl C7 (DCA)</t>
  </si>
  <si>
    <t>6-ROX, SE</t>
  </si>
  <si>
    <t>Bioquest 392</t>
  </si>
  <si>
    <t>NHS, ATTO 532</t>
  </si>
  <si>
    <t>TFA propyl-A (Bz)</t>
  </si>
  <si>
    <t>PR1-108</t>
  </si>
  <si>
    <t>TFA propyl-C (Bz)</t>
  </si>
  <si>
    <t>TFA propyl-G (iBu)</t>
  </si>
  <si>
    <t>TFA propyl-U</t>
  </si>
  <si>
    <t>PR2-105</t>
  </si>
  <si>
    <t>PR3-122</t>
  </si>
  <si>
    <t>PR5-098</t>
  </si>
  <si>
    <t>ChemGenes</t>
  </si>
  <si>
    <t>CPG, 2000A, 2'-O-Methyl-3'-DMT Cytidine (N-Ac)</t>
  </si>
  <si>
    <t>Bis-cyanoethyl-N,N-diisopropyl CED phosphoramidite</t>
  </si>
  <si>
    <t>CLP-1454</t>
  </si>
  <si>
    <t>Propargyl-A (Bz)</t>
  </si>
  <si>
    <t>Propargyl-C (Bz)</t>
  </si>
  <si>
    <t>Propargyl-G (iBu)</t>
  </si>
  <si>
    <t>Propargyl-U</t>
  </si>
  <si>
    <t>HR-00212019</t>
  </si>
  <si>
    <t>HR-00212009</t>
  </si>
  <si>
    <t>HR-00212026</t>
  </si>
  <si>
    <t>HR-00212002</t>
  </si>
  <si>
    <t>BP-40902</t>
  </si>
  <si>
    <t>EPA (Eicosapentaenoic Acid)</t>
  </si>
  <si>
    <t>HR-00206003</t>
  </si>
  <si>
    <t>A756218</t>
  </si>
  <si>
    <t>FRZ-14</t>
  </si>
  <si>
    <t>FRZ-15</t>
  </si>
  <si>
    <t>FRZ-16</t>
  </si>
  <si>
    <t>204006, U-genes</t>
  </si>
  <si>
    <t>DNA-C (Bz)</t>
  </si>
  <si>
    <t>DNA-A (Bz)</t>
  </si>
  <si>
    <t>DNA-C (Ac)</t>
  </si>
  <si>
    <t>DNA-G (dmf)</t>
  </si>
  <si>
    <t>DNA-G (ibu)</t>
  </si>
  <si>
    <t>PR1-088, ANP-3201</t>
  </si>
  <si>
    <t>PR3-093, ANP-3202</t>
  </si>
  <si>
    <t>W23092403</t>
  </si>
  <si>
    <t>LK-E054</t>
  </si>
  <si>
    <t>Salicyl chlorophosphite (Sigma)</t>
  </si>
  <si>
    <t>325683-93-0, HR-00212006</t>
  </si>
  <si>
    <t>Salicyl chlorophosphite (TCI)</t>
  </si>
  <si>
    <t>325683-96-3, PR3-134, HR-00212007</t>
  </si>
  <si>
    <t>GalNAc Analogue C7 CPG</t>
  </si>
  <si>
    <t>GP102D1A</t>
  </si>
  <si>
    <t>325683-94-1, HR-00212014</t>
  </si>
  <si>
    <t>Gal3C2 Amidite</t>
  </si>
  <si>
    <t>070-090</t>
  </si>
  <si>
    <t>NAG-37</t>
  </si>
  <si>
    <t>Mass Check Standard (Waters)</t>
  </si>
  <si>
    <t>rA(N6-methyl)</t>
  </si>
  <si>
    <t>ANP-6519</t>
  </si>
  <si>
    <t>10-1092-02, PD5-041, PA-4010</t>
  </si>
  <si>
    <t>PivOM-rA (N-PAC)</t>
  </si>
  <si>
    <t>PivOM-rC (Ac)</t>
  </si>
  <si>
    <t>PivOM-rG (N-ipr-PAC)</t>
  </si>
  <si>
    <t>PivOM-rU</t>
  </si>
  <si>
    <t>6'-O-DMTr-2'Ome-ex-rU</t>
  </si>
  <si>
    <t>PR5-092</t>
  </si>
  <si>
    <t>N6-Ac-N6-Me-dA</t>
  </si>
  <si>
    <t>AF488 NHS</t>
  </si>
  <si>
    <t>10-1503-02</t>
  </si>
  <si>
    <t>Amino-Modifier-C6-dT</t>
  </si>
  <si>
    <t>10-1039-90</t>
  </si>
  <si>
    <t>DIG NHS</t>
  </si>
  <si>
    <t>4-Thio-U-TOM</t>
  </si>
  <si>
    <t>10-3052-90</t>
  </si>
  <si>
    <t>5-HO-Me-dU</t>
  </si>
  <si>
    <t>10-1093-02</t>
  </si>
  <si>
    <t>Biotin-dT</t>
  </si>
  <si>
    <t>10-1038-90</t>
  </si>
  <si>
    <t>dA-Me</t>
  </si>
  <si>
    <t>10-1100-02</t>
  </si>
  <si>
    <t>BP-21855, A756028</t>
  </si>
  <si>
    <t>dG-Me</t>
  </si>
  <si>
    <t>10-1120-02</t>
  </si>
  <si>
    <t>64987-85-5</t>
  </si>
  <si>
    <t>SMCC</t>
  </si>
  <si>
    <t>Mal-C2 NHS</t>
  </si>
  <si>
    <t>55750-61-3</t>
  </si>
  <si>
    <t>Azide C6 NHS</t>
  </si>
  <si>
    <t>CCT-1402-1050</t>
  </si>
  <si>
    <t>SPDP NHS</t>
  </si>
  <si>
    <t>BP-22650</t>
  </si>
  <si>
    <t>Desthio-Biotin NHS</t>
  </si>
  <si>
    <t>80750-24-9</t>
  </si>
  <si>
    <t>mPEG NHS</t>
  </si>
  <si>
    <t>M-SCM-20K</t>
  </si>
  <si>
    <t>Amino-Modifier-C6-dA</t>
  </si>
  <si>
    <t>10-1089-02</t>
  </si>
  <si>
    <t>DBCO-C5 NHS</t>
  </si>
  <si>
    <t>1393350-27-0</t>
  </si>
  <si>
    <t>NHS, DBCO-C6-NHS ester</t>
  </si>
  <si>
    <t>10-1906-02</t>
  </si>
  <si>
    <t>DBCO-C4 NHS</t>
  </si>
  <si>
    <t>135301-71-3</t>
  </si>
  <si>
    <t>MC-Val-Cit-DABC-PNP</t>
  </si>
  <si>
    <t>159857-81-5</t>
  </si>
  <si>
    <t>Non-cleavable linker CPG</t>
  </si>
  <si>
    <t>GL2-400GS2, PTE2-400GS3</t>
  </si>
  <si>
    <t>CNV-K</t>
  </si>
  <si>
    <t>HQ-F554 （VIC）</t>
  </si>
  <si>
    <t>HD-F570 （NED）</t>
  </si>
  <si>
    <t>10-4960-90</t>
  </si>
  <si>
    <t>PHT PEG3</t>
  </si>
  <si>
    <t>2170381-91-4</t>
  </si>
  <si>
    <t>5'-CDPI3 MGB</t>
  </si>
  <si>
    <t>10-5924-95</t>
  </si>
  <si>
    <t>FL-A044</t>
  </si>
  <si>
    <t>5'-Dabsyl-dT</t>
  </si>
  <si>
    <t>2',3'-ddC-CPG, 1000A</t>
  </si>
  <si>
    <t>FRZ-13</t>
  </si>
  <si>
    <t>VPmoe-T</t>
  </si>
  <si>
    <t>FRZ-01</t>
  </si>
  <si>
    <t>FRZ-02</t>
  </si>
  <si>
    <t>FRZ-03</t>
  </si>
  <si>
    <t>FRZ-04</t>
  </si>
  <si>
    <t>FRG-02</t>
  </si>
  <si>
    <t>FRG-03</t>
  </si>
  <si>
    <t>FRG-04</t>
  </si>
  <si>
    <t>FRG-05</t>
  </si>
  <si>
    <t>FRG-06</t>
  </si>
  <si>
    <t>FRG-07</t>
  </si>
  <si>
    <t>DNA C(Bz)</t>
  </si>
  <si>
    <t>Unit Price, g</t>
  </si>
  <si>
    <t>Unit Price, umol</t>
  </si>
  <si>
    <t>GalNAc NHS Ester</t>
  </si>
  <si>
    <t>Mal-C4 NHS</t>
  </si>
  <si>
    <t>BP-M047</t>
  </si>
  <si>
    <t>MOE-C 5Me(N-Ac)</t>
  </si>
  <si>
    <t>PS, L96</t>
  </si>
  <si>
    <t>CPG, 1000A, BHQ-1</t>
  </si>
  <si>
    <t>FL-C013</t>
  </si>
  <si>
    <t>CPG, 1000A, BHQ-2</t>
  </si>
  <si>
    <t>FL-C014</t>
  </si>
  <si>
    <t>CPG, 600A, 3'Amino modifier C7 TFA</t>
  </si>
  <si>
    <t>LK-C057</t>
  </si>
  <si>
    <t>AmBeed</t>
  </si>
  <si>
    <t>LK-P055</t>
  </si>
  <si>
    <t>CPG, 500A, 3'-PT-Amino C6 LCAA</t>
  </si>
  <si>
    <t>SP0283x8090</t>
  </si>
  <si>
    <t>CPG, 2000A, 3'-PT-Amino C6 LCAA</t>
  </si>
  <si>
    <t>SP0431x2030</t>
  </si>
  <si>
    <t>2'-O-2-hexadecyl-Uridine</t>
  </si>
  <si>
    <t>U-genes 204060</t>
  </si>
  <si>
    <t>5'-Amino Modifier C3-TFA</t>
  </si>
  <si>
    <t>10-1923-02</t>
  </si>
  <si>
    <t>LNA-C 5Me (Bz)</t>
  </si>
  <si>
    <t>5-Methyl mC</t>
  </si>
  <si>
    <t>ANP-6556</t>
  </si>
  <si>
    <t>Methacrylate C6</t>
  </si>
  <si>
    <t>Genepoly LK-A058</t>
  </si>
  <si>
    <t>CPG, 500A, 3'-Biotin</t>
  </si>
  <si>
    <t>genepoly ML012</t>
  </si>
  <si>
    <t>CPG, 1000A, 3'-Biotin</t>
  </si>
  <si>
    <t>genepoly ML-C002</t>
  </si>
  <si>
    <t>TAMRA amidite</t>
  </si>
  <si>
    <t>8-oxo-dA</t>
  </si>
  <si>
    <t>Chemgenes ANP-9301</t>
  </si>
  <si>
    <t>N3-iso-dU</t>
  </si>
  <si>
    <t>D5</t>
  </si>
  <si>
    <t>ara-rC</t>
  </si>
  <si>
    <t>Hongene PD5-040</t>
  </si>
  <si>
    <t>Hongene  PR3-124</t>
  </si>
  <si>
    <t>GNA-A</t>
  </si>
  <si>
    <t>CPG, 2000A, Rev 2'-OMe A (Bz)</t>
  </si>
  <si>
    <t>CPG, 2000A, Rev 2'-OMe C (Ac)</t>
  </si>
  <si>
    <t>CPG-2000A, Rev 2'-OMe G (iBu)</t>
  </si>
  <si>
    <t>CPG, 2000A, Rev 2'-OMe U</t>
  </si>
  <si>
    <t>5'-BHQ-1</t>
  </si>
  <si>
    <t>Glen 10-5931-90</t>
  </si>
  <si>
    <t>NHS, ATTO Rho 101</t>
  </si>
  <si>
    <t>NHS, ATTO 700</t>
  </si>
  <si>
    <t>Bioquest 2822, U-genes 110802</t>
  </si>
  <si>
    <t>U-genes 111602</t>
  </si>
  <si>
    <t>U-genes 113002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</si>
</sst>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#0.000\ &quot;g&quot;"/>
    <numFmt numFmtId="166" formatCode="#\ &quot; umol&quot;"/>
    <numFmt numFmtId="167" formatCode="_(* #,##0_);_(* \(#,##0\);_(* &quot;-&quot;??_);_(@_)"/>
    <numFmt numFmtId="168" formatCode="#0.000\ &quot;L&quot;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>
      <alignment vertical="center"/>
    </xf>
    <xf numFmtId="16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left" vertical="center"/>
    </xf>
    <xf numFmtId="44" fontId="0" fillId="0" borderId="0" xfId="1" applyFont="1"/>
    <xf numFmtId="0" fontId="0" fillId="2" borderId="0" xfId="0" applyFill="1"/>
    <xf numFmtId="0" fontId="0" fillId="2" borderId="0" xfId="0" applyFill="1" applyAlignment="1">
      <alignment horizontal="left" vertical="center"/>
    </xf>
    <xf numFmtId="44" fontId="0" fillId="2" borderId="0" xfId="1" applyFont="1" applyFill="1"/>
    <xf numFmtId="0" fontId="3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 vertical="center"/>
    </xf>
    <xf numFmtId="44" fontId="0" fillId="2" borderId="0" xfId="1" applyFont="1" applyFill="1" applyBorder="1" applyProtection="1"/>
    <xf numFmtId="44" fontId="0" fillId="0" borderId="0" xfId="1" applyFont="1" applyBorder="1" applyProtection="1"/>
    <xf numFmtId="44" fontId="0" fillId="0" borderId="0" xfId="1" applyFont="1" applyProtection="1"/>
    <xf numFmtId="44" fontId="5" fillId="0" borderId="0" xfId="1" applyFont="1" applyFill="1" applyBorder="1" applyProtection="1"/>
    <xf numFmtId="44" fontId="0" fillId="2" borderId="0" xfId="1" applyFont="1" applyFill="1" applyBorder="1" applyAlignment="1" applyProtection="1">
      <alignment horizontal="right"/>
    </xf>
    <xf numFmtId="44" fontId="5" fillId="2" borderId="0" xfId="1" applyFont="1" applyFill="1" applyBorder="1" applyProtection="1"/>
    <xf numFmtId="167" fontId="5" fillId="7" borderId="0" xfId="5" applyNumberFormat="1" applyFont="1" applyFill="1" applyBorder="1" applyAlignment="1" applyProtection="1">
      <alignment vertical="center" wrapText="1"/>
    </xf>
    <xf numFmtId="167" fontId="5" fillId="0" borderId="0" xfId="5" applyNumberFormat="1" applyFont="1" applyFill="1" applyBorder="1" applyAlignment="1" applyProtection="1">
      <alignment horizontal="center" vertical="center" wrapText="1"/>
    </xf>
    <xf numFmtId="167" fontId="5" fillId="0" borderId="0" xfId="5" applyNumberFormat="1" applyFont="1" applyAlignment="1" applyProtection="1">
      <alignment horizontal="center"/>
    </xf>
    <xf numFmtId="44" fontId="5" fillId="0" borderId="0" xfId="1" applyFont="1" applyProtection="1"/>
    <xf numFmtId="0" fontId="5" fillId="6" borderId="0" xfId="0" applyFont="1" applyFill="1" applyAlignment="1">
      <alignment vertical="center" wrapText="1"/>
    </xf>
    <xf numFmtId="49" fontId="5" fillId="6" borderId="0" xfId="0" applyNumberFormat="1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165" fontId="5" fillId="4" borderId="0" xfId="0" applyNumberFormat="1" applyFont="1" applyFill="1" applyAlignment="1">
      <alignment horizontal="center" vertical="center" wrapText="1"/>
    </xf>
    <xf numFmtId="166" fontId="5" fillId="5" borderId="0" xfId="0" applyNumberFormat="1" applyFont="1" applyFill="1" applyAlignment="1">
      <alignment horizontal="center" vertical="center" wrapText="1"/>
    </xf>
    <xf numFmtId="0" fontId="5" fillId="0" borderId="0" xfId="0" applyFont="1"/>
    <xf numFmtId="49" fontId="5" fillId="0" borderId="0" xfId="0" applyNumberFormat="1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44" fontId="5" fillId="0" borderId="0" xfId="1" applyFont="1" applyAlignment="1" applyProtection="1">
      <alignment horizontal="center"/>
    </xf>
    <xf numFmtId="49" fontId="5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/>
    <xf numFmtId="44" fontId="5" fillId="0" borderId="0" xfId="1" applyFont="1" applyBorder="1" applyProtection="1"/>
    <xf numFmtId="44" fontId="5" fillId="0" borderId="0" xfId="1" applyFont="1" applyAlignment="1" applyProtection="1">
      <alignment horizontal="right"/>
    </xf>
    <xf numFmtId="0" fontId="4" fillId="0" borderId="0" xfId="0" applyFont="1" applyAlignment="1">
      <alignment vertical="center" wrapText="1"/>
    </xf>
    <xf numFmtId="49" fontId="4" fillId="0" borderId="0" xfId="0" applyNumberFormat="1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44" fontId="4" fillId="0" borderId="0" xfId="1" applyFont="1" applyFill="1" applyBorder="1" applyProtection="1"/>
    <xf numFmtId="0" fontId="0" fillId="6" borderId="0" xfId="0" applyFill="1" applyAlignment="1">
      <alignment vertical="center" wrapText="1"/>
    </xf>
    <xf numFmtId="0" fontId="0" fillId="6" borderId="0" xfId="0" applyFill="1"/>
    <xf numFmtId="49" fontId="0" fillId="6" borderId="0" xfId="0" applyNumberFormat="1" applyFill="1"/>
    <xf numFmtId="165" fontId="0" fillId="4" borderId="0" xfId="0" applyNumberFormat="1" applyFill="1" applyAlignment="1">
      <alignment horizontal="center" vertical="center" wrapText="1"/>
    </xf>
    <xf numFmtId="49" fontId="0" fillId="0" borderId="0" xfId="0" applyNumberFormat="1"/>
    <xf numFmtId="0" fontId="0" fillId="0" borderId="0" xfId="0" applyAlignment="1">
      <alignment horizontal="center"/>
    </xf>
    <xf numFmtId="0" fontId="5" fillId="0" borderId="0" xfId="1" applyNumberFormat="1" applyFont="1" applyBorder="1" applyProtection="1"/>
    <xf numFmtId="49" fontId="5" fillId="0" borderId="0" xfId="0" applyNumberFormat="1" applyFont="1" applyAlignment="1">
      <alignment wrapText="1"/>
    </xf>
    <xf numFmtId="44" fontId="0" fillId="0" borderId="0" xfId="1" applyFont="1" applyAlignment="1" applyProtection="1">
      <alignment horizontal="right"/>
    </xf>
    <xf numFmtId="44" fontId="0" fillId="0" borderId="0" xfId="1" applyFont="1" applyBorder="1" applyAlignment="1" applyProtection="1">
      <alignment horizontal="right"/>
    </xf>
    <xf numFmtId="44" fontId="0" fillId="0" borderId="0" xfId="1" applyFont="1" applyFill="1" applyBorder="1" applyAlignment="1" applyProtection="1">
      <alignment horizontal="right"/>
    </xf>
    <xf numFmtId="1" fontId="0" fillId="0" borderId="0" xfId="0" applyNumberFormat="1"/>
    <xf numFmtId="168" fontId="0" fillId="4" borderId="0" xfId="0" applyNumberFormat="1" applyFill="1" applyAlignment="1">
      <alignment horizontal="center" vertical="center" wrapText="1"/>
    </xf>
  </cellXfs>
  <cellStyles count="6">
    <cellStyle name="Comma" xfId="5" builtinId="3"/>
    <cellStyle name="Comma 2" xfId="3" xr:uid="{7E2788F1-3C54-46DE-8232-8593D2EEB644}"/>
    <cellStyle name="Currency" xfId="1" builtinId="4"/>
    <cellStyle name="Normal" xfId="0" builtinId="0"/>
    <cellStyle name="Normal 2" xfId="2" xr:uid="{59C721BD-6621-4B3B-A7A3-7005A6AA77E4}"/>
    <cellStyle name="Percent 2" xfId="4" xr:uid="{C27383F4-186C-4416-A3BF-DA403C708BBE}"/>
  </cellStyles>
  <dxfs count="56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/>
        <right/>
        <top/>
        <bottom/>
      </border>
    </dxf>
    <dxf>
      <fill>
        <patternFill>
          <bgColor theme="9" tint="0.79998168889431442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/>
        <right/>
        <top/>
        <bottom/>
      </border>
    </dxf>
    <dxf>
      <fill>
        <patternFill>
          <bgColor theme="9" tint="0.79998168889431442"/>
        </patternFill>
      </fill>
      <border>
        <left/>
        <right/>
        <top/>
        <bottom/>
      </border>
    </dxf>
    <dxf>
      <fill>
        <patternFill>
          <bgColor theme="5" tint="0.79998168889431442"/>
        </patternFill>
      </fill>
    </dxf>
    <dxf>
      <font>
        <color rgb="FF0070C0"/>
      </font>
    </dxf>
    <dxf>
      <font>
        <color rgb="FFC00000"/>
      </font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B74EF-2879-402D-8973-AC757C84B030}">
  <sheetPr codeName="Sheet1"/>
  <dimension ref="A1:W111"/>
  <sheetViews>
    <sheetView zoomScale="85" zoomScaleNormal="85" workbookViewId="0">
      <pane xSplit="4" ySplit="1" topLeftCell="I11" activePane="bottomRight" state="frozen"/>
      <selection pane="topRight" activeCell="E1" sqref="E1"/>
      <selection pane="bottomLeft" activeCell="A2" sqref="A2"/>
      <selection pane="bottomRight" activeCell="I47" sqref="I47"/>
    </sheetView>
  </sheetViews>
  <sheetFormatPr defaultRowHeight="15"/>
  <cols>
    <col min="1" max="1" width="20.5703125" bestFit="1" customWidth="1"/>
    <col min="2" max="2" width="44" bestFit="1" customWidth="1"/>
    <col min="3" max="3" width="11.42578125" bestFit="1" customWidth="1"/>
    <col min="4" max="4" width="15.42578125" bestFit="1" customWidth="1"/>
    <col min="5" max="5" width="10.5703125" customWidth="1"/>
    <col min="6" max="6" width="4.42578125" customWidth="1"/>
    <col min="7" max="7" width="10.5703125" customWidth="1"/>
    <col min="8" max="8" width="4.42578125" customWidth="1"/>
    <col min="9" max="9" width="44.42578125" style="1" bestFit="1" customWidth="1"/>
    <col min="10" max="10" width="11.5703125" bestFit="1" customWidth="1"/>
    <col min="11" max="11" width="7.42578125" bestFit="1" customWidth="1"/>
    <col min="12" max="12" width="11.5703125" bestFit="1" customWidth="1"/>
    <col min="13" max="13" width="11.42578125" style="2" bestFit="1" customWidth="1"/>
    <col min="14" max="14" width="10.42578125" bestFit="1" customWidth="1"/>
    <col min="16" max="16" width="21.5703125" bestFit="1" customWidth="1"/>
    <col min="17" max="17" width="20.5703125" bestFit="1" customWidth="1"/>
    <col min="18" max="19" width="21.5703125" customWidth="1"/>
    <col min="20" max="20" width="24.5703125" bestFit="1" customWidth="1"/>
    <col min="21" max="21" width="24.5703125" customWidth="1"/>
    <col min="23" max="23" width="12.5703125" bestFit="1" customWidth="1"/>
  </cols>
  <sheetData>
    <row r="1" spans="1:23">
      <c r="A1" s="3" t="s">
        <v>0</v>
      </c>
      <c r="B1" s="3" t="s">
        <v>1</v>
      </c>
      <c r="C1" s="3" t="s">
        <v>2</v>
      </c>
      <c r="D1" s="3" t="s">
        <v>3</v>
      </c>
      <c r="E1" s="9" t="s">
        <v>614</v>
      </c>
      <c r="F1" s="9"/>
      <c r="G1" s="9"/>
      <c r="H1" s="9"/>
      <c r="I1" s="10" t="s">
        <v>4</v>
      </c>
      <c r="J1" s="3" t="s">
        <v>5</v>
      </c>
      <c r="K1" s="3" t="s">
        <v>255</v>
      </c>
      <c r="L1" s="3" t="s">
        <v>330</v>
      </c>
      <c r="M1" s="5" t="s">
        <v>287</v>
      </c>
      <c r="N1" s="3" t="s">
        <v>6</v>
      </c>
      <c r="O1" s="3" t="s">
        <v>7</v>
      </c>
      <c r="P1" s="9" t="s">
        <v>313</v>
      </c>
      <c r="Q1" s="9" t="s">
        <v>254</v>
      </c>
      <c r="R1" s="9" t="s">
        <v>595</v>
      </c>
      <c r="S1" s="9" t="s">
        <v>597</v>
      </c>
      <c r="T1" s="9" t="s">
        <v>596</v>
      </c>
      <c r="U1" s="9" t="s">
        <v>598</v>
      </c>
      <c r="V1" t="s">
        <v>287</v>
      </c>
      <c r="W1" s="8">
        <f>SUM(M:M)</f>
        <v>181291.87999999995</v>
      </c>
    </row>
    <row r="2" spans="1:23">
      <c r="A2" t="s">
        <v>17</v>
      </c>
      <c r="B2" t="s">
        <v>290</v>
      </c>
      <c r="D2" t="s">
        <v>10</v>
      </c>
      <c r="K2" t="s">
        <v>256</v>
      </c>
      <c r="L2">
        <v>1000</v>
      </c>
      <c r="M2" s="2">
        <f>+J2*L2</f>
        <v>0</v>
      </c>
    </row>
    <row r="3" spans="1:23">
      <c r="A3" t="s">
        <v>39</v>
      </c>
      <c r="B3" t="s">
        <v>40</v>
      </c>
      <c r="C3" t="s">
        <v>41</v>
      </c>
      <c r="D3" t="s">
        <v>10</v>
      </c>
      <c r="I3" s="1" t="s">
        <v>42</v>
      </c>
      <c r="J3">
        <v>2</v>
      </c>
      <c r="K3" t="s">
        <v>256</v>
      </c>
      <c r="L3">
        <v>1000</v>
      </c>
      <c r="M3" s="2">
        <f>+J3*L3</f>
        <v>2000</v>
      </c>
      <c r="N3" t="s">
        <v>11</v>
      </c>
      <c r="O3" t="s">
        <v>208</v>
      </c>
      <c r="Q3">
        <v>1000</v>
      </c>
    </row>
    <row r="4" spans="1:23">
      <c r="A4" t="s">
        <v>335</v>
      </c>
      <c r="B4" t="s">
        <v>336</v>
      </c>
      <c r="D4" t="s">
        <v>10</v>
      </c>
      <c r="L4">
        <v>944</v>
      </c>
    </row>
    <row r="5" spans="1:23">
      <c r="A5" t="s">
        <v>36</v>
      </c>
      <c r="B5" t="s">
        <v>37</v>
      </c>
      <c r="C5" t="s">
        <v>38</v>
      </c>
      <c r="D5" t="s">
        <v>10</v>
      </c>
      <c r="I5" s="1" t="s">
        <v>277</v>
      </c>
      <c r="J5">
        <v>7.2</v>
      </c>
      <c r="K5" t="s">
        <v>256</v>
      </c>
      <c r="L5">
        <v>900</v>
      </c>
      <c r="M5" s="2">
        <f>+J5*L5</f>
        <v>6480</v>
      </c>
      <c r="N5" t="s">
        <v>11</v>
      </c>
      <c r="O5" t="s">
        <v>208</v>
      </c>
      <c r="Q5">
        <v>900</v>
      </c>
    </row>
    <row r="6" spans="1:23">
      <c r="A6" t="s">
        <v>384</v>
      </c>
      <c r="B6" t="s">
        <v>295</v>
      </c>
      <c r="D6" t="s">
        <v>10</v>
      </c>
      <c r="I6" s="1" t="s">
        <v>191</v>
      </c>
      <c r="J6">
        <v>1</v>
      </c>
      <c r="K6" t="s">
        <v>256</v>
      </c>
      <c r="L6">
        <v>720</v>
      </c>
      <c r="M6" s="2">
        <f>+J6*L6</f>
        <v>720</v>
      </c>
    </row>
    <row r="7" spans="1:23">
      <c r="A7" t="s">
        <v>602</v>
      </c>
      <c r="B7" t="s">
        <v>371</v>
      </c>
      <c r="D7" t="s">
        <v>10</v>
      </c>
      <c r="K7" t="s">
        <v>256</v>
      </c>
      <c r="L7">
        <v>675</v>
      </c>
    </row>
    <row r="8" spans="1:23">
      <c r="A8" t="s">
        <v>611</v>
      </c>
      <c r="B8" t="s">
        <v>372</v>
      </c>
      <c r="D8" t="s">
        <v>10</v>
      </c>
      <c r="K8" t="s">
        <v>256</v>
      </c>
      <c r="L8">
        <v>675</v>
      </c>
    </row>
    <row r="9" spans="1:23">
      <c r="A9" t="s">
        <v>610</v>
      </c>
      <c r="B9" t="s">
        <v>373</v>
      </c>
      <c r="D9" t="s">
        <v>10</v>
      </c>
      <c r="K9" t="s">
        <v>256</v>
      </c>
      <c r="L9">
        <v>675</v>
      </c>
    </row>
    <row r="10" spans="1:23">
      <c r="A10" t="s">
        <v>382</v>
      </c>
      <c r="B10" t="s">
        <v>15</v>
      </c>
      <c r="C10" t="s">
        <v>16</v>
      </c>
      <c r="D10" t="s">
        <v>10</v>
      </c>
      <c r="I10" s="1" t="s">
        <v>281</v>
      </c>
      <c r="J10">
        <v>11</v>
      </c>
      <c r="K10" t="s">
        <v>256</v>
      </c>
      <c r="L10">
        <v>650</v>
      </c>
      <c r="M10" s="2">
        <f>+J10*L10</f>
        <v>7150</v>
      </c>
      <c r="N10" t="s">
        <v>11</v>
      </c>
      <c r="O10" t="s">
        <v>208</v>
      </c>
    </row>
    <row r="11" spans="1:23">
      <c r="A11" t="s">
        <v>82</v>
      </c>
      <c r="B11" t="s">
        <v>83</v>
      </c>
      <c r="C11" t="s">
        <v>84</v>
      </c>
      <c r="D11" t="s">
        <v>10</v>
      </c>
      <c r="I11" s="1" t="s">
        <v>85</v>
      </c>
      <c r="J11">
        <v>5</v>
      </c>
      <c r="K11" t="s">
        <v>256</v>
      </c>
      <c r="L11">
        <v>550</v>
      </c>
      <c r="M11" s="2">
        <f>+J11*L11</f>
        <v>2750</v>
      </c>
      <c r="N11" t="s">
        <v>11</v>
      </c>
      <c r="O11" t="s">
        <v>208</v>
      </c>
      <c r="Q11">
        <v>550</v>
      </c>
    </row>
    <row r="12" spans="1:23">
      <c r="A12" t="s">
        <v>563</v>
      </c>
      <c r="B12" t="s">
        <v>564</v>
      </c>
      <c r="D12" t="s">
        <v>10</v>
      </c>
      <c r="K12" t="s">
        <v>256</v>
      </c>
      <c r="L12">
        <v>420</v>
      </c>
    </row>
    <row r="13" spans="1:23">
      <c r="A13" t="s">
        <v>334</v>
      </c>
      <c r="B13" t="s">
        <v>333</v>
      </c>
      <c r="D13" t="s">
        <v>10</v>
      </c>
      <c r="L13">
        <v>400</v>
      </c>
      <c r="Q13">
        <v>400</v>
      </c>
    </row>
    <row r="14" spans="1:23">
      <c r="A14" t="s">
        <v>171</v>
      </c>
      <c r="B14" t="s">
        <v>172</v>
      </c>
      <c r="C14" t="s">
        <v>173</v>
      </c>
      <c r="D14" t="s">
        <v>10</v>
      </c>
      <c r="I14" s="1" t="s">
        <v>613</v>
      </c>
      <c r="J14">
        <v>1.35</v>
      </c>
      <c r="K14" t="s">
        <v>256</v>
      </c>
      <c r="L14">
        <v>380</v>
      </c>
      <c r="M14" s="2">
        <f t="shared" ref="M14:M19" si="0">+J14*L14</f>
        <v>513</v>
      </c>
      <c r="N14" t="s">
        <v>11</v>
      </c>
      <c r="O14" t="s">
        <v>208</v>
      </c>
    </row>
    <row r="15" spans="1:23">
      <c r="A15" t="s">
        <v>307</v>
      </c>
      <c r="B15" t="s">
        <v>289</v>
      </c>
      <c r="C15" t="s">
        <v>14</v>
      </c>
      <c r="D15" t="s">
        <v>10</v>
      </c>
      <c r="I15" s="1" t="s">
        <v>271</v>
      </c>
      <c r="J15">
        <v>6.25</v>
      </c>
      <c r="K15" t="s">
        <v>256</v>
      </c>
      <c r="L15">
        <v>355</v>
      </c>
      <c r="M15" s="2">
        <f t="shared" si="0"/>
        <v>2218.75</v>
      </c>
      <c r="N15" t="s">
        <v>11</v>
      </c>
      <c r="O15" t="s">
        <v>208</v>
      </c>
      <c r="Q15">
        <v>355</v>
      </c>
    </row>
    <row r="16" spans="1:23">
      <c r="A16" t="s">
        <v>168</v>
      </c>
      <c r="B16" t="s">
        <v>169</v>
      </c>
      <c r="C16" t="s">
        <v>170</v>
      </c>
      <c r="D16" t="s">
        <v>10</v>
      </c>
      <c r="I16" s="1" t="s">
        <v>612</v>
      </c>
      <c r="J16">
        <v>9.2650000000000006</v>
      </c>
      <c r="K16" t="s">
        <v>256</v>
      </c>
      <c r="L16">
        <v>350</v>
      </c>
      <c r="M16" s="2">
        <f t="shared" si="0"/>
        <v>3242.75</v>
      </c>
      <c r="N16" t="s">
        <v>11</v>
      </c>
      <c r="O16" t="s">
        <v>208</v>
      </c>
    </row>
    <row r="17" spans="1:17">
      <c r="A17" t="s">
        <v>146</v>
      </c>
      <c r="B17" t="s">
        <v>226</v>
      </c>
      <c r="C17" t="s">
        <v>147</v>
      </c>
      <c r="D17" t="s">
        <v>10</v>
      </c>
      <c r="I17" s="1" t="s">
        <v>142</v>
      </c>
      <c r="J17">
        <v>6</v>
      </c>
      <c r="K17" t="s">
        <v>256</v>
      </c>
      <c r="L17">
        <v>336</v>
      </c>
      <c r="M17" s="2">
        <f t="shared" si="0"/>
        <v>2016</v>
      </c>
      <c r="N17" t="s">
        <v>45</v>
      </c>
      <c r="O17" t="s">
        <v>208</v>
      </c>
    </row>
    <row r="18" spans="1:17">
      <c r="A18" t="s">
        <v>102</v>
      </c>
      <c r="B18" t="s">
        <v>222</v>
      </c>
      <c r="C18" t="s">
        <v>103</v>
      </c>
      <c r="D18" t="s">
        <v>10</v>
      </c>
      <c r="I18" s="1" t="s">
        <v>104</v>
      </c>
      <c r="J18">
        <v>6</v>
      </c>
      <c r="K18" t="s">
        <v>256</v>
      </c>
      <c r="L18">
        <v>324</v>
      </c>
      <c r="M18" s="2">
        <f t="shared" si="0"/>
        <v>1944</v>
      </c>
      <c r="N18" t="s">
        <v>98</v>
      </c>
      <c r="O18" t="s">
        <v>208</v>
      </c>
    </row>
    <row r="19" spans="1:17">
      <c r="A19" t="s">
        <v>308</v>
      </c>
      <c r="B19" t="s">
        <v>24</v>
      </c>
      <c r="D19" t="s">
        <v>10</v>
      </c>
      <c r="K19" t="s">
        <v>256</v>
      </c>
      <c r="L19">
        <v>300</v>
      </c>
      <c r="M19" s="2">
        <f t="shared" si="0"/>
        <v>0</v>
      </c>
    </row>
    <row r="20" spans="1:17">
      <c r="A20" t="s">
        <v>374</v>
      </c>
      <c r="B20" t="s">
        <v>375</v>
      </c>
      <c r="D20" t="s">
        <v>10</v>
      </c>
      <c r="L20">
        <v>300</v>
      </c>
    </row>
    <row r="21" spans="1:17">
      <c r="A21" t="s">
        <v>133</v>
      </c>
      <c r="B21" t="s">
        <v>223</v>
      </c>
      <c r="C21" t="s">
        <v>134</v>
      </c>
      <c r="D21" t="s">
        <v>10</v>
      </c>
      <c r="I21" s="1" t="s">
        <v>135</v>
      </c>
      <c r="J21">
        <v>50</v>
      </c>
      <c r="K21" t="s">
        <v>256</v>
      </c>
      <c r="L21">
        <v>295</v>
      </c>
      <c r="M21" s="2">
        <f>+J21*L21</f>
        <v>14750</v>
      </c>
      <c r="N21" t="s">
        <v>98</v>
      </c>
      <c r="O21" t="s">
        <v>208</v>
      </c>
    </row>
    <row r="22" spans="1:17">
      <c r="A22" t="s">
        <v>8</v>
      </c>
      <c r="B22" t="s">
        <v>218</v>
      </c>
      <c r="C22" t="s">
        <v>9</v>
      </c>
      <c r="D22" t="s">
        <v>10</v>
      </c>
      <c r="I22" s="1" t="s">
        <v>270</v>
      </c>
      <c r="J22">
        <v>8.9949999999999992</v>
      </c>
      <c r="K22" t="s">
        <v>256</v>
      </c>
      <c r="L22">
        <v>270</v>
      </c>
      <c r="M22" s="2">
        <f>+J22*L22</f>
        <v>2428.6499999999996</v>
      </c>
      <c r="N22" t="s">
        <v>11</v>
      </c>
      <c r="O22" t="s">
        <v>208</v>
      </c>
      <c r="Q22">
        <v>270</v>
      </c>
    </row>
    <row r="23" spans="1:17">
      <c r="A23" t="s">
        <v>25</v>
      </c>
      <c r="B23" t="s">
        <v>26</v>
      </c>
      <c r="C23" t="s">
        <v>27</v>
      </c>
      <c r="D23" t="s">
        <v>10</v>
      </c>
      <c r="I23" s="1" t="s">
        <v>286</v>
      </c>
      <c r="J23">
        <v>27.68</v>
      </c>
      <c r="K23" t="s">
        <v>256</v>
      </c>
      <c r="L23">
        <v>255</v>
      </c>
      <c r="M23" s="2">
        <f>+J23*L23</f>
        <v>7058.4</v>
      </c>
      <c r="N23" t="s">
        <v>11</v>
      </c>
      <c r="O23" t="s">
        <v>208</v>
      </c>
      <c r="Q23">
        <v>255</v>
      </c>
    </row>
    <row r="24" spans="1:17">
      <c r="A24" t="s">
        <v>380</v>
      </c>
      <c r="B24" t="s">
        <v>381</v>
      </c>
      <c r="D24" t="s">
        <v>10</v>
      </c>
      <c r="K24" t="s">
        <v>256</v>
      </c>
      <c r="L24">
        <v>207</v>
      </c>
    </row>
    <row r="25" spans="1:17">
      <c r="A25" t="s">
        <v>18</v>
      </c>
      <c r="B25" t="s">
        <v>219</v>
      </c>
      <c r="C25" t="s">
        <v>19</v>
      </c>
      <c r="D25" t="s">
        <v>10</v>
      </c>
      <c r="I25" s="1" t="s">
        <v>272</v>
      </c>
      <c r="J25">
        <v>14.25</v>
      </c>
      <c r="K25" t="s">
        <v>256</v>
      </c>
      <c r="L25">
        <v>195</v>
      </c>
      <c r="M25" s="2">
        <f>+J25*L25</f>
        <v>2778.75</v>
      </c>
      <c r="N25" t="s">
        <v>11</v>
      </c>
      <c r="O25" t="s">
        <v>208</v>
      </c>
    </row>
    <row r="26" spans="1:17">
      <c r="A26" t="s">
        <v>353</v>
      </c>
      <c r="B26" t="s">
        <v>352</v>
      </c>
      <c r="D26" t="s">
        <v>10</v>
      </c>
      <c r="L26">
        <v>140</v>
      </c>
    </row>
    <row r="27" spans="1:17">
      <c r="A27" t="s">
        <v>360</v>
      </c>
      <c r="B27" t="s">
        <v>363</v>
      </c>
      <c r="D27" t="s">
        <v>10</v>
      </c>
      <c r="K27" t="s">
        <v>256</v>
      </c>
      <c r="L27">
        <v>135</v>
      </c>
    </row>
    <row r="28" spans="1:17">
      <c r="A28" t="s">
        <v>361</v>
      </c>
      <c r="B28" t="s">
        <v>364</v>
      </c>
      <c r="D28" t="s">
        <v>10</v>
      </c>
      <c r="K28" t="s">
        <v>256</v>
      </c>
      <c r="L28">
        <v>135</v>
      </c>
    </row>
    <row r="29" spans="1:17">
      <c r="A29" t="s">
        <v>174</v>
      </c>
      <c r="B29" t="s">
        <v>175</v>
      </c>
      <c r="C29" t="s">
        <v>251</v>
      </c>
      <c r="D29" t="s">
        <v>10</v>
      </c>
      <c r="I29" s="1" t="s">
        <v>44</v>
      </c>
      <c r="J29">
        <v>40</v>
      </c>
      <c r="K29" t="s">
        <v>256</v>
      </c>
      <c r="L29">
        <v>125</v>
      </c>
      <c r="M29" s="2">
        <f>+J29*L29</f>
        <v>5000</v>
      </c>
      <c r="N29" t="s">
        <v>62</v>
      </c>
      <c r="O29" t="s">
        <v>208</v>
      </c>
      <c r="Q29">
        <v>125</v>
      </c>
    </row>
    <row r="30" spans="1:17">
      <c r="A30" t="s">
        <v>176</v>
      </c>
      <c r="B30" t="s">
        <v>177</v>
      </c>
      <c r="C30" t="s">
        <v>250</v>
      </c>
      <c r="D30" t="s">
        <v>10</v>
      </c>
      <c r="I30" s="1" t="s">
        <v>178</v>
      </c>
      <c r="J30">
        <v>45</v>
      </c>
      <c r="K30" t="s">
        <v>256</v>
      </c>
      <c r="L30">
        <v>125</v>
      </c>
      <c r="M30" s="2">
        <f>+J30*L30</f>
        <v>5625</v>
      </c>
      <c r="N30" t="s">
        <v>62</v>
      </c>
      <c r="O30" t="s">
        <v>208</v>
      </c>
      <c r="Q30">
        <v>125</v>
      </c>
    </row>
    <row r="31" spans="1:17">
      <c r="A31" t="s">
        <v>179</v>
      </c>
      <c r="B31" t="s">
        <v>180</v>
      </c>
      <c r="C31" t="s">
        <v>249</v>
      </c>
      <c r="D31" t="s">
        <v>10</v>
      </c>
      <c r="I31" s="1" t="s">
        <v>178</v>
      </c>
      <c r="J31">
        <v>45</v>
      </c>
      <c r="K31" t="s">
        <v>256</v>
      </c>
      <c r="L31">
        <v>125</v>
      </c>
      <c r="M31" s="2">
        <f>+J31*L31</f>
        <v>5625</v>
      </c>
      <c r="N31" t="s">
        <v>62</v>
      </c>
      <c r="O31" t="s">
        <v>208</v>
      </c>
      <c r="Q31">
        <v>125</v>
      </c>
    </row>
    <row r="32" spans="1:17">
      <c r="A32" t="s">
        <v>299</v>
      </c>
      <c r="B32" t="s">
        <v>205</v>
      </c>
      <c r="C32" t="s">
        <v>206</v>
      </c>
      <c r="D32" t="s">
        <v>10</v>
      </c>
      <c r="I32" s="1" t="s">
        <v>504</v>
      </c>
      <c r="J32">
        <v>30</v>
      </c>
      <c r="K32" t="s">
        <v>495</v>
      </c>
      <c r="L32">
        <v>118.5</v>
      </c>
      <c r="M32" s="2">
        <f>+J32*L32</f>
        <v>3555</v>
      </c>
      <c r="N32" t="s">
        <v>11</v>
      </c>
      <c r="O32" t="s">
        <v>208</v>
      </c>
    </row>
    <row r="33" spans="1:17">
      <c r="A33" t="s">
        <v>297</v>
      </c>
      <c r="B33" t="s">
        <v>296</v>
      </c>
      <c r="C33" t="s">
        <v>207</v>
      </c>
      <c r="D33" t="s">
        <v>10</v>
      </c>
      <c r="I33" s="1" t="s">
        <v>504</v>
      </c>
      <c r="J33">
        <v>30</v>
      </c>
      <c r="K33" t="s">
        <v>495</v>
      </c>
      <c r="L33">
        <v>118.5</v>
      </c>
      <c r="M33" s="2">
        <f>+J33*L33</f>
        <v>3555</v>
      </c>
      <c r="N33" t="s">
        <v>11</v>
      </c>
      <c r="O33" t="s">
        <v>208</v>
      </c>
    </row>
    <row r="34" spans="1:17">
      <c r="A34" t="s">
        <v>359</v>
      </c>
      <c r="B34" t="s">
        <v>362</v>
      </c>
      <c r="D34" t="s">
        <v>10</v>
      </c>
      <c r="K34" t="s">
        <v>256</v>
      </c>
      <c r="L34">
        <v>117</v>
      </c>
    </row>
    <row r="35" spans="1:17">
      <c r="A35" t="s">
        <v>165</v>
      </c>
      <c r="B35" t="s">
        <v>166</v>
      </c>
      <c r="C35" t="s">
        <v>167</v>
      </c>
      <c r="D35" t="s">
        <v>10</v>
      </c>
      <c r="I35" s="1" t="s">
        <v>312</v>
      </c>
      <c r="J35">
        <v>22.44</v>
      </c>
      <c r="K35" t="s">
        <v>256</v>
      </c>
      <c r="L35">
        <v>87</v>
      </c>
      <c r="M35" s="2">
        <f>+J35*L35</f>
        <v>1952.2800000000002</v>
      </c>
      <c r="N35" t="s">
        <v>11</v>
      </c>
      <c r="O35" t="s">
        <v>208</v>
      </c>
      <c r="Q35">
        <v>87</v>
      </c>
    </row>
    <row r="36" spans="1:17">
      <c r="A36" t="s">
        <v>298</v>
      </c>
      <c r="B36" t="s">
        <v>196</v>
      </c>
      <c r="C36" t="s">
        <v>197</v>
      </c>
      <c r="D36" t="s">
        <v>10</v>
      </c>
      <c r="I36" s="1" t="s">
        <v>54</v>
      </c>
      <c r="J36">
        <v>50</v>
      </c>
      <c r="K36" t="s">
        <v>256</v>
      </c>
      <c r="L36">
        <v>85</v>
      </c>
      <c r="M36" s="2">
        <f>+J36*L36</f>
        <v>4250</v>
      </c>
      <c r="N36" t="s">
        <v>11</v>
      </c>
      <c r="O36" t="s">
        <v>208</v>
      </c>
      <c r="Q36">
        <v>85</v>
      </c>
    </row>
    <row r="37" spans="1:17">
      <c r="A37" t="s">
        <v>314</v>
      </c>
      <c r="B37" t="s">
        <v>318</v>
      </c>
      <c r="C37" t="s">
        <v>322</v>
      </c>
      <c r="D37" t="s">
        <v>10</v>
      </c>
      <c r="K37" t="s">
        <v>256</v>
      </c>
      <c r="L37">
        <v>84.8</v>
      </c>
      <c r="P37" t="s">
        <v>326</v>
      </c>
    </row>
    <row r="38" spans="1:17">
      <c r="A38" t="s">
        <v>316</v>
      </c>
      <c r="B38" t="s">
        <v>320</v>
      </c>
      <c r="C38" t="s">
        <v>324</v>
      </c>
      <c r="D38" t="s">
        <v>10</v>
      </c>
      <c r="K38" t="s">
        <v>256</v>
      </c>
      <c r="L38">
        <v>84.8</v>
      </c>
      <c r="P38" t="s">
        <v>326</v>
      </c>
    </row>
    <row r="39" spans="1:17">
      <c r="A39" t="s">
        <v>315</v>
      </c>
      <c r="B39" t="s">
        <v>319</v>
      </c>
      <c r="C39" t="s">
        <v>323</v>
      </c>
      <c r="D39" t="s">
        <v>10</v>
      </c>
      <c r="K39" t="s">
        <v>256</v>
      </c>
      <c r="L39">
        <v>84.8</v>
      </c>
      <c r="P39" t="s">
        <v>326</v>
      </c>
    </row>
    <row r="40" spans="1:17">
      <c r="A40" t="s">
        <v>317</v>
      </c>
      <c r="B40" t="s">
        <v>321</v>
      </c>
      <c r="C40" t="s">
        <v>325</v>
      </c>
      <c r="D40" t="s">
        <v>10</v>
      </c>
      <c r="K40" t="s">
        <v>256</v>
      </c>
      <c r="L40">
        <v>84.8</v>
      </c>
      <c r="P40" t="s">
        <v>326</v>
      </c>
    </row>
    <row r="41" spans="1:17">
      <c r="A41" t="s">
        <v>345</v>
      </c>
      <c r="B41" t="s">
        <v>346</v>
      </c>
      <c r="D41" t="s">
        <v>10</v>
      </c>
      <c r="L41">
        <v>81</v>
      </c>
    </row>
    <row r="42" spans="1:17">
      <c r="A42" t="s">
        <v>181</v>
      </c>
      <c r="B42" t="s">
        <v>182</v>
      </c>
      <c r="C42" t="s">
        <v>248</v>
      </c>
      <c r="D42" t="s">
        <v>10</v>
      </c>
      <c r="I42" s="1" t="s">
        <v>178</v>
      </c>
      <c r="J42">
        <v>45</v>
      </c>
      <c r="K42" t="s">
        <v>256</v>
      </c>
      <c r="L42">
        <v>65</v>
      </c>
      <c r="M42" s="2">
        <f>+J42*L42</f>
        <v>2925</v>
      </c>
      <c r="N42" t="s">
        <v>62</v>
      </c>
      <c r="O42" t="s">
        <v>208</v>
      </c>
      <c r="Q42">
        <v>65</v>
      </c>
    </row>
    <row r="43" spans="1:17">
      <c r="A43" t="s">
        <v>347</v>
      </c>
      <c r="B43" t="s">
        <v>348</v>
      </c>
      <c r="D43" t="s">
        <v>10</v>
      </c>
      <c r="L43">
        <v>64</v>
      </c>
    </row>
    <row r="44" spans="1:17">
      <c r="A44" t="s">
        <v>139</v>
      </c>
      <c r="B44" t="s">
        <v>140</v>
      </c>
      <c r="C44" t="s">
        <v>141</v>
      </c>
      <c r="D44" t="s">
        <v>10</v>
      </c>
      <c r="I44" s="1" t="s">
        <v>142</v>
      </c>
      <c r="J44">
        <v>6</v>
      </c>
      <c r="K44" t="s">
        <v>256</v>
      </c>
      <c r="L44">
        <v>58.4</v>
      </c>
      <c r="M44" s="2">
        <f t="shared" ref="M44:M52" si="1">+J44*L44</f>
        <v>350.4</v>
      </c>
      <c r="N44" t="s">
        <v>45</v>
      </c>
      <c r="O44" t="s">
        <v>208</v>
      </c>
    </row>
    <row r="45" spans="1:17">
      <c r="A45" t="s">
        <v>143</v>
      </c>
      <c r="B45" t="s">
        <v>144</v>
      </c>
      <c r="C45" t="s">
        <v>145</v>
      </c>
      <c r="D45" t="s">
        <v>10</v>
      </c>
      <c r="I45" s="1" t="s">
        <v>142</v>
      </c>
      <c r="J45">
        <v>6</v>
      </c>
      <c r="K45" t="s">
        <v>256</v>
      </c>
      <c r="L45">
        <v>58.4</v>
      </c>
      <c r="M45" s="2">
        <f t="shared" si="1"/>
        <v>350.4</v>
      </c>
      <c r="N45" t="s">
        <v>45</v>
      </c>
      <c r="O45" t="s">
        <v>208</v>
      </c>
    </row>
    <row r="46" spans="1:17">
      <c r="A46" t="s">
        <v>148</v>
      </c>
      <c r="B46" t="s">
        <v>149</v>
      </c>
      <c r="C46" t="s">
        <v>150</v>
      </c>
      <c r="D46" t="s">
        <v>10</v>
      </c>
      <c r="I46" s="1" t="s">
        <v>151</v>
      </c>
      <c r="J46">
        <v>6</v>
      </c>
      <c r="K46" t="s">
        <v>256</v>
      </c>
      <c r="L46">
        <v>58.4</v>
      </c>
      <c r="M46" s="2">
        <f t="shared" si="1"/>
        <v>350.4</v>
      </c>
      <c r="N46" t="s">
        <v>45</v>
      </c>
      <c r="O46" t="s">
        <v>208</v>
      </c>
    </row>
    <row r="47" spans="1:17">
      <c r="A47" t="s">
        <v>65</v>
      </c>
      <c r="B47" t="s">
        <v>66</v>
      </c>
      <c r="C47" t="s">
        <v>210</v>
      </c>
      <c r="D47" t="s">
        <v>10</v>
      </c>
      <c r="I47" s="1" t="s">
        <v>259</v>
      </c>
      <c r="J47">
        <v>340</v>
      </c>
      <c r="K47" t="s">
        <v>256</v>
      </c>
      <c r="L47">
        <v>29.700000000000003</v>
      </c>
      <c r="M47" s="2">
        <f t="shared" si="1"/>
        <v>10098.000000000002</v>
      </c>
      <c r="N47" t="s">
        <v>62</v>
      </c>
      <c r="O47" t="s">
        <v>208</v>
      </c>
      <c r="P47" s="6">
        <v>13.85</v>
      </c>
      <c r="Q47">
        <v>29.7</v>
      </c>
    </row>
    <row r="48" spans="1:17">
      <c r="A48" t="s">
        <v>60</v>
      </c>
      <c r="B48" t="s">
        <v>61</v>
      </c>
      <c r="C48" t="s">
        <v>209</v>
      </c>
      <c r="D48" t="s">
        <v>10</v>
      </c>
      <c r="I48" s="1" t="s">
        <v>257</v>
      </c>
      <c r="J48">
        <v>320</v>
      </c>
      <c r="K48" t="s">
        <v>256</v>
      </c>
      <c r="L48">
        <v>28.5</v>
      </c>
      <c r="M48" s="2">
        <f t="shared" si="1"/>
        <v>9120</v>
      </c>
      <c r="N48" t="s">
        <v>62</v>
      </c>
      <c r="O48" t="s">
        <v>208</v>
      </c>
      <c r="P48" s="6">
        <v>13.85</v>
      </c>
      <c r="Q48">
        <v>28.5</v>
      </c>
    </row>
    <row r="49" spans="1:17">
      <c r="A49" t="s">
        <v>86</v>
      </c>
      <c r="B49" t="s">
        <v>87</v>
      </c>
      <c r="C49" t="s">
        <v>247</v>
      </c>
      <c r="D49" t="s">
        <v>10</v>
      </c>
      <c r="I49" s="1" t="s">
        <v>283</v>
      </c>
      <c r="J49">
        <v>140</v>
      </c>
      <c r="K49" t="s">
        <v>256</v>
      </c>
      <c r="L49">
        <v>27.7</v>
      </c>
      <c r="M49" s="2">
        <f t="shared" si="1"/>
        <v>3878</v>
      </c>
      <c r="N49" t="s">
        <v>62</v>
      </c>
      <c r="O49" t="s">
        <v>208</v>
      </c>
      <c r="P49">
        <v>34.08</v>
      </c>
      <c r="Q49" s="6">
        <v>27.7</v>
      </c>
    </row>
    <row r="50" spans="1:17">
      <c r="A50" t="s">
        <v>88</v>
      </c>
      <c r="B50" t="s">
        <v>89</v>
      </c>
      <c r="C50" t="s">
        <v>244</v>
      </c>
      <c r="D50" t="s">
        <v>10</v>
      </c>
      <c r="I50" s="1" t="s">
        <v>284</v>
      </c>
      <c r="J50">
        <v>150</v>
      </c>
      <c r="K50" t="s">
        <v>256</v>
      </c>
      <c r="L50">
        <v>27.7</v>
      </c>
      <c r="M50" s="2">
        <f t="shared" si="1"/>
        <v>4155</v>
      </c>
      <c r="N50" t="s">
        <v>62</v>
      </c>
      <c r="O50" t="s">
        <v>208</v>
      </c>
      <c r="P50">
        <v>34.08</v>
      </c>
      <c r="Q50" s="6">
        <v>27.7</v>
      </c>
    </row>
    <row r="51" spans="1:17">
      <c r="A51" t="s">
        <v>90</v>
      </c>
      <c r="B51" t="s">
        <v>91</v>
      </c>
      <c r="C51" t="s">
        <v>245</v>
      </c>
      <c r="D51" t="s">
        <v>10</v>
      </c>
      <c r="I51" s="1" t="s">
        <v>284</v>
      </c>
      <c r="J51">
        <v>150</v>
      </c>
      <c r="K51" t="s">
        <v>256</v>
      </c>
      <c r="L51">
        <v>27.7</v>
      </c>
      <c r="M51" s="2">
        <f t="shared" si="1"/>
        <v>4155</v>
      </c>
      <c r="N51" t="s">
        <v>62</v>
      </c>
      <c r="O51" t="s">
        <v>208</v>
      </c>
      <c r="P51">
        <v>34.08</v>
      </c>
      <c r="Q51" s="6">
        <v>27.7</v>
      </c>
    </row>
    <row r="52" spans="1:17">
      <c r="A52" t="s">
        <v>92</v>
      </c>
      <c r="B52" t="s">
        <v>93</v>
      </c>
      <c r="C52" t="s">
        <v>246</v>
      </c>
      <c r="D52" t="s">
        <v>10</v>
      </c>
      <c r="I52" s="1" t="s">
        <v>285</v>
      </c>
      <c r="J52">
        <v>140</v>
      </c>
      <c r="K52" t="s">
        <v>256</v>
      </c>
      <c r="L52">
        <v>27.7</v>
      </c>
      <c r="M52" s="2">
        <f t="shared" si="1"/>
        <v>3878</v>
      </c>
      <c r="N52" t="s">
        <v>62</v>
      </c>
      <c r="O52" t="s">
        <v>208</v>
      </c>
      <c r="P52">
        <v>34.08</v>
      </c>
      <c r="Q52" s="6">
        <v>27.7</v>
      </c>
    </row>
    <row r="53" spans="1:17">
      <c r="A53" t="s">
        <v>367</v>
      </c>
      <c r="B53" t="s">
        <v>368</v>
      </c>
      <c r="D53" t="s">
        <v>10</v>
      </c>
      <c r="K53" t="s">
        <v>256</v>
      </c>
      <c r="L53">
        <v>25.3</v>
      </c>
    </row>
    <row r="54" spans="1:17">
      <c r="A54" t="s">
        <v>52</v>
      </c>
      <c r="B54" t="s">
        <v>53</v>
      </c>
      <c r="D54" t="s">
        <v>10</v>
      </c>
      <c r="I54" s="1" t="s">
        <v>54</v>
      </c>
      <c r="J54">
        <v>50</v>
      </c>
      <c r="K54" t="s">
        <v>256</v>
      </c>
      <c r="L54">
        <v>22</v>
      </c>
      <c r="M54" s="2">
        <f>+J54*L54</f>
        <v>1100</v>
      </c>
      <c r="N54" t="s">
        <v>45</v>
      </c>
      <c r="O54" t="s">
        <v>208</v>
      </c>
      <c r="P54" s="6"/>
    </row>
    <row r="55" spans="1:17">
      <c r="A55" t="s">
        <v>43</v>
      </c>
      <c r="B55" t="s">
        <v>228</v>
      </c>
      <c r="C55" t="s">
        <v>242</v>
      </c>
      <c r="D55" t="s">
        <v>10</v>
      </c>
      <c r="I55" s="1" t="s">
        <v>44</v>
      </c>
      <c r="J55">
        <v>40</v>
      </c>
      <c r="K55" t="s">
        <v>256</v>
      </c>
      <c r="L55">
        <v>19</v>
      </c>
      <c r="M55" s="2">
        <f>+J55*L55</f>
        <v>760</v>
      </c>
      <c r="N55" t="s">
        <v>45</v>
      </c>
      <c r="O55" t="s">
        <v>208</v>
      </c>
      <c r="P55" s="6"/>
      <c r="Q55">
        <v>19</v>
      </c>
    </row>
    <row r="56" spans="1:17">
      <c r="A56" t="s">
        <v>327</v>
      </c>
      <c r="B56" t="s">
        <v>344</v>
      </c>
      <c r="D56" t="s">
        <v>10</v>
      </c>
      <c r="L56">
        <v>17</v>
      </c>
    </row>
    <row r="57" spans="1:17">
      <c r="A57" t="s">
        <v>328</v>
      </c>
      <c r="B57" t="s">
        <v>351</v>
      </c>
      <c r="D57" t="s">
        <v>10</v>
      </c>
      <c r="L57">
        <v>17</v>
      </c>
    </row>
    <row r="58" spans="1:17">
      <c r="A58" t="s">
        <v>158</v>
      </c>
      <c r="B58" t="s">
        <v>159</v>
      </c>
      <c r="D58" t="s">
        <v>10</v>
      </c>
      <c r="I58" s="1" t="s">
        <v>310</v>
      </c>
      <c r="J58">
        <v>780</v>
      </c>
      <c r="K58" t="s">
        <v>256</v>
      </c>
      <c r="L58">
        <v>14</v>
      </c>
      <c r="M58" s="2">
        <f t="shared" ref="M58:M89" si="2">+J58*L58</f>
        <v>10920</v>
      </c>
      <c r="N58" t="s">
        <v>62</v>
      </c>
      <c r="O58" t="s">
        <v>208</v>
      </c>
      <c r="P58" s="6"/>
    </row>
    <row r="59" spans="1:17">
      <c r="A59" t="s">
        <v>57</v>
      </c>
      <c r="B59" t="s">
        <v>58</v>
      </c>
      <c r="C59" t="s">
        <v>243</v>
      </c>
      <c r="D59" t="s">
        <v>10</v>
      </c>
      <c r="I59" s="1" t="s">
        <v>59</v>
      </c>
      <c r="J59">
        <v>10</v>
      </c>
      <c r="K59" t="s">
        <v>256</v>
      </c>
      <c r="L59">
        <v>13</v>
      </c>
      <c r="M59" s="2">
        <f t="shared" si="2"/>
        <v>130</v>
      </c>
      <c r="N59" t="s">
        <v>45</v>
      </c>
      <c r="O59" t="s">
        <v>208</v>
      </c>
      <c r="Q59">
        <v>13</v>
      </c>
    </row>
    <row r="60" spans="1:17">
      <c r="A60" t="s">
        <v>152</v>
      </c>
      <c r="B60" t="s">
        <v>153</v>
      </c>
      <c r="C60" t="s">
        <v>234</v>
      </c>
      <c r="D60" t="s">
        <v>10</v>
      </c>
      <c r="I60" s="1" t="s">
        <v>154</v>
      </c>
      <c r="J60">
        <v>40</v>
      </c>
      <c r="K60" t="s">
        <v>256</v>
      </c>
      <c r="L60">
        <v>10.55</v>
      </c>
      <c r="M60" s="2">
        <f t="shared" si="2"/>
        <v>422</v>
      </c>
      <c r="N60" t="s">
        <v>62</v>
      </c>
      <c r="O60" t="s">
        <v>208</v>
      </c>
      <c r="P60" s="6">
        <v>9.59</v>
      </c>
      <c r="Q60">
        <v>10.55</v>
      </c>
    </row>
    <row r="61" spans="1:17">
      <c r="A61" t="s">
        <v>155</v>
      </c>
      <c r="B61" t="s">
        <v>156</v>
      </c>
      <c r="C61" t="s">
        <v>236</v>
      </c>
      <c r="D61" t="s">
        <v>10</v>
      </c>
      <c r="I61" s="1" t="s">
        <v>157</v>
      </c>
      <c r="J61">
        <v>60</v>
      </c>
      <c r="K61" t="s">
        <v>256</v>
      </c>
      <c r="L61">
        <v>10.55</v>
      </c>
      <c r="M61" s="2">
        <f t="shared" si="2"/>
        <v>633</v>
      </c>
      <c r="N61" t="s">
        <v>62</v>
      </c>
      <c r="O61" t="s">
        <v>208</v>
      </c>
      <c r="P61" s="6">
        <v>9.59</v>
      </c>
      <c r="Q61">
        <v>10.55</v>
      </c>
    </row>
    <row r="62" spans="1:17">
      <c r="A62" t="s">
        <v>160</v>
      </c>
      <c r="B62" t="s">
        <v>161</v>
      </c>
      <c r="C62" t="s">
        <v>235</v>
      </c>
      <c r="D62" t="s">
        <v>10</v>
      </c>
      <c r="I62" s="1" t="s">
        <v>162</v>
      </c>
      <c r="J62">
        <v>80</v>
      </c>
      <c r="K62" t="s">
        <v>256</v>
      </c>
      <c r="L62">
        <v>10.55</v>
      </c>
      <c r="M62" s="2">
        <f t="shared" si="2"/>
        <v>844</v>
      </c>
      <c r="N62" t="s">
        <v>62</v>
      </c>
      <c r="O62" t="s">
        <v>208</v>
      </c>
      <c r="P62" s="6">
        <v>9.59</v>
      </c>
      <c r="Q62">
        <v>10.55</v>
      </c>
    </row>
    <row r="63" spans="1:17">
      <c r="A63" t="s">
        <v>163</v>
      </c>
      <c r="B63" t="s">
        <v>164</v>
      </c>
      <c r="C63" t="s">
        <v>237</v>
      </c>
      <c r="D63" t="s">
        <v>10</v>
      </c>
      <c r="I63" s="1" t="s">
        <v>157</v>
      </c>
      <c r="J63">
        <v>60</v>
      </c>
      <c r="K63" t="s">
        <v>256</v>
      </c>
      <c r="L63">
        <v>10.55</v>
      </c>
      <c r="M63" s="2">
        <f t="shared" si="2"/>
        <v>633</v>
      </c>
      <c r="N63" t="s">
        <v>62</v>
      </c>
      <c r="O63" t="s">
        <v>208</v>
      </c>
      <c r="P63" s="6">
        <v>9.59</v>
      </c>
      <c r="Q63">
        <v>10.55</v>
      </c>
    </row>
    <row r="64" spans="1:17">
      <c r="A64" t="s">
        <v>63</v>
      </c>
      <c r="B64" t="s">
        <v>64</v>
      </c>
      <c r="C64" t="s">
        <v>211</v>
      </c>
      <c r="D64" t="s">
        <v>10</v>
      </c>
      <c r="I64" s="1" t="s">
        <v>258</v>
      </c>
      <c r="J64">
        <v>280</v>
      </c>
      <c r="K64" t="s">
        <v>256</v>
      </c>
      <c r="L64">
        <v>10.45</v>
      </c>
      <c r="M64" s="2">
        <f t="shared" si="2"/>
        <v>2926</v>
      </c>
      <c r="N64" t="s">
        <v>62</v>
      </c>
      <c r="O64" t="s">
        <v>208</v>
      </c>
      <c r="P64" s="6">
        <v>13.85</v>
      </c>
      <c r="Q64">
        <v>10.45</v>
      </c>
    </row>
    <row r="65" spans="1:17">
      <c r="A65" t="s">
        <v>67</v>
      </c>
      <c r="B65" t="s">
        <v>68</v>
      </c>
      <c r="C65" t="s">
        <v>212</v>
      </c>
      <c r="D65" t="s">
        <v>10</v>
      </c>
      <c r="I65" s="1" t="s">
        <v>257</v>
      </c>
      <c r="J65">
        <v>320</v>
      </c>
      <c r="K65" t="s">
        <v>256</v>
      </c>
      <c r="L65">
        <v>9.6999999999999993</v>
      </c>
      <c r="M65" s="2">
        <f t="shared" si="2"/>
        <v>3104</v>
      </c>
      <c r="N65" t="s">
        <v>62</v>
      </c>
      <c r="O65" t="s">
        <v>208</v>
      </c>
      <c r="P65" s="6">
        <v>13.85</v>
      </c>
      <c r="Q65">
        <v>9.6999999999999993</v>
      </c>
    </row>
    <row r="66" spans="1:17">
      <c r="A66" t="s">
        <v>121</v>
      </c>
      <c r="B66" t="s">
        <v>122</v>
      </c>
      <c r="C66" t="s">
        <v>215</v>
      </c>
      <c r="D66" t="s">
        <v>10</v>
      </c>
      <c r="I66" s="1" t="s">
        <v>260</v>
      </c>
      <c r="J66">
        <v>420</v>
      </c>
      <c r="K66" t="s">
        <v>256</v>
      </c>
      <c r="L66">
        <v>8.745000000000001</v>
      </c>
      <c r="M66" s="2">
        <f t="shared" si="2"/>
        <v>3672.9000000000005</v>
      </c>
      <c r="N66" t="s">
        <v>98</v>
      </c>
      <c r="O66" t="s">
        <v>208</v>
      </c>
      <c r="P66">
        <v>10.65</v>
      </c>
      <c r="Q66" s="6">
        <v>8.75</v>
      </c>
    </row>
    <row r="67" spans="1:17">
      <c r="A67" t="s">
        <v>123</v>
      </c>
      <c r="B67" t="s">
        <v>124</v>
      </c>
      <c r="C67" t="s">
        <v>213</v>
      </c>
      <c r="D67" t="s">
        <v>10</v>
      </c>
      <c r="I67" s="1" t="s">
        <v>261</v>
      </c>
      <c r="J67">
        <v>320</v>
      </c>
      <c r="K67" t="s">
        <v>256</v>
      </c>
      <c r="L67">
        <v>8.745000000000001</v>
      </c>
      <c r="M67" s="2">
        <f t="shared" si="2"/>
        <v>2798.4000000000005</v>
      </c>
      <c r="N67" t="s">
        <v>98</v>
      </c>
      <c r="O67" t="s">
        <v>208</v>
      </c>
      <c r="P67">
        <v>10.65</v>
      </c>
      <c r="Q67" s="6">
        <v>8.75</v>
      </c>
    </row>
    <row r="68" spans="1:17">
      <c r="A68" t="s">
        <v>125</v>
      </c>
      <c r="B68" t="s">
        <v>126</v>
      </c>
      <c r="C68" t="s">
        <v>214</v>
      </c>
      <c r="D68" t="s">
        <v>10</v>
      </c>
      <c r="I68" s="1" t="s">
        <v>262</v>
      </c>
      <c r="J68">
        <v>520</v>
      </c>
      <c r="K68" t="s">
        <v>256</v>
      </c>
      <c r="L68">
        <v>8.745000000000001</v>
      </c>
      <c r="M68" s="2">
        <f t="shared" si="2"/>
        <v>4547.4000000000005</v>
      </c>
      <c r="N68" t="s">
        <v>98</v>
      </c>
      <c r="O68" t="s">
        <v>208</v>
      </c>
      <c r="P68">
        <v>10.65</v>
      </c>
      <c r="Q68" s="6">
        <v>8.75</v>
      </c>
    </row>
    <row r="69" spans="1:17">
      <c r="A69" t="s">
        <v>127</v>
      </c>
      <c r="B69" t="s">
        <v>128</v>
      </c>
      <c r="C69" t="s">
        <v>216</v>
      </c>
      <c r="D69" t="s">
        <v>10</v>
      </c>
      <c r="I69" s="1" t="s">
        <v>260</v>
      </c>
      <c r="J69">
        <v>420</v>
      </c>
      <c r="K69" t="s">
        <v>256</v>
      </c>
      <c r="L69">
        <v>8.745000000000001</v>
      </c>
      <c r="M69" s="2">
        <f t="shared" si="2"/>
        <v>3672.9000000000005</v>
      </c>
      <c r="N69" t="s">
        <v>98</v>
      </c>
      <c r="O69" t="s">
        <v>208</v>
      </c>
      <c r="P69">
        <v>10.65</v>
      </c>
      <c r="Q69" s="6">
        <v>8.75</v>
      </c>
    </row>
    <row r="70" spans="1:17">
      <c r="A70" t="s">
        <v>96</v>
      </c>
      <c r="B70" t="s">
        <v>97</v>
      </c>
      <c r="C70" t="s">
        <v>229</v>
      </c>
      <c r="D70" t="s">
        <v>10</v>
      </c>
      <c r="I70" s="1" t="s">
        <v>263</v>
      </c>
      <c r="J70">
        <v>360</v>
      </c>
      <c r="K70" t="s">
        <v>256</v>
      </c>
      <c r="L70">
        <v>8.3000000000000007</v>
      </c>
      <c r="M70" s="2">
        <f t="shared" si="2"/>
        <v>2988.0000000000005</v>
      </c>
      <c r="N70" t="s">
        <v>98</v>
      </c>
      <c r="O70" t="s">
        <v>208</v>
      </c>
      <c r="P70">
        <v>8.52</v>
      </c>
      <c r="Q70" s="6">
        <v>8.3000000000000007</v>
      </c>
    </row>
    <row r="71" spans="1:17">
      <c r="A71" t="s">
        <v>105</v>
      </c>
      <c r="B71" t="s">
        <v>106</v>
      </c>
      <c r="C71" t="s">
        <v>230</v>
      </c>
      <c r="D71" t="s">
        <v>10</v>
      </c>
      <c r="I71" s="1" t="s">
        <v>265</v>
      </c>
      <c r="J71">
        <v>840</v>
      </c>
      <c r="K71" t="s">
        <v>256</v>
      </c>
      <c r="L71">
        <v>8.3000000000000007</v>
      </c>
      <c r="M71" s="2">
        <f t="shared" si="2"/>
        <v>6972.0000000000009</v>
      </c>
      <c r="N71" t="s">
        <v>98</v>
      </c>
      <c r="O71" t="s">
        <v>208</v>
      </c>
      <c r="P71">
        <v>8.52</v>
      </c>
      <c r="Q71" s="6">
        <v>8.3000000000000007</v>
      </c>
    </row>
    <row r="72" spans="1:17">
      <c r="A72" t="s">
        <v>113</v>
      </c>
      <c r="B72" t="s">
        <v>114</v>
      </c>
      <c r="C72" t="s">
        <v>231</v>
      </c>
      <c r="D72" t="s">
        <v>10</v>
      </c>
      <c r="I72" s="1" t="s">
        <v>267</v>
      </c>
      <c r="J72">
        <v>460</v>
      </c>
      <c r="K72" t="s">
        <v>256</v>
      </c>
      <c r="L72">
        <v>8.3000000000000007</v>
      </c>
      <c r="M72" s="2">
        <f t="shared" si="2"/>
        <v>3818.0000000000005</v>
      </c>
      <c r="N72" t="s">
        <v>98</v>
      </c>
      <c r="O72" t="s">
        <v>208</v>
      </c>
      <c r="P72">
        <v>8.52</v>
      </c>
      <c r="Q72" s="6">
        <v>8.3000000000000007</v>
      </c>
    </row>
    <row r="73" spans="1:17">
      <c r="A73" t="s">
        <v>131</v>
      </c>
      <c r="B73" t="s">
        <v>132</v>
      </c>
      <c r="C73" t="s">
        <v>232</v>
      </c>
      <c r="D73" t="s">
        <v>10</v>
      </c>
      <c r="I73" s="1" t="s">
        <v>269</v>
      </c>
      <c r="J73">
        <v>340</v>
      </c>
      <c r="K73" t="s">
        <v>256</v>
      </c>
      <c r="L73">
        <v>8.3000000000000007</v>
      </c>
      <c r="M73" s="2">
        <f t="shared" si="2"/>
        <v>2822.0000000000005</v>
      </c>
      <c r="N73" t="s">
        <v>98</v>
      </c>
      <c r="O73" t="s">
        <v>208</v>
      </c>
      <c r="P73">
        <v>8.52</v>
      </c>
      <c r="Q73" s="6">
        <v>8.3000000000000007</v>
      </c>
    </row>
    <row r="74" spans="1:17">
      <c r="A74" t="s">
        <v>48</v>
      </c>
      <c r="B74" t="s">
        <v>49</v>
      </c>
      <c r="C74" t="s">
        <v>240</v>
      </c>
      <c r="D74" t="s">
        <v>10</v>
      </c>
      <c r="I74" s="1" t="s">
        <v>279</v>
      </c>
      <c r="J74">
        <v>430</v>
      </c>
      <c r="K74" t="s">
        <v>256</v>
      </c>
      <c r="L74">
        <v>2.4</v>
      </c>
      <c r="M74" s="2">
        <f t="shared" si="2"/>
        <v>1032</v>
      </c>
      <c r="N74" t="s">
        <v>45</v>
      </c>
      <c r="O74" t="s">
        <v>208</v>
      </c>
      <c r="P74" s="6">
        <v>2.13</v>
      </c>
      <c r="Q74">
        <v>2.4</v>
      </c>
    </row>
    <row r="75" spans="1:17">
      <c r="A75" t="s">
        <v>50</v>
      </c>
      <c r="B75" t="s">
        <v>51</v>
      </c>
      <c r="C75" t="s">
        <v>239</v>
      </c>
      <c r="D75" t="s">
        <v>10</v>
      </c>
      <c r="I75" s="1" t="s">
        <v>280</v>
      </c>
      <c r="J75">
        <v>410</v>
      </c>
      <c r="K75" t="s">
        <v>256</v>
      </c>
      <c r="L75">
        <v>2.35</v>
      </c>
      <c r="M75" s="2">
        <f t="shared" si="2"/>
        <v>963.5</v>
      </c>
      <c r="N75" t="s">
        <v>45</v>
      </c>
      <c r="O75" t="s">
        <v>208</v>
      </c>
      <c r="P75" s="6">
        <v>2.13</v>
      </c>
      <c r="Q75">
        <v>2.35</v>
      </c>
    </row>
    <row r="76" spans="1:17">
      <c r="A76" t="s">
        <v>46</v>
      </c>
      <c r="B76" t="s">
        <v>47</v>
      </c>
      <c r="C76" t="s">
        <v>238</v>
      </c>
      <c r="D76" t="s">
        <v>10</v>
      </c>
      <c r="I76" s="1" t="s">
        <v>278</v>
      </c>
      <c r="J76">
        <v>400</v>
      </c>
      <c r="K76" t="s">
        <v>256</v>
      </c>
      <c r="L76">
        <v>2.2999999999999998</v>
      </c>
      <c r="M76" s="2">
        <f t="shared" si="2"/>
        <v>919.99999999999989</v>
      </c>
      <c r="N76" t="s">
        <v>45</v>
      </c>
      <c r="O76" t="s">
        <v>208</v>
      </c>
      <c r="P76" s="6">
        <v>2.13</v>
      </c>
      <c r="Q76">
        <v>2.2999999999999998</v>
      </c>
    </row>
    <row r="77" spans="1:17">
      <c r="A77" t="s">
        <v>55</v>
      </c>
      <c r="B77" t="s">
        <v>56</v>
      </c>
      <c r="C77" t="s">
        <v>241</v>
      </c>
      <c r="D77" t="s">
        <v>10</v>
      </c>
      <c r="I77" s="1" t="s">
        <v>282</v>
      </c>
      <c r="J77">
        <v>400</v>
      </c>
      <c r="K77" t="s">
        <v>256</v>
      </c>
      <c r="L77">
        <v>1.85</v>
      </c>
      <c r="M77" s="2">
        <f t="shared" si="2"/>
        <v>740</v>
      </c>
      <c r="N77" t="s">
        <v>45</v>
      </c>
      <c r="O77" t="s">
        <v>208</v>
      </c>
      <c r="P77" s="6">
        <v>2.13</v>
      </c>
      <c r="Q77">
        <v>1.85</v>
      </c>
    </row>
    <row r="78" spans="1:17">
      <c r="A78" t="s">
        <v>304</v>
      </c>
      <c r="B78" t="s">
        <v>12</v>
      </c>
      <c r="C78" t="s">
        <v>13</v>
      </c>
      <c r="D78" t="s">
        <v>10</v>
      </c>
      <c r="I78" s="1" t="s">
        <v>275</v>
      </c>
      <c r="J78">
        <v>2</v>
      </c>
      <c r="K78" t="s">
        <v>256</v>
      </c>
      <c r="M78" s="2">
        <f t="shared" si="2"/>
        <v>0</v>
      </c>
      <c r="N78" t="s">
        <v>11</v>
      </c>
      <c r="O78" t="s">
        <v>208</v>
      </c>
    </row>
    <row r="79" spans="1:17">
      <c r="A79" t="s">
        <v>20</v>
      </c>
      <c r="B79" t="s">
        <v>21</v>
      </c>
      <c r="D79" t="s">
        <v>10</v>
      </c>
      <c r="K79" t="s">
        <v>256</v>
      </c>
      <c r="M79" s="2">
        <f t="shared" si="2"/>
        <v>0</v>
      </c>
    </row>
    <row r="80" spans="1:17">
      <c r="A80" t="s">
        <v>303</v>
      </c>
      <c r="B80" t="s">
        <v>220</v>
      </c>
      <c r="C80" t="s">
        <v>201</v>
      </c>
      <c r="D80" t="s">
        <v>10</v>
      </c>
      <c r="I80" s="1" t="s">
        <v>199</v>
      </c>
      <c r="J80">
        <v>4</v>
      </c>
      <c r="K80" t="s">
        <v>256</v>
      </c>
      <c r="M80" s="2">
        <f t="shared" si="2"/>
        <v>0</v>
      </c>
      <c r="N80" t="s">
        <v>98</v>
      </c>
      <c r="O80" t="s">
        <v>208</v>
      </c>
      <c r="P80">
        <v>42.6</v>
      </c>
    </row>
    <row r="81" spans="1:16">
      <c r="A81" t="s">
        <v>302</v>
      </c>
      <c r="B81" t="s">
        <v>224</v>
      </c>
      <c r="C81" t="s">
        <v>202</v>
      </c>
      <c r="D81" t="s">
        <v>10</v>
      </c>
      <c r="I81" s="1" t="s">
        <v>199</v>
      </c>
      <c r="J81">
        <v>4</v>
      </c>
      <c r="K81" t="s">
        <v>256</v>
      </c>
      <c r="M81" s="2">
        <f t="shared" si="2"/>
        <v>0</v>
      </c>
      <c r="N81" t="s">
        <v>98</v>
      </c>
      <c r="O81" t="s">
        <v>208</v>
      </c>
      <c r="P81">
        <v>42.6</v>
      </c>
    </row>
    <row r="82" spans="1:16">
      <c r="A82" t="s">
        <v>301</v>
      </c>
      <c r="B82" t="s">
        <v>225</v>
      </c>
      <c r="C82" t="s">
        <v>200</v>
      </c>
      <c r="D82" t="s">
        <v>10</v>
      </c>
      <c r="I82" s="1" t="s">
        <v>199</v>
      </c>
      <c r="J82">
        <v>4</v>
      </c>
      <c r="K82" t="s">
        <v>256</v>
      </c>
      <c r="M82" s="2">
        <f t="shared" si="2"/>
        <v>0</v>
      </c>
      <c r="N82" t="s">
        <v>98</v>
      </c>
      <c r="O82" t="s">
        <v>208</v>
      </c>
      <c r="P82">
        <v>42.6</v>
      </c>
    </row>
    <row r="83" spans="1:16">
      <c r="A83" t="s">
        <v>300</v>
      </c>
      <c r="B83" t="s">
        <v>221</v>
      </c>
      <c r="C83" t="s">
        <v>198</v>
      </c>
      <c r="D83" t="s">
        <v>10</v>
      </c>
      <c r="I83" s="1" t="s">
        <v>199</v>
      </c>
      <c r="J83">
        <v>4</v>
      </c>
      <c r="K83" t="s">
        <v>256</v>
      </c>
      <c r="M83" s="2">
        <f t="shared" si="2"/>
        <v>0</v>
      </c>
      <c r="N83" t="s">
        <v>98</v>
      </c>
      <c r="O83" t="s">
        <v>208</v>
      </c>
      <c r="P83">
        <v>42.6</v>
      </c>
    </row>
    <row r="84" spans="1:16">
      <c r="A84" t="s">
        <v>28</v>
      </c>
      <c r="B84" t="s">
        <v>29</v>
      </c>
      <c r="D84" t="s">
        <v>10</v>
      </c>
      <c r="I84" s="1" t="s">
        <v>276</v>
      </c>
      <c r="J84">
        <v>11.85</v>
      </c>
      <c r="K84" t="s">
        <v>256</v>
      </c>
      <c r="M84" s="2">
        <f t="shared" si="2"/>
        <v>0</v>
      </c>
    </row>
    <row r="85" spans="1:16">
      <c r="A85" t="s">
        <v>30</v>
      </c>
      <c r="B85" t="s">
        <v>31</v>
      </c>
      <c r="D85" t="s">
        <v>10</v>
      </c>
      <c r="K85" t="s">
        <v>256</v>
      </c>
      <c r="M85" s="2">
        <f t="shared" si="2"/>
        <v>0</v>
      </c>
    </row>
    <row r="86" spans="1:16">
      <c r="A86" t="s">
        <v>32</v>
      </c>
      <c r="B86" t="s">
        <v>33</v>
      </c>
      <c r="D86" t="s">
        <v>10</v>
      </c>
      <c r="K86" t="s">
        <v>256</v>
      </c>
      <c r="M86" s="2">
        <f t="shared" si="2"/>
        <v>0</v>
      </c>
    </row>
    <row r="87" spans="1:16">
      <c r="A87" t="s">
        <v>34</v>
      </c>
      <c r="B87" t="s">
        <v>35</v>
      </c>
      <c r="D87" t="s">
        <v>10</v>
      </c>
      <c r="K87" t="s">
        <v>256</v>
      </c>
      <c r="M87" s="2">
        <f t="shared" si="2"/>
        <v>0</v>
      </c>
    </row>
    <row r="88" spans="1:16">
      <c r="A88" t="s">
        <v>383</v>
      </c>
      <c r="B88" t="s">
        <v>294</v>
      </c>
      <c r="D88" t="s">
        <v>10</v>
      </c>
      <c r="I88" s="1" t="s">
        <v>274</v>
      </c>
      <c r="J88">
        <v>0.56999999999999995</v>
      </c>
      <c r="K88" t="s">
        <v>256</v>
      </c>
      <c r="M88" s="2">
        <f t="shared" si="2"/>
        <v>0</v>
      </c>
    </row>
    <row r="89" spans="1:16">
      <c r="A89" t="s">
        <v>69</v>
      </c>
      <c r="B89" t="s">
        <v>70</v>
      </c>
      <c r="C89" t="s">
        <v>71</v>
      </c>
      <c r="D89" t="s">
        <v>10</v>
      </c>
      <c r="I89" s="1" t="s">
        <v>72</v>
      </c>
      <c r="J89">
        <v>20</v>
      </c>
      <c r="K89" t="s">
        <v>256</v>
      </c>
      <c r="M89" s="2">
        <f t="shared" si="2"/>
        <v>0</v>
      </c>
      <c r="N89" t="s">
        <v>11</v>
      </c>
      <c r="O89" t="s">
        <v>208</v>
      </c>
    </row>
    <row r="90" spans="1:16">
      <c r="A90" t="s">
        <v>73</v>
      </c>
      <c r="B90" t="s">
        <v>74</v>
      </c>
      <c r="C90" t="s">
        <v>75</v>
      </c>
      <c r="D90" t="s">
        <v>10</v>
      </c>
      <c r="I90" s="1" t="s">
        <v>72</v>
      </c>
      <c r="J90">
        <v>20</v>
      </c>
      <c r="K90" t="s">
        <v>256</v>
      </c>
      <c r="M90" s="2">
        <f t="shared" ref="M90:M111" si="3">+J90*L90</f>
        <v>0</v>
      </c>
      <c r="N90" t="s">
        <v>11</v>
      </c>
      <c r="O90" t="s">
        <v>208</v>
      </c>
    </row>
    <row r="91" spans="1:16">
      <c r="A91" t="s">
        <v>76</v>
      </c>
      <c r="B91" t="s">
        <v>77</v>
      </c>
      <c r="C91" t="s">
        <v>78</v>
      </c>
      <c r="D91" t="s">
        <v>10</v>
      </c>
      <c r="I91" s="1" t="s">
        <v>72</v>
      </c>
      <c r="J91">
        <v>20</v>
      </c>
      <c r="K91" t="s">
        <v>256</v>
      </c>
      <c r="M91" s="2">
        <f t="shared" si="3"/>
        <v>0</v>
      </c>
      <c r="N91" t="s">
        <v>11</v>
      </c>
      <c r="O91" t="s">
        <v>208</v>
      </c>
    </row>
    <row r="92" spans="1:16">
      <c r="A92" t="s">
        <v>79</v>
      </c>
      <c r="B92" t="s">
        <v>80</v>
      </c>
      <c r="C92" t="s">
        <v>81</v>
      </c>
      <c r="D92" t="s">
        <v>10</v>
      </c>
      <c r="I92" s="1" t="s">
        <v>72</v>
      </c>
      <c r="J92">
        <v>20</v>
      </c>
      <c r="K92" t="s">
        <v>256</v>
      </c>
      <c r="M92" s="2">
        <f t="shared" si="3"/>
        <v>0</v>
      </c>
      <c r="N92" t="s">
        <v>11</v>
      </c>
      <c r="O92" t="s">
        <v>208</v>
      </c>
    </row>
    <row r="93" spans="1:16">
      <c r="A93" t="s">
        <v>94</v>
      </c>
      <c r="B93" t="s">
        <v>95</v>
      </c>
      <c r="D93" t="s">
        <v>10</v>
      </c>
      <c r="K93" t="s">
        <v>256</v>
      </c>
      <c r="M93" s="2">
        <f t="shared" si="3"/>
        <v>0</v>
      </c>
    </row>
    <row r="94" spans="1:16">
      <c r="A94" t="s">
        <v>99</v>
      </c>
      <c r="B94" t="s">
        <v>100</v>
      </c>
      <c r="C94" t="s">
        <v>101</v>
      </c>
      <c r="D94" t="s">
        <v>10</v>
      </c>
      <c r="I94" s="1" t="s">
        <v>264</v>
      </c>
      <c r="J94">
        <v>4.5</v>
      </c>
      <c r="K94" t="s">
        <v>256</v>
      </c>
      <c r="M94" s="2">
        <f t="shared" si="3"/>
        <v>0</v>
      </c>
      <c r="N94" t="s">
        <v>98</v>
      </c>
      <c r="O94" t="s">
        <v>208</v>
      </c>
    </row>
    <row r="95" spans="1:16">
      <c r="A95" t="s">
        <v>107</v>
      </c>
      <c r="B95" t="s">
        <v>108</v>
      </c>
      <c r="C95" t="s">
        <v>109</v>
      </c>
      <c r="D95" t="s">
        <v>10</v>
      </c>
      <c r="I95" s="1" t="s">
        <v>266</v>
      </c>
      <c r="K95" t="s">
        <v>256</v>
      </c>
      <c r="M95" s="2">
        <f t="shared" si="3"/>
        <v>0</v>
      </c>
      <c r="N95" t="s">
        <v>98</v>
      </c>
      <c r="O95" t="s">
        <v>208</v>
      </c>
    </row>
    <row r="96" spans="1:16">
      <c r="A96" t="s">
        <v>110</v>
      </c>
      <c r="B96" t="s">
        <v>217</v>
      </c>
      <c r="C96" t="s">
        <v>111</v>
      </c>
      <c r="D96" t="s">
        <v>10</v>
      </c>
      <c r="I96" s="1" t="s">
        <v>112</v>
      </c>
      <c r="J96">
        <v>4</v>
      </c>
      <c r="K96" t="s">
        <v>256</v>
      </c>
      <c r="M96" s="2">
        <f t="shared" si="3"/>
        <v>0</v>
      </c>
      <c r="N96" t="s">
        <v>98</v>
      </c>
      <c r="O96" t="s">
        <v>208</v>
      </c>
    </row>
    <row r="97" spans="1:17">
      <c r="A97" t="s">
        <v>115</v>
      </c>
      <c r="B97" t="s">
        <v>116</v>
      </c>
      <c r="C97" t="s">
        <v>117</v>
      </c>
      <c r="D97" t="s">
        <v>10</v>
      </c>
      <c r="I97" s="1" t="s">
        <v>268</v>
      </c>
      <c r="K97" t="s">
        <v>256</v>
      </c>
      <c r="M97" s="2">
        <f t="shared" si="3"/>
        <v>0</v>
      </c>
      <c r="N97" t="s">
        <v>98</v>
      </c>
      <c r="O97" t="s">
        <v>208</v>
      </c>
    </row>
    <row r="98" spans="1:17">
      <c r="A98" t="s">
        <v>118</v>
      </c>
      <c r="B98" t="s">
        <v>119</v>
      </c>
      <c r="C98" t="s">
        <v>120</v>
      </c>
      <c r="D98" t="s">
        <v>10</v>
      </c>
      <c r="I98" s="1" t="s">
        <v>311</v>
      </c>
      <c r="J98">
        <v>23</v>
      </c>
      <c r="K98" t="s">
        <v>256</v>
      </c>
      <c r="M98" s="2">
        <f t="shared" si="3"/>
        <v>0</v>
      </c>
      <c r="N98" t="s">
        <v>98</v>
      </c>
      <c r="O98" t="s">
        <v>208</v>
      </c>
    </row>
    <row r="99" spans="1:17">
      <c r="A99" t="s">
        <v>129</v>
      </c>
      <c r="B99" t="s">
        <v>130</v>
      </c>
      <c r="C99" t="s">
        <v>233</v>
      </c>
      <c r="D99" t="s">
        <v>10</v>
      </c>
      <c r="I99" s="1" t="s">
        <v>59</v>
      </c>
      <c r="J99">
        <v>10</v>
      </c>
      <c r="K99" t="s">
        <v>256</v>
      </c>
      <c r="M99" s="2">
        <f t="shared" si="3"/>
        <v>0</v>
      </c>
      <c r="N99" t="s">
        <v>98</v>
      </c>
      <c r="O99" t="s">
        <v>208</v>
      </c>
      <c r="Q99">
        <v>41</v>
      </c>
    </row>
    <row r="100" spans="1:17">
      <c r="A100" t="s">
        <v>136</v>
      </c>
      <c r="B100" t="s">
        <v>137</v>
      </c>
      <c r="C100" t="s">
        <v>138</v>
      </c>
      <c r="D100" t="s">
        <v>10</v>
      </c>
      <c r="I100" s="1" t="s">
        <v>268</v>
      </c>
      <c r="J100">
        <v>4.25</v>
      </c>
      <c r="K100" t="s">
        <v>256</v>
      </c>
      <c r="M100" s="2">
        <f t="shared" si="3"/>
        <v>0</v>
      </c>
      <c r="N100" t="s">
        <v>98</v>
      </c>
      <c r="O100" t="s">
        <v>208</v>
      </c>
    </row>
    <row r="101" spans="1:17">
      <c r="A101" t="s">
        <v>293</v>
      </c>
      <c r="B101" t="s">
        <v>193</v>
      </c>
      <c r="D101" t="s">
        <v>10</v>
      </c>
      <c r="I101" s="1" t="s">
        <v>190</v>
      </c>
      <c r="J101">
        <v>0.5</v>
      </c>
      <c r="K101" t="s">
        <v>256</v>
      </c>
      <c r="M101" s="2">
        <f t="shared" si="3"/>
        <v>0</v>
      </c>
    </row>
    <row r="102" spans="1:17">
      <c r="A102" t="s">
        <v>386</v>
      </c>
      <c r="B102" t="s">
        <v>188</v>
      </c>
      <c r="D102" t="s">
        <v>10</v>
      </c>
      <c r="I102" s="1" t="s">
        <v>189</v>
      </c>
      <c r="J102">
        <v>0.3</v>
      </c>
      <c r="K102" t="s">
        <v>256</v>
      </c>
      <c r="M102" s="2">
        <f t="shared" si="3"/>
        <v>0</v>
      </c>
    </row>
    <row r="103" spans="1:17">
      <c r="A103" t="s">
        <v>385</v>
      </c>
      <c r="B103" t="s">
        <v>227</v>
      </c>
      <c r="D103" t="s">
        <v>10</v>
      </c>
      <c r="I103" s="1" t="s">
        <v>190</v>
      </c>
      <c r="J103">
        <v>0.5</v>
      </c>
      <c r="K103" t="s">
        <v>256</v>
      </c>
      <c r="M103" s="2">
        <f t="shared" si="3"/>
        <v>0</v>
      </c>
    </row>
    <row r="104" spans="1:17">
      <c r="A104" t="s">
        <v>306</v>
      </c>
      <c r="B104" t="s">
        <v>305</v>
      </c>
      <c r="D104" t="s">
        <v>10</v>
      </c>
      <c r="I104" s="1" t="s">
        <v>192</v>
      </c>
      <c r="J104">
        <v>0.25</v>
      </c>
      <c r="K104" t="s">
        <v>256</v>
      </c>
      <c r="M104" s="2">
        <f t="shared" si="3"/>
        <v>0</v>
      </c>
    </row>
    <row r="105" spans="1:17">
      <c r="B105" t="s">
        <v>194</v>
      </c>
      <c r="D105" t="s">
        <v>10</v>
      </c>
      <c r="I105" s="1" t="s">
        <v>195</v>
      </c>
      <c r="J105">
        <v>1</v>
      </c>
      <c r="K105" t="s">
        <v>256</v>
      </c>
      <c r="M105" s="2">
        <f t="shared" si="3"/>
        <v>0</v>
      </c>
    </row>
    <row r="106" spans="1:17">
      <c r="B106" t="s">
        <v>203</v>
      </c>
      <c r="C106" t="s">
        <v>204</v>
      </c>
      <c r="D106" t="s">
        <v>10</v>
      </c>
      <c r="I106" s="1" t="s">
        <v>273</v>
      </c>
      <c r="J106">
        <v>2</v>
      </c>
      <c r="K106" t="s">
        <v>256</v>
      </c>
      <c r="M106" s="2">
        <f t="shared" si="3"/>
        <v>0</v>
      </c>
      <c r="N106" t="s">
        <v>11</v>
      </c>
      <c r="O106" t="s">
        <v>208</v>
      </c>
    </row>
    <row r="107" spans="1:17">
      <c r="B107" t="s">
        <v>252</v>
      </c>
      <c r="C107" t="s">
        <v>22</v>
      </c>
      <c r="D107" t="s">
        <v>10</v>
      </c>
      <c r="I107" s="1" t="s">
        <v>23</v>
      </c>
      <c r="J107">
        <v>0.4</v>
      </c>
      <c r="K107" t="s">
        <v>256</v>
      </c>
      <c r="M107" s="2">
        <f t="shared" si="3"/>
        <v>0</v>
      </c>
      <c r="N107" t="s">
        <v>11</v>
      </c>
      <c r="O107" t="s">
        <v>208</v>
      </c>
    </row>
    <row r="108" spans="1:17">
      <c r="B108" t="s">
        <v>253</v>
      </c>
      <c r="C108" t="s">
        <v>184</v>
      </c>
      <c r="D108" t="s">
        <v>10</v>
      </c>
      <c r="I108" s="1" t="s">
        <v>187</v>
      </c>
      <c r="J108">
        <v>0.5</v>
      </c>
      <c r="K108" t="s">
        <v>256</v>
      </c>
      <c r="M108" s="2">
        <f t="shared" si="3"/>
        <v>0</v>
      </c>
      <c r="N108" t="s">
        <v>11</v>
      </c>
      <c r="O108" t="s">
        <v>208</v>
      </c>
    </row>
    <row r="109" spans="1:17">
      <c r="B109" t="s">
        <v>185</v>
      </c>
      <c r="C109" t="s">
        <v>186</v>
      </c>
      <c r="D109" t="s">
        <v>10</v>
      </c>
      <c r="I109" s="1" t="s">
        <v>187</v>
      </c>
      <c r="J109">
        <v>0.5</v>
      </c>
      <c r="K109" t="s">
        <v>256</v>
      </c>
      <c r="M109" s="2">
        <f t="shared" si="3"/>
        <v>0</v>
      </c>
      <c r="N109" t="s">
        <v>11</v>
      </c>
      <c r="O109" t="s">
        <v>208</v>
      </c>
    </row>
    <row r="110" spans="1:17">
      <c r="B110" t="s">
        <v>183</v>
      </c>
      <c r="D110" t="s">
        <v>10</v>
      </c>
      <c r="I110" s="1" t="s">
        <v>191</v>
      </c>
      <c r="J110">
        <v>1</v>
      </c>
      <c r="K110" t="s">
        <v>256</v>
      </c>
      <c r="M110" s="2">
        <f t="shared" si="3"/>
        <v>0</v>
      </c>
    </row>
    <row r="111" spans="1:17">
      <c r="B111" t="s">
        <v>505</v>
      </c>
      <c r="D111" t="s">
        <v>10</v>
      </c>
      <c r="I111" s="1" t="s">
        <v>192</v>
      </c>
      <c r="J111">
        <v>0.25</v>
      </c>
      <c r="K111" t="s">
        <v>256</v>
      </c>
      <c r="M111" s="2">
        <f t="shared" si="3"/>
        <v>0</v>
      </c>
    </row>
  </sheetData>
  <autoFilter ref="A1:U1" xr:uid="{60BB74EF-2879-402D-8973-AC757C84B030}">
    <sortState xmlns:xlrd2="http://schemas.microsoft.com/office/spreadsheetml/2017/richdata2" ref="A2:U111">
      <sortCondition descending="1" ref="L1"/>
    </sortState>
  </autoFilter>
  <sortState xmlns:xlrd2="http://schemas.microsoft.com/office/spreadsheetml/2017/richdata2" ref="A2:O90">
    <sortCondition ref="B2:B90"/>
    <sortCondition ref="O2:O90"/>
  </sortState>
  <conditionalFormatting sqref="R1:S1 A1:D96 E1:O1048576 B97:D101 A102:D1048576">
    <cfRule type="expression" dxfId="55" priority="1">
      <formula>$O1="Verified"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E17F0-7A35-4128-9DFE-CBA93E477D61}">
  <dimension ref="A1:A23"/>
  <sheetViews>
    <sheetView workbookViewId="0">
      <selection activeCell="D32" sqref="D32"/>
    </sheetView>
  </sheetViews>
  <sheetFormatPr defaultRowHeight="15"/>
  <sheetData>
    <row r="1" spans="1:1">
      <c r="A1" t="s">
        <v>1423</v>
      </c>
    </row>
    <row r="2" spans="1:1">
      <c r="A2" t="s">
        <v>1424</v>
      </c>
    </row>
    <row r="3" spans="1:1">
      <c r="A3" t="s">
        <v>1425</v>
      </c>
    </row>
    <row r="4" spans="1:1">
      <c r="A4" t="s">
        <v>1426</v>
      </c>
    </row>
    <row r="5" spans="1:1">
      <c r="A5" t="s">
        <v>877</v>
      </c>
    </row>
    <row r="6" spans="1:1">
      <c r="A6" t="s">
        <v>878</v>
      </c>
    </row>
    <row r="7" spans="1:1">
      <c r="A7" t="s">
        <v>875</v>
      </c>
    </row>
    <row r="8" spans="1:1">
      <c r="A8" t="s">
        <v>879</v>
      </c>
    </row>
    <row r="9" spans="1:1">
      <c r="A9" t="s">
        <v>880</v>
      </c>
    </row>
    <row r="10" spans="1:1">
      <c r="A10" t="s">
        <v>661</v>
      </c>
    </row>
    <row r="11" spans="1:1">
      <c r="A11" t="s">
        <v>663</v>
      </c>
    </row>
    <row r="12" spans="1:1">
      <c r="A12" t="s">
        <v>662</v>
      </c>
    </row>
    <row r="13" spans="1:1">
      <c r="A13" t="s">
        <v>1421</v>
      </c>
    </row>
    <row r="14" spans="1:1">
      <c r="A14" t="s">
        <v>1336</v>
      </c>
    </row>
    <row r="15" spans="1:1">
      <c r="A15" t="s">
        <v>1337</v>
      </c>
    </row>
    <row r="16" spans="1:1">
      <c r="A16" t="s">
        <v>1338</v>
      </c>
    </row>
    <row r="17" spans="1:1">
      <c r="A17" t="s">
        <v>876</v>
      </c>
    </row>
    <row r="18" spans="1:1">
      <c r="A18" t="s">
        <v>1427</v>
      </c>
    </row>
    <row r="19" spans="1:1">
      <c r="A19" t="s">
        <v>1428</v>
      </c>
    </row>
    <row r="20" spans="1:1">
      <c r="A20" t="s">
        <v>1429</v>
      </c>
    </row>
    <row r="21" spans="1:1">
      <c r="A21" t="s">
        <v>1430</v>
      </c>
    </row>
    <row r="22" spans="1:1">
      <c r="A22" t="s">
        <v>1431</v>
      </c>
    </row>
    <row r="23" spans="1:1">
      <c r="A23" t="s">
        <v>1432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1A76-6D30-4EDD-BD12-14E966D5106D}">
  <sheetPr codeName="Sheet2">
    <tabColor rgb="FF00B050"/>
  </sheetPr>
  <dimension ref="A1:AP413"/>
  <sheetViews>
    <sheetView tabSelected="1" workbookViewId="0">
      <pane xSplit="6" ySplit="1" topLeftCell="G201" activePane="bottomRight" state="frozen"/>
      <selection pane="topRight" activeCell="F1" sqref="F1"/>
      <selection pane="bottomLeft" activeCell="A2" sqref="A2"/>
      <selection pane="bottomRight" activeCell="A167" sqref="A167:XFD167"/>
    </sheetView>
  </sheetViews>
  <sheetFormatPr defaultColWidth="9.140625" defaultRowHeight="15"/>
  <cols>
    <col min="1" max="1" width="10" style="26" customWidth="1"/>
    <col min="2" max="2" width="10.7109375" style="26" bestFit="1" customWidth="1"/>
    <col min="3" max="3" width="12.42578125" style="26" bestFit="1" customWidth="1"/>
    <col min="4" max="4" width="29.7109375" style="26" customWidth="1"/>
    <col min="5" max="5" width="27.28515625" style="27" bestFit="1" customWidth="1"/>
    <col min="6" max="6" width="9.7109375" style="26" bestFit="1" customWidth="1"/>
    <col min="7" max="7" width="12.5703125" style="29" bestFit="1" customWidth="1"/>
    <col min="8" max="8" width="12.5703125" style="29" customWidth="1"/>
    <col min="9" max="12" width="12.5703125" style="29" bestFit="1" customWidth="1"/>
    <col min="13" max="13" width="12.5703125" style="29" customWidth="1"/>
    <col min="14" max="14" width="11.5703125" style="29" bestFit="1" customWidth="1"/>
    <col min="15" max="17" width="11.5703125" style="29" customWidth="1"/>
    <col min="18" max="22" width="11.5703125" style="29" bestFit="1" customWidth="1"/>
    <col min="23" max="23" width="11.5703125" style="29" customWidth="1"/>
    <col min="24" max="27" width="11.5703125" style="29" bestFit="1" customWidth="1"/>
    <col min="28" max="28" width="11.5703125" style="29" customWidth="1"/>
    <col min="29" max="30" width="11.5703125" style="29" bestFit="1" customWidth="1"/>
    <col min="31" max="31" width="15.42578125" style="20" bestFit="1" customWidth="1"/>
    <col min="32" max="32" width="13.7109375" style="19" bestFit="1" customWidth="1"/>
    <col min="33" max="33" width="14" style="29" bestFit="1" customWidth="1"/>
    <col min="34" max="34" width="19" style="30" bestFit="1" customWidth="1"/>
    <col min="35" max="35" width="11.5703125" style="20" bestFit="1" customWidth="1"/>
    <col min="36" max="36" width="17.85546875" bestFit="1" customWidth="1"/>
    <col min="37" max="37" width="16.28515625" bestFit="1" customWidth="1"/>
    <col min="38" max="38" width="17.5703125" bestFit="1" customWidth="1"/>
    <col min="39" max="39" width="15.140625" bestFit="1" customWidth="1"/>
    <col min="40" max="40" width="13.28515625" bestFit="1" customWidth="1"/>
    <col min="41" max="41" width="8.42578125" bestFit="1" customWidth="1"/>
    <col min="42" max="42" width="14.85546875" bestFit="1" customWidth="1"/>
  </cols>
  <sheetData>
    <row r="1" spans="1:42">
      <c r="A1" s="21" t="s">
        <v>664</v>
      </c>
      <c r="B1" s="21" t="s">
        <v>6</v>
      </c>
      <c r="C1" s="21" t="s">
        <v>0</v>
      </c>
      <c r="D1" s="21" t="s">
        <v>754</v>
      </c>
      <c r="E1" s="22" t="s">
        <v>755</v>
      </c>
      <c r="F1" s="23" t="s">
        <v>707</v>
      </c>
      <c r="G1" s="24">
        <v>80</v>
      </c>
      <c r="H1" s="24">
        <v>50</v>
      </c>
      <c r="I1" s="24">
        <v>40</v>
      </c>
      <c r="J1" s="24">
        <v>20</v>
      </c>
      <c r="K1" s="24">
        <v>15</v>
      </c>
      <c r="L1" s="24">
        <v>10</v>
      </c>
      <c r="M1" s="24">
        <v>8.8000000000000007</v>
      </c>
      <c r="N1" s="24">
        <v>5</v>
      </c>
      <c r="O1" s="24">
        <v>4.5</v>
      </c>
      <c r="P1" s="24">
        <v>4</v>
      </c>
      <c r="Q1" s="24">
        <v>3.4</v>
      </c>
      <c r="R1" s="24">
        <v>2.5</v>
      </c>
      <c r="S1" s="24">
        <v>2</v>
      </c>
      <c r="T1" s="24">
        <v>1</v>
      </c>
      <c r="U1" s="24">
        <v>0.5</v>
      </c>
      <c r="V1" s="24">
        <v>0.25</v>
      </c>
      <c r="W1" s="24">
        <v>0.12</v>
      </c>
      <c r="X1" s="24">
        <v>0.1</v>
      </c>
      <c r="Y1" s="24">
        <v>8.5000000000000006E-2</v>
      </c>
      <c r="Z1" s="24">
        <v>0.08</v>
      </c>
      <c r="AA1" s="24">
        <v>7.0000000000000007E-2</v>
      </c>
      <c r="AB1" s="24">
        <v>6.5000000000000002E-2</v>
      </c>
      <c r="AC1" s="24">
        <v>0.05</v>
      </c>
      <c r="AD1" s="24">
        <v>1.2E-2</v>
      </c>
      <c r="AE1" s="16" t="s">
        <v>1434</v>
      </c>
      <c r="AF1" s="17" t="s">
        <v>706</v>
      </c>
      <c r="AG1" s="25">
        <v>100</v>
      </c>
      <c r="AH1" s="16" t="s">
        <v>1435</v>
      </c>
      <c r="AI1" s="16" t="s">
        <v>287</v>
      </c>
      <c r="AJ1" s="9" t="s">
        <v>599</v>
      </c>
      <c r="AK1" s="9" t="s">
        <v>600</v>
      </c>
      <c r="AL1" s="9" t="s">
        <v>991</v>
      </c>
      <c r="AM1" s="9" t="s">
        <v>992</v>
      </c>
      <c r="AN1" s="9" t="s">
        <v>603</v>
      </c>
      <c r="AO1" t="s">
        <v>287</v>
      </c>
      <c r="AP1" s="13">
        <f>+SUM(AI:AI)</f>
        <v>672640.89050000021</v>
      </c>
    </row>
    <row r="2" spans="1:42" s="26" customFormat="1">
      <c r="A2" s="26" t="s">
        <v>1338</v>
      </c>
      <c r="B2" s="26" t="s">
        <v>646</v>
      </c>
      <c r="D2" s="26" t="s">
        <v>1325</v>
      </c>
      <c r="E2" s="27" t="s">
        <v>1328</v>
      </c>
      <c r="F2" s="28">
        <f t="shared" ref="F2:F65" si="0">+$G$1*G2+$H$1*H2+$I$1*I2+$J$1*J2+$K$1*K2+$L$1*L2+$M$1*M2+$N$1*N2+$O$1*O2+$P$1*P2+$Q$1*Q2+$R$1*R2+$S$1*S2+$T$1*T2+$U$1*U2+$V$1*V2+$W$1*W2+$X$1*X2+$Y$1*Y2+$Z$1*Z2+$AA$1*AA2+$AB$1*AB2+$AC$1*AC2+$AD$1*AD2</f>
        <v>5</v>
      </c>
      <c r="G2" s="29"/>
      <c r="H2" s="29"/>
      <c r="I2" s="29"/>
      <c r="J2" s="29"/>
      <c r="K2" s="29"/>
      <c r="L2" s="29"/>
      <c r="M2" s="29"/>
      <c r="N2" s="29">
        <v>1</v>
      </c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0">
        <v>100</v>
      </c>
      <c r="AF2" s="18">
        <f t="shared" ref="AF2:AF65" si="1">+$AG$1*AG2</f>
        <v>0</v>
      </c>
      <c r="AG2" s="29"/>
      <c r="AH2" s="30">
        <v>0</v>
      </c>
      <c r="AI2" s="14">
        <f t="shared" ref="AI2:AI65" si="2">+F2*AE2+AF2*AH2</f>
        <v>500</v>
      </c>
      <c r="AJ2"/>
      <c r="AK2"/>
      <c r="AL2"/>
      <c r="AM2"/>
      <c r="AN2"/>
      <c r="AO2"/>
      <c r="AP2"/>
    </row>
    <row r="3" spans="1:42" s="26" customFormat="1">
      <c r="A3" s="26" t="s">
        <v>1338</v>
      </c>
      <c r="B3" s="26" t="s">
        <v>646</v>
      </c>
      <c r="D3" s="26" t="s">
        <v>1326</v>
      </c>
      <c r="E3" s="27" t="s">
        <v>1329</v>
      </c>
      <c r="F3" s="28">
        <f t="shared" si="0"/>
        <v>5</v>
      </c>
      <c r="G3" s="29"/>
      <c r="H3" s="29"/>
      <c r="I3" s="29"/>
      <c r="J3" s="29"/>
      <c r="K3" s="29"/>
      <c r="L3" s="29"/>
      <c r="M3" s="29"/>
      <c r="N3" s="29">
        <v>1</v>
      </c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0">
        <v>100</v>
      </c>
      <c r="AF3" s="18">
        <f t="shared" si="1"/>
        <v>0</v>
      </c>
      <c r="AG3" s="29"/>
      <c r="AH3" s="30">
        <v>0</v>
      </c>
      <c r="AI3" s="14">
        <f t="shared" si="2"/>
        <v>500</v>
      </c>
      <c r="AJ3"/>
      <c r="AK3"/>
      <c r="AL3"/>
      <c r="AM3"/>
      <c r="AN3"/>
      <c r="AO3"/>
      <c r="AP3"/>
    </row>
    <row r="4" spans="1:42" s="26" customFormat="1">
      <c r="A4" s="26" t="s">
        <v>1338</v>
      </c>
      <c r="B4" s="26" t="s">
        <v>646</v>
      </c>
      <c r="D4" s="26" t="s">
        <v>1327</v>
      </c>
      <c r="E4" s="27" t="s">
        <v>1331</v>
      </c>
      <c r="F4" s="28">
        <f t="shared" si="0"/>
        <v>5</v>
      </c>
      <c r="G4" s="29"/>
      <c r="H4" s="29"/>
      <c r="I4" s="29"/>
      <c r="J4" s="29"/>
      <c r="K4" s="29"/>
      <c r="L4" s="29"/>
      <c r="M4" s="29"/>
      <c r="N4" s="29">
        <v>1</v>
      </c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0">
        <v>100</v>
      </c>
      <c r="AF4" s="18">
        <f t="shared" si="1"/>
        <v>0</v>
      </c>
      <c r="AG4" s="29"/>
      <c r="AH4" s="30">
        <v>0</v>
      </c>
      <c r="AI4" s="14">
        <f t="shared" si="2"/>
        <v>500</v>
      </c>
      <c r="AJ4"/>
      <c r="AK4"/>
      <c r="AL4"/>
      <c r="AM4"/>
      <c r="AN4"/>
      <c r="AO4"/>
      <c r="AP4"/>
    </row>
    <row r="5" spans="1:42" s="26" customFormat="1">
      <c r="A5" s="26" t="s">
        <v>1338</v>
      </c>
      <c r="B5" s="28" t="s">
        <v>646</v>
      </c>
      <c r="D5" s="26" t="s">
        <v>1324</v>
      </c>
      <c r="E5" s="27" t="s">
        <v>1330</v>
      </c>
      <c r="F5" s="28">
        <f t="shared" si="0"/>
        <v>3.4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>
        <v>1</v>
      </c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0">
        <v>100</v>
      </c>
      <c r="AF5" s="18">
        <f t="shared" si="1"/>
        <v>0</v>
      </c>
      <c r="AG5" s="29"/>
      <c r="AH5" s="30">
        <v>0</v>
      </c>
      <c r="AI5" s="14">
        <f t="shared" si="2"/>
        <v>340</v>
      </c>
      <c r="AJ5"/>
      <c r="AK5"/>
      <c r="AL5"/>
      <c r="AM5"/>
      <c r="AN5"/>
      <c r="AO5"/>
      <c r="AP5"/>
    </row>
    <row r="6" spans="1:42" s="26" customFormat="1">
      <c r="A6" s="26" t="s">
        <v>1338</v>
      </c>
      <c r="B6" s="26" t="s">
        <v>651</v>
      </c>
      <c r="D6" s="26" t="s">
        <v>1083</v>
      </c>
      <c r="E6" s="27" t="s">
        <v>1084</v>
      </c>
      <c r="F6" s="28">
        <f t="shared" si="0"/>
        <v>175</v>
      </c>
      <c r="G6" s="29"/>
      <c r="H6" s="29"/>
      <c r="I6" s="29"/>
      <c r="J6" s="29"/>
      <c r="K6" s="29"/>
      <c r="L6" s="29"/>
      <c r="M6" s="29"/>
      <c r="N6" s="29">
        <v>35</v>
      </c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0">
        <v>40</v>
      </c>
      <c r="AF6" s="18">
        <f t="shared" si="1"/>
        <v>0</v>
      </c>
      <c r="AG6" s="29"/>
      <c r="AH6" s="30">
        <v>0</v>
      </c>
      <c r="AI6" s="14">
        <f t="shared" si="2"/>
        <v>7000</v>
      </c>
      <c r="AJ6"/>
      <c r="AK6"/>
      <c r="AL6"/>
      <c r="AM6"/>
      <c r="AN6"/>
      <c r="AO6"/>
      <c r="AP6"/>
    </row>
    <row r="7" spans="1:42" s="26" customFormat="1">
      <c r="A7" s="28" t="s">
        <v>1338</v>
      </c>
      <c r="B7" s="28" t="s">
        <v>616</v>
      </c>
      <c r="C7" s="28"/>
      <c r="D7" s="28" t="s">
        <v>999</v>
      </c>
      <c r="E7" s="31" t="s">
        <v>141</v>
      </c>
      <c r="F7" s="28">
        <f t="shared" si="0"/>
        <v>40</v>
      </c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>
        <v>10</v>
      </c>
      <c r="T7" s="32">
        <v>20</v>
      </c>
      <c r="U7" s="32"/>
      <c r="V7" s="32"/>
      <c r="W7" s="32"/>
      <c r="X7" s="32"/>
      <c r="Y7" s="32"/>
      <c r="Z7" s="32"/>
      <c r="AA7" s="32"/>
      <c r="AB7" s="32"/>
      <c r="AC7" s="32"/>
      <c r="AD7" s="32"/>
      <c r="AE7" s="20">
        <v>36.799999999999997</v>
      </c>
      <c r="AF7" s="18">
        <f t="shared" si="1"/>
        <v>0</v>
      </c>
      <c r="AG7" s="32"/>
      <c r="AH7" s="30">
        <v>0</v>
      </c>
      <c r="AI7" s="14">
        <f t="shared" si="2"/>
        <v>1472</v>
      </c>
      <c r="AL7" s="26">
        <v>30</v>
      </c>
    </row>
    <row r="8" spans="1:42" s="33" customFormat="1">
      <c r="A8" s="28" t="s">
        <v>1338</v>
      </c>
      <c r="B8" s="28" t="s">
        <v>616</v>
      </c>
      <c r="C8" s="28"/>
      <c r="D8" s="28" t="s">
        <v>1000</v>
      </c>
      <c r="E8" s="31" t="s">
        <v>145</v>
      </c>
      <c r="F8" s="28">
        <f t="shared" si="0"/>
        <v>36</v>
      </c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>
        <v>8</v>
      </c>
      <c r="T8" s="32">
        <v>20</v>
      </c>
      <c r="U8" s="32"/>
      <c r="V8" s="32"/>
      <c r="W8" s="32"/>
      <c r="X8" s="32"/>
      <c r="Y8" s="32"/>
      <c r="Z8" s="32"/>
      <c r="AA8" s="32"/>
      <c r="AB8" s="32"/>
      <c r="AC8" s="32"/>
      <c r="AD8" s="32"/>
      <c r="AE8" s="20">
        <v>36.799999999999997</v>
      </c>
      <c r="AF8" s="18">
        <f t="shared" si="1"/>
        <v>0</v>
      </c>
      <c r="AG8" s="32"/>
      <c r="AH8" s="30">
        <v>0</v>
      </c>
      <c r="AI8" s="14">
        <f t="shared" si="2"/>
        <v>1324.8</v>
      </c>
      <c r="AJ8" s="26"/>
      <c r="AK8" s="26"/>
      <c r="AL8" s="26">
        <v>30</v>
      </c>
      <c r="AM8" s="26"/>
      <c r="AN8" s="26"/>
      <c r="AO8" s="26"/>
      <c r="AP8" s="26"/>
    </row>
    <row r="9" spans="1:42" s="33" customFormat="1">
      <c r="A9" s="28" t="s">
        <v>1338</v>
      </c>
      <c r="B9" s="28" t="s">
        <v>616</v>
      </c>
      <c r="C9" s="28"/>
      <c r="D9" s="28" t="s">
        <v>640</v>
      </c>
      <c r="E9" s="31" t="s">
        <v>150</v>
      </c>
      <c r="F9" s="28">
        <f t="shared" si="0"/>
        <v>33</v>
      </c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>
        <v>8</v>
      </c>
      <c r="T9" s="32">
        <v>17</v>
      </c>
      <c r="U9" s="32"/>
      <c r="V9" s="32"/>
      <c r="W9" s="32"/>
      <c r="X9" s="32"/>
      <c r="Y9" s="32"/>
      <c r="Z9" s="32"/>
      <c r="AA9" s="32"/>
      <c r="AB9" s="32"/>
      <c r="AC9" s="32"/>
      <c r="AD9" s="32"/>
      <c r="AE9" s="20">
        <v>36.799999999999997</v>
      </c>
      <c r="AF9" s="18">
        <f t="shared" si="1"/>
        <v>0</v>
      </c>
      <c r="AG9" s="32"/>
      <c r="AH9" s="30">
        <v>0</v>
      </c>
      <c r="AI9" s="14">
        <f t="shared" si="2"/>
        <v>1214.3999999999999</v>
      </c>
      <c r="AJ9" s="26"/>
      <c r="AK9" s="26"/>
      <c r="AL9" s="26">
        <v>30</v>
      </c>
      <c r="AM9" s="26"/>
      <c r="AN9" s="26"/>
      <c r="AO9" s="26"/>
      <c r="AP9" s="26"/>
    </row>
    <row r="10" spans="1:42" s="33" customFormat="1">
      <c r="A10" s="28" t="s">
        <v>1338</v>
      </c>
      <c r="B10" s="28" t="s">
        <v>616</v>
      </c>
      <c r="C10" s="28"/>
      <c r="D10" s="28" t="s">
        <v>1001</v>
      </c>
      <c r="E10" s="31" t="s">
        <v>703</v>
      </c>
      <c r="F10" s="28">
        <f t="shared" si="0"/>
        <v>24</v>
      </c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>
        <v>12</v>
      </c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20">
        <v>88</v>
      </c>
      <c r="AF10" s="18">
        <f t="shared" si="1"/>
        <v>0</v>
      </c>
      <c r="AG10" s="32"/>
      <c r="AH10" s="30">
        <v>0</v>
      </c>
      <c r="AI10" s="14">
        <f t="shared" si="2"/>
        <v>2112</v>
      </c>
      <c r="AJ10" s="26"/>
      <c r="AK10" s="26"/>
      <c r="AL10" s="26">
        <v>110</v>
      </c>
      <c r="AM10" s="26"/>
      <c r="AN10" s="26"/>
      <c r="AO10" s="26"/>
      <c r="AP10" s="26"/>
    </row>
    <row r="11" spans="1:42" s="33" customFormat="1">
      <c r="A11" s="28" t="s">
        <v>1338</v>
      </c>
      <c r="B11" s="28" t="s">
        <v>618</v>
      </c>
      <c r="C11" s="28"/>
      <c r="D11" s="28" t="s">
        <v>1185</v>
      </c>
      <c r="E11" s="31" t="s">
        <v>1186</v>
      </c>
      <c r="F11" s="28">
        <f t="shared" si="0"/>
        <v>1505</v>
      </c>
      <c r="G11" s="32"/>
      <c r="H11" s="32"/>
      <c r="I11" s="32">
        <v>10</v>
      </c>
      <c r="J11" s="32">
        <v>55</v>
      </c>
      <c r="K11" s="32"/>
      <c r="L11" s="32"/>
      <c r="M11" s="32"/>
      <c r="N11" s="32">
        <v>1</v>
      </c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20">
        <v>11.5</v>
      </c>
      <c r="AF11" s="18">
        <f t="shared" si="1"/>
        <v>0</v>
      </c>
      <c r="AG11" s="32"/>
      <c r="AH11" s="30">
        <v>0</v>
      </c>
      <c r="AI11" s="14">
        <f t="shared" si="2"/>
        <v>17307.5</v>
      </c>
      <c r="AJ11" s="26"/>
      <c r="AK11" s="26"/>
      <c r="AL11" s="26"/>
      <c r="AM11" s="26"/>
      <c r="AN11" s="26"/>
      <c r="AO11" s="26"/>
      <c r="AP11" s="26"/>
    </row>
    <row r="12" spans="1:42" s="33" customFormat="1">
      <c r="A12" s="26" t="s">
        <v>1338</v>
      </c>
      <c r="B12" s="26" t="s">
        <v>618</v>
      </c>
      <c r="C12" s="26"/>
      <c r="D12" s="26" t="s">
        <v>1081</v>
      </c>
      <c r="E12" s="27" t="s">
        <v>1082</v>
      </c>
      <c r="F12" s="28">
        <f t="shared" si="0"/>
        <v>180</v>
      </c>
      <c r="G12" s="29"/>
      <c r="H12" s="29"/>
      <c r="I12" s="29"/>
      <c r="J12" s="29"/>
      <c r="K12" s="29"/>
      <c r="L12" s="29"/>
      <c r="M12" s="29"/>
      <c r="N12" s="29">
        <v>36</v>
      </c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0">
        <v>40</v>
      </c>
      <c r="AF12" s="18">
        <f t="shared" si="1"/>
        <v>0</v>
      </c>
      <c r="AG12" s="29"/>
      <c r="AH12" s="30">
        <v>0</v>
      </c>
      <c r="AI12" s="14">
        <f t="shared" si="2"/>
        <v>7200</v>
      </c>
      <c r="AJ12"/>
      <c r="AK12"/>
      <c r="AL12"/>
      <c r="AM12"/>
      <c r="AN12"/>
      <c r="AO12"/>
      <c r="AP12"/>
    </row>
    <row r="13" spans="1:42" s="33" customFormat="1">
      <c r="A13" s="28" t="s">
        <v>1338</v>
      </c>
      <c r="B13" s="28" t="s">
        <v>621</v>
      </c>
      <c r="C13" s="28"/>
      <c r="D13" s="28" t="s">
        <v>1034</v>
      </c>
      <c r="E13" s="31" t="s">
        <v>752</v>
      </c>
      <c r="F13" s="28">
        <f t="shared" si="0"/>
        <v>110</v>
      </c>
      <c r="G13" s="32"/>
      <c r="H13" s="32"/>
      <c r="I13" s="32"/>
      <c r="J13" s="32">
        <v>5</v>
      </c>
      <c r="K13" s="32"/>
      <c r="L13" s="32">
        <v>1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4">
        <v>40</v>
      </c>
      <c r="AF13" s="18">
        <f t="shared" si="1"/>
        <v>0</v>
      </c>
      <c r="AG13" s="32"/>
      <c r="AH13" s="30">
        <v>0</v>
      </c>
      <c r="AI13" s="14">
        <f t="shared" si="2"/>
        <v>4400</v>
      </c>
      <c r="AJ13" s="26"/>
      <c r="AK13" s="26"/>
      <c r="AL13" s="26"/>
      <c r="AM13" s="26"/>
      <c r="AN13" s="26"/>
      <c r="AO13" s="26"/>
      <c r="AP13" s="26"/>
    </row>
    <row r="14" spans="1:42" s="33" customFormat="1">
      <c r="A14" s="28" t="s">
        <v>1338</v>
      </c>
      <c r="B14" s="28" t="s">
        <v>621</v>
      </c>
      <c r="C14" s="28"/>
      <c r="D14" s="28" t="s">
        <v>633</v>
      </c>
      <c r="E14" s="31" t="s">
        <v>753</v>
      </c>
      <c r="F14" s="28">
        <f t="shared" si="0"/>
        <v>110</v>
      </c>
      <c r="G14" s="32"/>
      <c r="H14" s="32"/>
      <c r="I14" s="32"/>
      <c r="J14" s="32">
        <v>5</v>
      </c>
      <c r="K14" s="32"/>
      <c r="L14" s="32">
        <v>1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4">
        <v>40</v>
      </c>
      <c r="AF14" s="18">
        <f t="shared" si="1"/>
        <v>0</v>
      </c>
      <c r="AG14" s="32"/>
      <c r="AH14" s="30">
        <v>0</v>
      </c>
      <c r="AI14" s="14">
        <f t="shared" si="2"/>
        <v>4400</v>
      </c>
      <c r="AJ14" s="26"/>
      <c r="AK14" s="26"/>
      <c r="AL14" s="26"/>
      <c r="AM14" s="26"/>
      <c r="AN14" s="26"/>
      <c r="AO14" s="26"/>
      <c r="AP14" s="26"/>
    </row>
    <row r="15" spans="1:42" s="33" customFormat="1">
      <c r="A15" s="28" t="s">
        <v>1338</v>
      </c>
      <c r="B15" s="28" t="s">
        <v>621</v>
      </c>
      <c r="C15" s="28"/>
      <c r="D15" s="28" t="s">
        <v>1033</v>
      </c>
      <c r="E15" s="31" t="s">
        <v>1346</v>
      </c>
      <c r="F15" s="28">
        <f t="shared" si="0"/>
        <v>107</v>
      </c>
      <c r="G15" s="32"/>
      <c r="H15" s="32"/>
      <c r="I15" s="32"/>
      <c r="J15" s="32">
        <v>5</v>
      </c>
      <c r="K15" s="32"/>
      <c r="L15" s="32"/>
      <c r="M15" s="32"/>
      <c r="N15" s="32"/>
      <c r="O15" s="32"/>
      <c r="P15" s="32"/>
      <c r="Q15" s="32"/>
      <c r="R15" s="32"/>
      <c r="S15" s="32"/>
      <c r="T15" s="32">
        <v>7</v>
      </c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4">
        <v>40</v>
      </c>
      <c r="AF15" s="18">
        <f t="shared" si="1"/>
        <v>0</v>
      </c>
      <c r="AG15" s="32"/>
      <c r="AH15" s="30">
        <v>0</v>
      </c>
      <c r="AI15" s="14">
        <f t="shared" si="2"/>
        <v>4280</v>
      </c>
      <c r="AJ15" s="26"/>
      <c r="AK15" s="26"/>
      <c r="AL15" s="26"/>
      <c r="AM15" s="26"/>
      <c r="AN15" s="26"/>
      <c r="AO15" s="26"/>
      <c r="AP15" s="26"/>
    </row>
    <row r="16" spans="1:42" s="33" customFormat="1">
      <c r="A16" s="26" t="s">
        <v>1338</v>
      </c>
      <c r="B16" s="28" t="s">
        <v>621</v>
      </c>
      <c r="C16" s="28"/>
      <c r="D16" s="28" t="s">
        <v>1030</v>
      </c>
      <c r="E16" s="31" t="s">
        <v>1345</v>
      </c>
      <c r="F16" s="28">
        <f t="shared" si="0"/>
        <v>104</v>
      </c>
      <c r="G16" s="32"/>
      <c r="H16" s="32"/>
      <c r="I16" s="32"/>
      <c r="J16" s="32">
        <v>5</v>
      </c>
      <c r="K16" s="32"/>
      <c r="L16" s="32"/>
      <c r="M16" s="32"/>
      <c r="N16" s="32"/>
      <c r="O16" s="32"/>
      <c r="P16" s="32"/>
      <c r="Q16" s="32"/>
      <c r="R16" s="32"/>
      <c r="S16" s="32"/>
      <c r="T16" s="32">
        <v>4</v>
      </c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4">
        <v>40</v>
      </c>
      <c r="AF16" s="18">
        <f t="shared" si="1"/>
        <v>0</v>
      </c>
      <c r="AG16" s="32"/>
      <c r="AH16" s="30">
        <v>0</v>
      </c>
      <c r="AI16" s="14">
        <f t="shared" si="2"/>
        <v>4160</v>
      </c>
      <c r="AJ16" s="26"/>
      <c r="AK16" s="26"/>
      <c r="AL16" s="26"/>
      <c r="AM16" s="26"/>
      <c r="AN16" s="26"/>
      <c r="AO16" s="26"/>
      <c r="AP16" s="26"/>
    </row>
    <row r="17" spans="1:42" s="33" customFormat="1">
      <c r="A17" s="28" t="s">
        <v>1337</v>
      </c>
      <c r="B17" s="26" t="s">
        <v>646</v>
      </c>
      <c r="C17" s="26"/>
      <c r="D17" s="26" t="s">
        <v>1341</v>
      </c>
      <c r="E17" s="27" t="s">
        <v>238</v>
      </c>
      <c r="F17" s="28">
        <f t="shared" si="0"/>
        <v>160</v>
      </c>
      <c r="G17" s="29"/>
      <c r="H17" s="29"/>
      <c r="I17" s="29">
        <v>4</v>
      </c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0">
        <v>2.0699999999999998</v>
      </c>
      <c r="AF17" s="18">
        <f t="shared" si="1"/>
        <v>0</v>
      </c>
      <c r="AG17" s="29"/>
      <c r="AH17" s="30">
        <v>0</v>
      </c>
      <c r="AI17" s="14">
        <f t="shared" si="2"/>
        <v>331.2</v>
      </c>
      <c r="AJ17"/>
      <c r="AK17"/>
      <c r="AL17"/>
      <c r="AM17"/>
      <c r="AN17"/>
      <c r="AO17"/>
      <c r="AP17"/>
    </row>
    <row r="18" spans="1:42" s="33" customFormat="1">
      <c r="A18" s="28" t="s">
        <v>1337</v>
      </c>
      <c r="B18" s="26" t="s">
        <v>651</v>
      </c>
      <c r="C18" s="26"/>
      <c r="D18" s="26" t="s">
        <v>1342</v>
      </c>
      <c r="E18" s="27" t="s">
        <v>240</v>
      </c>
      <c r="F18" s="28">
        <f t="shared" si="0"/>
        <v>270</v>
      </c>
      <c r="G18" s="29"/>
      <c r="H18" s="29">
        <v>3</v>
      </c>
      <c r="I18" s="29">
        <v>3</v>
      </c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0">
        <v>2.09</v>
      </c>
      <c r="AF18" s="18">
        <f t="shared" si="1"/>
        <v>0</v>
      </c>
      <c r="AG18" s="29"/>
      <c r="AH18" s="30">
        <v>0</v>
      </c>
      <c r="AI18" s="14">
        <f t="shared" si="2"/>
        <v>564.29999999999995</v>
      </c>
      <c r="AJ18"/>
      <c r="AK18"/>
      <c r="AL18"/>
      <c r="AM18"/>
      <c r="AN18"/>
      <c r="AO18"/>
      <c r="AP18"/>
    </row>
    <row r="19" spans="1:42" s="33" customFormat="1">
      <c r="A19" s="28" t="s">
        <v>1337</v>
      </c>
      <c r="B19" s="26" t="s">
        <v>651</v>
      </c>
      <c r="C19" s="26"/>
      <c r="D19" s="26" t="s">
        <v>1340</v>
      </c>
      <c r="E19" s="27" t="s">
        <v>1307</v>
      </c>
      <c r="F19" s="28">
        <f t="shared" si="0"/>
        <v>40</v>
      </c>
      <c r="G19" s="29"/>
      <c r="H19" s="29"/>
      <c r="I19" s="29">
        <v>1</v>
      </c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0">
        <v>2.09</v>
      </c>
      <c r="AF19" s="18">
        <f t="shared" si="1"/>
        <v>0</v>
      </c>
      <c r="AG19" s="29"/>
      <c r="AH19" s="30">
        <v>0</v>
      </c>
      <c r="AI19" s="14">
        <f t="shared" si="2"/>
        <v>83.6</v>
      </c>
      <c r="AJ19"/>
      <c r="AK19"/>
      <c r="AL19"/>
      <c r="AM19"/>
      <c r="AN19"/>
      <c r="AO19"/>
      <c r="AP19"/>
    </row>
    <row r="20" spans="1:42" s="33" customFormat="1">
      <c r="A20" s="28" t="s">
        <v>1337</v>
      </c>
      <c r="B20" s="26" t="s">
        <v>627</v>
      </c>
      <c r="C20" s="26"/>
      <c r="D20" s="26" t="s">
        <v>1344</v>
      </c>
      <c r="E20" s="31" t="s">
        <v>239</v>
      </c>
      <c r="F20" s="28">
        <f t="shared" si="0"/>
        <v>560</v>
      </c>
      <c r="G20" s="29"/>
      <c r="H20" s="29"/>
      <c r="I20" s="29">
        <v>14</v>
      </c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0">
        <v>2.12</v>
      </c>
      <c r="AF20" s="18">
        <f t="shared" si="1"/>
        <v>0</v>
      </c>
      <c r="AG20" s="29"/>
      <c r="AH20" s="30">
        <v>0</v>
      </c>
      <c r="AI20" s="14">
        <f t="shared" si="2"/>
        <v>1187.2</v>
      </c>
      <c r="AJ20"/>
      <c r="AK20"/>
      <c r="AL20"/>
      <c r="AM20"/>
      <c r="AN20"/>
      <c r="AO20"/>
      <c r="AP20"/>
    </row>
    <row r="21" spans="1:42" s="33" customFormat="1">
      <c r="A21" s="28" t="s">
        <v>1337</v>
      </c>
      <c r="B21" s="26" t="s">
        <v>636</v>
      </c>
      <c r="C21" s="26"/>
      <c r="D21" s="26" t="s">
        <v>1344</v>
      </c>
      <c r="E21" s="31" t="s">
        <v>239</v>
      </c>
      <c r="F21" s="28">
        <f t="shared" si="0"/>
        <v>120</v>
      </c>
      <c r="G21" s="29"/>
      <c r="H21" s="29"/>
      <c r="I21" s="29">
        <v>3</v>
      </c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0">
        <v>2</v>
      </c>
      <c r="AF21" s="18">
        <f t="shared" si="1"/>
        <v>0</v>
      </c>
      <c r="AG21" s="29"/>
      <c r="AH21" s="30">
        <v>0</v>
      </c>
      <c r="AI21" s="14">
        <f t="shared" si="2"/>
        <v>240</v>
      </c>
      <c r="AJ21"/>
      <c r="AK21"/>
      <c r="AL21"/>
      <c r="AM21"/>
      <c r="AN21"/>
      <c r="AO21"/>
      <c r="AP21"/>
    </row>
    <row r="22" spans="1:42" s="33" customFormat="1">
      <c r="A22" s="28" t="s">
        <v>1337</v>
      </c>
      <c r="B22" s="26" t="s">
        <v>616</v>
      </c>
      <c r="C22" s="26"/>
      <c r="D22" s="26" t="s">
        <v>1341</v>
      </c>
      <c r="E22" s="27" t="s">
        <v>238</v>
      </c>
      <c r="F22" s="28">
        <f t="shared" si="0"/>
        <v>4200</v>
      </c>
      <c r="G22" s="29"/>
      <c r="H22" s="29">
        <v>60</v>
      </c>
      <c r="I22" s="29">
        <v>30</v>
      </c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0">
        <v>2</v>
      </c>
      <c r="AF22" s="18">
        <f t="shared" si="1"/>
        <v>0</v>
      </c>
      <c r="AG22" s="29"/>
      <c r="AH22" s="30">
        <v>0</v>
      </c>
      <c r="AI22" s="14">
        <f t="shared" si="2"/>
        <v>8400</v>
      </c>
      <c r="AJ22"/>
      <c r="AK22"/>
      <c r="AL22"/>
      <c r="AM22"/>
      <c r="AN22"/>
      <c r="AO22"/>
      <c r="AP22"/>
    </row>
    <row r="23" spans="1:42" s="33" customFormat="1">
      <c r="A23" s="28" t="s">
        <v>1337</v>
      </c>
      <c r="B23" s="26" t="s">
        <v>618</v>
      </c>
      <c r="C23" s="26"/>
      <c r="D23" s="26" t="s">
        <v>1342</v>
      </c>
      <c r="E23" s="27" t="s">
        <v>240</v>
      </c>
      <c r="F23" s="28">
        <f t="shared" si="0"/>
        <v>4170</v>
      </c>
      <c r="G23" s="29"/>
      <c r="H23" s="29">
        <v>57</v>
      </c>
      <c r="I23" s="29">
        <v>33</v>
      </c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0">
        <v>2.09</v>
      </c>
      <c r="AF23" s="18">
        <f t="shared" si="1"/>
        <v>0</v>
      </c>
      <c r="AG23" s="29"/>
      <c r="AH23" s="30">
        <v>0</v>
      </c>
      <c r="AI23" s="14">
        <f t="shared" si="2"/>
        <v>8715.2999999999993</v>
      </c>
      <c r="AJ23"/>
      <c r="AK23"/>
      <c r="AL23"/>
      <c r="AM23"/>
      <c r="AN23"/>
      <c r="AO23"/>
      <c r="AP23"/>
    </row>
    <row r="24" spans="1:42" s="33" customFormat="1">
      <c r="A24" s="28" t="s">
        <v>1337</v>
      </c>
      <c r="B24" s="26" t="s">
        <v>621</v>
      </c>
      <c r="C24" s="26"/>
      <c r="D24" s="26" t="s">
        <v>1343</v>
      </c>
      <c r="E24" s="27" t="s">
        <v>1306</v>
      </c>
      <c r="F24" s="28">
        <f t="shared" si="0"/>
        <v>4200</v>
      </c>
      <c r="G24" s="29"/>
      <c r="H24" s="29">
        <v>60</v>
      </c>
      <c r="I24" s="29">
        <v>30</v>
      </c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0">
        <v>2.0499999999999998</v>
      </c>
      <c r="AF24" s="18">
        <f t="shared" si="1"/>
        <v>0</v>
      </c>
      <c r="AG24" s="29"/>
      <c r="AH24" s="30">
        <v>0</v>
      </c>
      <c r="AI24" s="14">
        <f t="shared" si="2"/>
        <v>8610</v>
      </c>
      <c r="AJ24"/>
      <c r="AK24"/>
      <c r="AL24"/>
      <c r="AM24"/>
      <c r="AN24"/>
      <c r="AO24"/>
      <c r="AP24"/>
    </row>
    <row r="25" spans="1:42" s="33" customFormat="1">
      <c r="A25" s="28" t="s">
        <v>1337</v>
      </c>
      <c r="B25" s="26" t="s">
        <v>622</v>
      </c>
      <c r="C25" s="26"/>
      <c r="D25" s="26" t="s">
        <v>619</v>
      </c>
      <c r="E25" s="27" t="s">
        <v>241</v>
      </c>
      <c r="F25" s="28">
        <f t="shared" si="0"/>
        <v>4320</v>
      </c>
      <c r="G25" s="29"/>
      <c r="H25" s="29">
        <v>60</v>
      </c>
      <c r="I25" s="29">
        <v>33</v>
      </c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0">
        <v>1.61</v>
      </c>
      <c r="AF25" s="18">
        <f t="shared" si="1"/>
        <v>0</v>
      </c>
      <c r="AG25" s="29"/>
      <c r="AH25" s="30">
        <v>0</v>
      </c>
      <c r="AI25" s="14">
        <f t="shared" si="2"/>
        <v>6955.2000000000007</v>
      </c>
      <c r="AJ25"/>
      <c r="AK25"/>
      <c r="AL25"/>
      <c r="AM25"/>
      <c r="AN25"/>
      <c r="AO25"/>
      <c r="AP25"/>
    </row>
    <row r="26" spans="1:42" s="33" customFormat="1">
      <c r="A26" s="26" t="s">
        <v>662</v>
      </c>
      <c r="B26" s="26" t="s">
        <v>651</v>
      </c>
      <c r="C26" s="26"/>
      <c r="D26" s="26" t="s">
        <v>1229</v>
      </c>
      <c r="E26" s="27"/>
      <c r="F26" s="28">
        <f t="shared" si="0"/>
        <v>10</v>
      </c>
      <c r="G26" s="29"/>
      <c r="H26" s="29"/>
      <c r="I26" s="29"/>
      <c r="J26" s="29"/>
      <c r="K26" s="29"/>
      <c r="L26" s="29">
        <v>1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35">
        <v>0</v>
      </c>
      <c r="AF26" s="18">
        <f t="shared" si="1"/>
        <v>0</v>
      </c>
      <c r="AG26" s="29"/>
      <c r="AH26" s="30">
        <v>0</v>
      </c>
      <c r="AI26" s="14">
        <f t="shared" si="2"/>
        <v>0</v>
      </c>
      <c r="AJ26"/>
      <c r="AK26"/>
      <c r="AL26"/>
      <c r="AM26"/>
      <c r="AN26"/>
      <c r="AO26"/>
      <c r="AP26"/>
    </row>
    <row r="27" spans="1:42" s="33" customFormat="1">
      <c r="A27" s="26" t="s">
        <v>662</v>
      </c>
      <c r="B27" s="26" t="s">
        <v>651</v>
      </c>
      <c r="C27" s="26"/>
      <c r="D27" s="26" t="s">
        <v>1218</v>
      </c>
      <c r="E27" s="27"/>
      <c r="F27" s="28">
        <f t="shared" si="0"/>
        <v>10</v>
      </c>
      <c r="G27" s="29"/>
      <c r="H27" s="29"/>
      <c r="I27" s="29"/>
      <c r="J27" s="29"/>
      <c r="K27" s="29"/>
      <c r="L27" s="29">
        <v>1</v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35">
        <v>0</v>
      </c>
      <c r="AF27" s="18">
        <f t="shared" si="1"/>
        <v>0</v>
      </c>
      <c r="AG27" s="29"/>
      <c r="AH27" s="30">
        <v>0</v>
      </c>
      <c r="AI27" s="14">
        <f t="shared" si="2"/>
        <v>0</v>
      </c>
      <c r="AJ27"/>
      <c r="AK27"/>
      <c r="AL27"/>
      <c r="AM27"/>
      <c r="AN27"/>
      <c r="AO27"/>
      <c r="AP27"/>
    </row>
    <row r="28" spans="1:42" s="33" customFormat="1">
      <c r="A28" s="26" t="s">
        <v>662</v>
      </c>
      <c r="B28" s="26" t="s">
        <v>651</v>
      </c>
      <c r="C28" s="26"/>
      <c r="D28" s="26" t="s">
        <v>1215</v>
      </c>
      <c r="E28" s="27"/>
      <c r="F28" s="28">
        <f t="shared" si="0"/>
        <v>10</v>
      </c>
      <c r="G28" s="29"/>
      <c r="H28" s="29"/>
      <c r="I28" s="29"/>
      <c r="J28" s="29"/>
      <c r="K28" s="29"/>
      <c r="L28" s="29">
        <v>1</v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35">
        <v>0</v>
      </c>
      <c r="AF28" s="18">
        <f t="shared" si="1"/>
        <v>0</v>
      </c>
      <c r="AG28" s="29"/>
      <c r="AH28" s="30">
        <v>0</v>
      </c>
      <c r="AI28" s="14">
        <f t="shared" si="2"/>
        <v>0</v>
      </c>
      <c r="AJ28"/>
      <c r="AK28"/>
      <c r="AL28"/>
      <c r="AM28"/>
      <c r="AN28"/>
      <c r="AO28"/>
      <c r="AP28"/>
    </row>
    <row r="29" spans="1:42" s="33" customFormat="1">
      <c r="A29" s="26" t="s">
        <v>662</v>
      </c>
      <c r="B29" s="26" t="s">
        <v>651</v>
      </c>
      <c r="C29" s="26"/>
      <c r="D29" s="26" t="s">
        <v>1221</v>
      </c>
      <c r="E29" s="27"/>
      <c r="F29" s="28">
        <f t="shared" si="0"/>
        <v>10</v>
      </c>
      <c r="G29" s="29"/>
      <c r="H29" s="29"/>
      <c r="I29" s="29"/>
      <c r="J29" s="29"/>
      <c r="K29" s="29"/>
      <c r="L29" s="29">
        <v>1</v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35">
        <v>0</v>
      </c>
      <c r="AF29" s="18">
        <f t="shared" si="1"/>
        <v>0</v>
      </c>
      <c r="AG29" s="29"/>
      <c r="AH29" s="30">
        <v>0</v>
      </c>
      <c r="AI29" s="14">
        <f t="shared" si="2"/>
        <v>0</v>
      </c>
      <c r="AJ29"/>
      <c r="AK29"/>
      <c r="AL29"/>
      <c r="AM29"/>
      <c r="AN29"/>
      <c r="AO29"/>
      <c r="AP29"/>
    </row>
    <row r="30" spans="1:42" s="33" customFormat="1">
      <c r="A30" s="26" t="s">
        <v>662</v>
      </c>
      <c r="B30" s="26" t="s">
        <v>651</v>
      </c>
      <c r="C30" s="26"/>
      <c r="D30" s="26" t="s">
        <v>1224</v>
      </c>
      <c r="E30" s="27"/>
      <c r="F30" s="28">
        <f t="shared" si="0"/>
        <v>10</v>
      </c>
      <c r="G30" s="29"/>
      <c r="H30" s="29"/>
      <c r="I30" s="29"/>
      <c r="J30" s="29"/>
      <c r="K30" s="29"/>
      <c r="L30" s="29">
        <v>1</v>
      </c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35">
        <v>0</v>
      </c>
      <c r="AF30" s="18">
        <f t="shared" si="1"/>
        <v>0</v>
      </c>
      <c r="AG30" s="29"/>
      <c r="AH30" s="30">
        <v>0</v>
      </c>
      <c r="AI30" s="14">
        <f t="shared" si="2"/>
        <v>0</v>
      </c>
      <c r="AJ30"/>
      <c r="AK30"/>
      <c r="AL30"/>
      <c r="AM30"/>
      <c r="AN30"/>
      <c r="AO30"/>
      <c r="AP30"/>
    </row>
    <row r="31" spans="1:42" s="33" customFormat="1">
      <c r="A31" s="26" t="s">
        <v>662</v>
      </c>
      <c r="B31" s="26" t="s">
        <v>651</v>
      </c>
      <c r="C31" s="26"/>
      <c r="D31" s="26" t="s">
        <v>1228</v>
      </c>
      <c r="E31" s="27"/>
      <c r="F31" s="28">
        <f t="shared" si="0"/>
        <v>10</v>
      </c>
      <c r="G31" s="29"/>
      <c r="H31" s="29"/>
      <c r="I31" s="29"/>
      <c r="J31" s="29"/>
      <c r="K31" s="29"/>
      <c r="L31" s="29">
        <v>1</v>
      </c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35">
        <v>0</v>
      </c>
      <c r="AF31" s="18">
        <f t="shared" si="1"/>
        <v>0</v>
      </c>
      <c r="AG31" s="29"/>
      <c r="AH31" s="30">
        <v>0</v>
      </c>
      <c r="AI31" s="14">
        <f t="shared" si="2"/>
        <v>0</v>
      </c>
      <c r="AJ31"/>
      <c r="AK31"/>
      <c r="AL31"/>
      <c r="AM31"/>
      <c r="AN31"/>
      <c r="AO31"/>
      <c r="AP31"/>
    </row>
    <row r="32" spans="1:42" s="33" customFormat="1">
      <c r="A32" s="26" t="s">
        <v>662</v>
      </c>
      <c r="B32" s="26" t="s">
        <v>651</v>
      </c>
      <c r="C32" s="26"/>
      <c r="D32" s="26" t="s">
        <v>1223</v>
      </c>
      <c r="E32" s="27"/>
      <c r="F32" s="28">
        <f t="shared" si="0"/>
        <v>10</v>
      </c>
      <c r="G32" s="29"/>
      <c r="H32" s="29"/>
      <c r="I32" s="29"/>
      <c r="J32" s="29"/>
      <c r="K32" s="29"/>
      <c r="L32" s="29">
        <v>1</v>
      </c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35">
        <v>0</v>
      </c>
      <c r="AF32" s="18">
        <f t="shared" si="1"/>
        <v>0</v>
      </c>
      <c r="AG32" s="29"/>
      <c r="AH32" s="30">
        <v>0</v>
      </c>
      <c r="AI32" s="14">
        <f t="shared" si="2"/>
        <v>0</v>
      </c>
      <c r="AJ32"/>
      <c r="AK32"/>
      <c r="AL32"/>
      <c r="AM32"/>
      <c r="AN32"/>
      <c r="AO32"/>
      <c r="AP32"/>
    </row>
    <row r="33" spans="1:42" s="33" customFormat="1">
      <c r="A33" s="26" t="s">
        <v>662</v>
      </c>
      <c r="B33" s="26" t="s">
        <v>651</v>
      </c>
      <c r="C33" s="26"/>
      <c r="D33" s="26" t="s">
        <v>1222</v>
      </c>
      <c r="E33" s="27"/>
      <c r="F33" s="28">
        <f t="shared" si="0"/>
        <v>10</v>
      </c>
      <c r="G33" s="29"/>
      <c r="H33" s="29"/>
      <c r="I33" s="29"/>
      <c r="J33" s="29"/>
      <c r="K33" s="29"/>
      <c r="L33" s="29">
        <v>1</v>
      </c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35">
        <v>0</v>
      </c>
      <c r="AF33" s="18">
        <f t="shared" si="1"/>
        <v>0</v>
      </c>
      <c r="AG33" s="29"/>
      <c r="AH33" s="30">
        <v>0</v>
      </c>
      <c r="AI33" s="14">
        <f t="shared" si="2"/>
        <v>0</v>
      </c>
      <c r="AJ33"/>
      <c r="AK33"/>
      <c r="AL33"/>
      <c r="AM33"/>
      <c r="AN33"/>
      <c r="AO33"/>
      <c r="AP33"/>
    </row>
    <row r="34" spans="1:42" s="33" customFormat="1">
      <c r="A34" s="26" t="s">
        <v>662</v>
      </c>
      <c r="B34" s="26" t="s">
        <v>651</v>
      </c>
      <c r="C34" s="26"/>
      <c r="D34" s="26" t="s">
        <v>1226</v>
      </c>
      <c r="E34" s="27"/>
      <c r="F34" s="28">
        <f t="shared" si="0"/>
        <v>10</v>
      </c>
      <c r="G34" s="29"/>
      <c r="H34" s="29"/>
      <c r="I34" s="29"/>
      <c r="J34" s="29"/>
      <c r="K34" s="29"/>
      <c r="L34" s="29">
        <v>1</v>
      </c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35">
        <v>0</v>
      </c>
      <c r="AF34" s="18">
        <f t="shared" si="1"/>
        <v>0</v>
      </c>
      <c r="AG34" s="29"/>
      <c r="AH34" s="30">
        <v>0</v>
      </c>
      <c r="AI34" s="14">
        <f t="shared" si="2"/>
        <v>0</v>
      </c>
      <c r="AJ34"/>
      <c r="AK34"/>
      <c r="AL34"/>
      <c r="AM34"/>
      <c r="AN34"/>
      <c r="AO34"/>
      <c r="AP34"/>
    </row>
    <row r="35" spans="1:42" s="33" customFormat="1">
      <c r="A35" s="26" t="s">
        <v>662</v>
      </c>
      <c r="B35" s="26" t="s">
        <v>651</v>
      </c>
      <c r="C35" s="26"/>
      <c r="D35" s="26" t="s">
        <v>1227</v>
      </c>
      <c r="E35" s="27"/>
      <c r="F35" s="28">
        <f t="shared" si="0"/>
        <v>10</v>
      </c>
      <c r="G35" s="29"/>
      <c r="H35" s="29"/>
      <c r="I35" s="29"/>
      <c r="J35" s="29"/>
      <c r="K35" s="29"/>
      <c r="L35" s="29">
        <v>1</v>
      </c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35">
        <v>0</v>
      </c>
      <c r="AF35" s="18">
        <f t="shared" si="1"/>
        <v>0</v>
      </c>
      <c r="AG35" s="29"/>
      <c r="AH35" s="30">
        <v>0</v>
      </c>
      <c r="AI35" s="14">
        <f t="shared" si="2"/>
        <v>0</v>
      </c>
      <c r="AJ35"/>
      <c r="AK35"/>
      <c r="AL35"/>
      <c r="AM35"/>
      <c r="AN35"/>
      <c r="AO35"/>
      <c r="AP35"/>
    </row>
    <row r="36" spans="1:42" s="33" customFormat="1">
      <c r="A36" s="26" t="s">
        <v>662</v>
      </c>
      <c r="B36" s="26" t="s">
        <v>651</v>
      </c>
      <c r="C36" s="26"/>
      <c r="D36" s="26" t="s">
        <v>1220</v>
      </c>
      <c r="E36" s="27"/>
      <c r="F36" s="28">
        <f t="shared" si="0"/>
        <v>8.8000000000000007</v>
      </c>
      <c r="G36" s="29"/>
      <c r="H36" s="29"/>
      <c r="I36" s="29"/>
      <c r="J36" s="29"/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35">
        <v>0</v>
      </c>
      <c r="AF36" s="18">
        <f t="shared" si="1"/>
        <v>0</v>
      </c>
      <c r="AG36" s="29"/>
      <c r="AH36" s="30">
        <v>0</v>
      </c>
      <c r="AI36" s="14">
        <f t="shared" si="2"/>
        <v>0</v>
      </c>
      <c r="AJ36"/>
      <c r="AK36"/>
      <c r="AL36"/>
      <c r="AM36"/>
      <c r="AN36"/>
      <c r="AO36"/>
      <c r="AP36"/>
    </row>
    <row r="37" spans="1:42" s="33" customFormat="1">
      <c r="A37" s="26" t="s">
        <v>662</v>
      </c>
      <c r="B37" s="26" t="s">
        <v>651</v>
      </c>
      <c r="C37" s="26"/>
      <c r="D37" s="26" t="s">
        <v>1225</v>
      </c>
      <c r="E37" s="27"/>
      <c r="F37" s="28">
        <f t="shared" si="0"/>
        <v>4.5</v>
      </c>
      <c r="G37" s="29"/>
      <c r="H37" s="29"/>
      <c r="I37" s="29"/>
      <c r="J37" s="29"/>
      <c r="K37" s="29"/>
      <c r="L37" s="29"/>
      <c r="M37" s="29"/>
      <c r="N37" s="29"/>
      <c r="O37" s="29">
        <v>1</v>
      </c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35">
        <v>0</v>
      </c>
      <c r="AF37" s="18">
        <f t="shared" si="1"/>
        <v>0</v>
      </c>
      <c r="AG37" s="29"/>
      <c r="AH37" s="30">
        <v>0</v>
      </c>
      <c r="AI37" s="14">
        <f t="shared" si="2"/>
        <v>0</v>
      </c>
      <c r="AJ37"/>
      <c r="AK37"/>
      <c r="AL37"/>
      <c r="AM37"/>
      <c r="AN37"/>
      <c r="AO37"/>
      <c r="AP37"/>
    </row>
    <row r="38" spans="1:42" s="33" customFormat="1">
      <c r="A38" s="26" t="s">
        <v>662</v>
      </c>
      <c r="B38" s="26" t="s">
        <v>651</v>
      </c>
      <c r="C38" s="26"/>
      <c r="D38" s="26" t="s">
        <v>1219</v>
      </c>
      <c r="E38" s="27"/>
      <c r="F38" s="28">
        <f t="shared" si="0"/>
        <v>4</v>
      </c>
      <c r="G38" s="29"/>
      <c r="H38" s="29"/>
      <c r="I38" s="29"/>
      <c r="J38" s="29"/>
      <c r="K38" s="29"/>
      <c r="L38" s="29"/>
      <c r="M38" s="29"/>
      <c r="N38" s="29"/>
      <c r="O38" s="29"/>
      <c r="P38" s="29">
        <v>1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35">
        <v>0</v>
      </c>
      <c r="AF38" s="18">
        <f t="shared" si="1"/>
        <v>0</v>
      </c>
      <c r="AG38" s="29"/>
      <c r="AH38" s="30">
        <v>0</v>
      </c>
      <c r="AI38" s="14">
        <f t="shared" si="2"/>
        <v>0</v>
      </c>
      <c r="AJ38"/>
      <c r="AK38"/>
      <c r="AL38"/>
      <c r="AM38"/>
      <c r="AN38"/>
      <c r="AO38"/>
      <c r="AP38"/>
    </row>
    <row r="39" spans="1:42" s="33" customFormat="1">
      <c r="A39" s="28" t="s">
        <v>662</v>
      </c>
      <c r="B39" s="28" t="s">
        <v>627</v>
      </c>
      <c r="C39" s="28"/>
      <c r="D39" s="28" t="s">
        <v>1185</v>
      </c>
      <c r="E39" s="31" t="s">
        <v>1186</v>
      </c>
      <c r="F39" s="28">
        <f t="shared" si="0"/>
        <v>1505</v>
      </c>
      <c r="G39" s="32"/>
      <c r="H39" s="32"/>
      <c r="I39" s="32">
        <v>10</v>
      </c>
      <c r="J39" s="32">
        <v>55</v>
      </c>
      <c r="K39" s="32"/>
      <c r="L39" s="32"/>
      <c r="M39" s="32"/>
      <c r="N39" s="32">
        <v>1</v>
      </c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4">
        <v>11.5</v>
      </c>
      <c r="AF39" s="18">
        <f t="shared" si="1"/>
        <v>0</v>
      </c>
      <c r="AG39" s="32"/>
      <c r="AH39" s="30">
        <v>0</v>
      </c>
      <c r="AI39" s="14">
        <f t="shared" si="2"/>
        <v>17307.5</v>
      </c>
      <c r="AJ39" s="26"/>
      <c r="AK39" s="26"/>
      <c r="AL39" s="26"/>
      <c r="AM39" s="26"/>
      <c r="AN39" s="26"/>
      <c r="AO39" s="26"/>
      <c r="AP39" s="26"/>
    </row>
    <row r="40" spans="1:42" s="33" customFormat="1">
      <c r="A40" s="28" t="s">
        <v>662</v>
      </c>
      <c r="B40" s="28" t="s">
        <v>636</v>
      </c>
      <c r="C40" s="28"/>
      <c r="D40" s="28" t="s">
        <v>689</v>
      </c>
      <c r="E40" s="31" t="s">
        <v>231</v>
      </c>
      <c r="F40" s="28">
        <f t="shared" si="0"/>
        <v>200</v>
      </c>
      <c r="G40" s="32"/>
      <c r="H40" s="32"/>
      <c r="I40" s="32">
        <v>5</v>
      </c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4">
        <v>5.5</v>
      </c>
      <c r="AF40" s="18">
        <f t="shared" si="1"/>
        <v>0</v>
      </c>
      <c r="AG40" s="32"/>
      <c r="AH40" s="30">
        <v>0</v>
      </c>
      <c r="AI40" s="14">
        <f t="shared" si="2"/>
        <v>1100</v>
      </c>
      <c r="AJ40" s="26"/>
      <c r="AK40" s="26">
        <v>8.3000000000000007</v>
      </c>
      <c r="AL40" s="26">
        <v>5.5</v>
      </c>
      <c r="AM40" s="26"/>
      <c r="AN40" s="26"/>
      <c r="AO40" s="26"/>
      <c r="AP40" s="26"/>
    </row>
    <row r="41" spans="1:42" s="33" customFormat="1">
      <c r="A41" s="28" t="s">
        <v>662</v>
      </c>
      <c r="B41" s="28" t="s">
        <v>616</v>
      </c>
      <c r="C41" s="28"/>
      <c r="D41" s="28" t="s">
        <v>1293</v>
      </c>
      <c r="E41" s="31" t="s">
        <v>730</v>
      </c>
      <c r="F41" s="28">
        <f t="shared" si="0"/>
        <v>22</v>
      </c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>
        <v>11</v>
      </c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4">
        <v>25</v>
      </c>
      <c r="AF41" s="18">
        <f t="shared" si="1"/>
        <v>0</v>
      </c>
      <c r="AG41" s="32"/>
      <c r="AH41" s="30">
        <v>0</v>
      </c>
      <c r="AI41" s="14">
        <f t="shared" si="2"/>
        <v>550</v>
      </c>
      <c r="AJ41" s="26"/>
      <c r="AK41" s="26"/>
      <c r="AL41" s="26"/>
      <c r="AM41" s="26"/>
      <c r="AN41" s="26"/>
      <c r="AO41" s="26"/>
      <c r="AP41" s="26"/>
    </row>
    <row r="42" spans="1:42" s="33" customFormat="1">
      <c r="A42" s="28" t="s">
        <v>662</v>
      </c>
      <c r="B42" s="28" t="s">
        <v>616</v>
      </c>
      <c r="C42" s="28"/>
      <c r="D42" s="28" t="s">
        <v>1297</v>
      </c>
      <c r="E42" s="31" t="s">
        <v>737</v>
      </c>
      <c r="F42" s="28">
        <f t="shared" si="0"/>
        <v>20</v>
      </c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>
        <v>10</v>
      </c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4">
        <v>80</v>
      </c>
      <c r="AF42" s="18">
        <f t="shared" si="1"/>
        <v>0</v>
      </c>
      <c r="AG42" s="32"/>
      <c r="AH42" s="30">
        <v>0</v>
      </c>
      <c r="AI42" s="14">
        <f t="shared" si="2"/>
        <v>1600</v>
      </c>
      <c r="AJ42" s="26"/>
      <c r="AK42" s="26"/>
      <c r="AL42" s="26"/>
      <c r="AM42" s="26"/>
      <c r="AN42" s="26"/>
      <c r="AO42" s="26"/>
      <c r="AP42" s="26"/>
    </row>
    <row r="43" spans="1:42" s="33" customFormat="1" ht="14.25" customHeight="1">
      <c r="A43" s="28" t="s">
        <v>662</v>
      </c>
      <c r="B43" s="28" t="s">
        <v>616</v>
      </c>
      <c r="C43" s="28"/>
      <c r="D43" s="28" t="s">
        <v>1298</v>
      </c>
      <c r="E43" s="26" t="s">
        <v>739</v>
      </c>
      <c r="F43" s="28">
        <f t="shared" si="0"/>
        <v>20</v>
      </c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>
        <v>10</v>
      </c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4">
        <v>80</v>
      </c>
      <c r="AF43" s="18">
        <f t="shared" si="1"/>
        <v>0</v>
      </c>
      <c r="AG43" s="32"/>
      <c r="AH43" s="30">
        <v>0</v>
      </c>
      <c r="AI43" s="14">
        <f t="shared" si="2"/>
        <v>1600</v>
      </c>
      <c r="AJ43" s="26"/>
      <c r="AK43" s="26"/>
      <c r="AL43" s="26"/>
      <c r="AM43" s="26"/>
      <c r="AN43" s="26"/>
      <c r="AO43" s="26"/>
      <c r="AP43" s="26"/>
    </row>
    <row r="44" spans="1:42" s="33" customFormat="1">
      <c r="A44" s="28" t="s">
        <v>662</v>
      </c>
      <c r="B44" s="28" t="s">
        <v>616</v>
      </c>
      <c r="C44" s="28"/>
      <c r="D44" s="28" t="s">
        <v>1299</v>
      </c>
      <c r="E44" s="31" t="s">
        <v>738</v>
      </c>
      <c r="F44" s="28">
        <f t="shared" si="0"/>
        <v>20</v>
      </c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>
        <v>10</v>
      </c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4">
        <v>80</v>
      </c>
      <c r="AF44" s="18">
        <f t="shared" si="1"/>
        <v>0</v>
      </c>
      <c r="AG44" s="32"/>
      <c r="AH44" s="30">
        <v>0</v>
      </c>
      <c r="AI44" s="14">
        <f t="shared" si="2"/>
        <v>1600</v>
      </c>
      <c r="AJ44" s="26"/>
      <c r="AK44" s="26"/>
      <c r="AL44" s="26"/>
      <c r="AM44" s="26"/>
      <c r="AN44" s="26"/>
      <c r="AO44" s="26"/>
      <c r="AP44" s="26"/>
    </row>
    <row r="45" spans="1:42" s="33" customFormat="1">
      <c r="A45" s="28" t="s">
        <v>662</v>
      </c>
      <c r="B45" s="28" t="s">
        <v>616</v>
      </c>
      <c r="C45" s="28"/>
      <c r="D45" s="28" t="s">
        <v>1300</v>
      </c>
      <c r="E45" s="31" t="s">
        <v>736</v>
      </c>
      <c r="F45" s="28">
        <f t="shared" si="0"/>
        <v>20</v>
      </c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>
        <v>10</v>
      </c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4">
        <v>80</v>
      </c>
      <c r="AF45" s="18">
        <f t="shared" si="1"/>
        <v>0</v>
      </c>
      <c r="AG45" s="32"/>
      <c r="AH45" s="30">
        <v>0</v>
      </c>
      <c r="AI45" s="14">
        <f t="shared" si="2"/>
        <v>1600</v>
      </c>
      <c r="AJ45" s="26"/>
      <c r="AK45" s="26"/>
      <c r="AL45" s="26"/>
      <c r="AM45" s="26"/>
      <c r="AN45" s="26"/>
      <c r="AO45" s="26"/>
      <c r="AP45" s="26"/>
    </row>
    <row r="46" spans="1:42" s="33" customFormat="1">
      <c r="A46" s="28" t="s">
        <v>662</v>
      </c>
      <c r="B46" s="28" t="s">
        <v>616</v>
      </c>
      <c r="C46" s="28"/>
      <c r="D46" s="28" t="s">
        <v>1303</v>
      </c>
      <c r="E46" s="31" t="s">
        <v>733</v>
      </c>
      <c r="F46" s="28">
        <f t="shared" si="0"/>
        <v>20</v>
      </c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>
        <v>10</v>
      </c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4">
        <v>50</v>
      </c>
      <c r="AF46" s="18">
        <f t="shared" si="1"/>
        <v>0</v>
      </c>
      <c r="AG46" s="32"/>
      <c r="AH46" s="30">
        <v>0</v>
      </c>
      <c r="AI46" s="14">
        <f t="shared" si="2"/>
        <v>1000</v>
      </c>
      <c r="AJ46" s="26"/>
      <c r="AK46" s="26"/>
      <c r="AL46" s="26"/>
      <c r="AM46" s="26"/>
      <c r="AN46" s="26"/>
      <c r="AO46" s="26"/>
      <c r="AP46" s="26"/>
    </row>
    <row r="47" spans="1:42" s="33" customFormat="1">
      <c r="A47" s="28" t="s">
        <v>662</v>
      </c>
      <c r="B47" s="28" t="s">
        <v>616</v>
      </c>
      <c r="C47" s="28"/>
      <c r="D47" s="28" t="s">
        <v>1292</v>
      </c>
      <c r="E47" s="31" t="s">
        <v>731</v>
      </c>
      <c r="F47" s="28">
        <f t="shared" si="0"/>
        <v>18</v>
      </c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>
        <v>9</v>
      </c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4">
        <v>25</v>
      </c>
      <c r="AF47" s="18">
        <f t="shared" si="1"/>
        <v>0</v>
      </c>
      <c r="AG47" s="32"/>
      <c r="AH47" s="30">
        <v>0</v>
      </c>
      <c r="AI47" s="14">
        <f t="shared" si="2"/>
        <v>450</v>
      </c>
      <c r="AJ47" s="26"/>
      <c r="AK47" s="26"/>
      <c r="AL47" s="26"/>
      <c r="AM47" s="26"/>
      <c r="AN47" s="26"/>
      <c r="AO47" s="26"/>
      <c r="AP47" s="26"/>
    </row>
    <row r="48" spans="1:42" s="33" customFormat="1">
      <c r="A48" s="28" t="s">
        <v>662</v>
      </c>
      <c r="B48" s="28" t="s">
        <v>616</v>
      </c>
      <c r="C48" s="28"/>
      <c r="D48" s="28" t="s">
        <v>1301</v>
      </c>
      <c r="E48" s="31" t="s">
        <v>732</v>
      </c>
      <c r="F48" s="28">
        <f t="shared" si="0"/>
        <v>18</v>
      </c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>
        <v>9</v>
      </c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4">
        <v>50</v>
      </c>
      <c r="AF48" s="18">
        <f t="shared" si="1"/>
        <v>0</v>
      </c>
      <c r="AG48" s="32"/>
      <c r="AH48" s="30">
        <v>0</v>
      </c>
      <c r="AI48" s="14">
        <f t="shared" si="2"/>
        <v>900</v>
      </c>
      <c r="AJ48" s="26"/>
      <c r="AK48" s="26"/>
      <c r="AL48" s="26"/>
      <c r="AM48" s="26"/>
      <c r="AN48" s="26"/>
      <c r="AO48" s="26"/>
      <c r="AP48" s="26"/>
    </row>
    <row r="49" spans="1:42" s="33" customFormat="1">
      <c r="A49" s="28" t="s">
        <v>662</v>
      </c>
      <c r="B49" s="28" t="s">
        <v>616</v>
      </c>
      <c r="C49" s="28"/>
      <c r="D49" s="28" t="s">
        <v>1302</v>
      </c>
      <c r="E49" s="31" t="s">
        <v>734</v>
      </c>
      <c r="F49" s="28">
        <f t="shared" si="0"/>
        <v>18</v>
      </c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>
        <v>9</v>
      </c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4">
        <v>50</v>
      </c>
      <c r="AF49" s="18">
        <f t="shared" si="1"/>
        <v>0</v>
      </c>
      <c r="AG49" s="32"/>
      <c r="AH49" s="30">
        <v>0</v>
      </c>
      <c r="AI49" s="14">
        <f t="shared" si="2"/>
        <v>900</v>
      </c>
      <c r="AJ49" s="26"/>
      <c r="AK49" s="26"/>
      <c r="AL49" s="26"/>
      <c r="AM49" s="26"/>
      <c r="AN49" s="26"/>
      <c r="AO49" s="26"/>
      <c r="AP49" s="26"/>
    </row>
    <row r="50" spans="1:42" s="26" customFormat="1">
      <c r="A50" s="28" t="s">
        <v>662</v>
      </c>
      <c r="B50" s="28" t="s">
        <v>616</v>
      </c>
      <c r="C50" s="28"/>
      <c r="D50" s="28" t="s">
        <v>1304</v>
      </c>
      <c r="E50" s="31" t="s">
        <v>735</v>
      </c>
      <c r="F50" s="28">
        <f t="shared" si="0"/>
        <v>18</v>
      </c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>
        <v>9</v>
      </c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4">
        <v>50</v>
      </c>
      <c r="AF50" s="18">
        <f t="shared" si="1"/>
        <v>0</v>
      </c>
      <c r="AG50" s="32"/>
      <c r="AH50" s="30">
        <v>0</v>
      </c>
      <c r="AI50" s="14">
        <f t="shared" si="2"/>
        <v>900</v>
      </c>
    </row>
    <row r="51" spans="1:42" s="26" customFormat="1">
      <c r="A51" s="28" t="s">
        <v>662</v>
      </c>
      <c r="B51" s="28" t="s">
        <v>616</v>
      </c>
      <c r="C51" s="28"/>
      <c r="D51" s="28" t="s">
        <v>1296</v>
      </c>
      <c r="E51" s="31" t="s">
        <v>728</v>
      </c>
      <c r="F51" s="28">
        <f t="shared" si="0"/>
        <v>12</v>
      </c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>
        <v>6</v>
      </c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4">
        <v>25</v>
      </c>
      <c r="AF51" s="18">
        <f t="shared" si="1"/>
        <v>0</v>
      </c>
      <c r="AG51" s="32"/>
      <c r="AH51" s="30">
        <v>0</v>
      </c>
      <c r="AI51" s="14">
        <f t="shared" si="2"/>
        <v>300</v>
      </c>
    </row>
    <row r="52" spans="1:42" s="26" customFormat="1">
      <c r="A52" s="28" t="s">
        <v>662</v>
      </c>
      <c r="B52" s="28" t="s">
        <v>616</v>
      </c>
      <c r="C52" s="28"/>
      <c r="D52" s="28" t="s">
        <v>1295</v>
      </c>
      <c r="E52" s="31" t="s">
        <v>985</v>
      </c>
      <c r="F52" s="28">
        <f t="shared" si="0"/>
        <v>8</v>
      </c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>
        <v>4</v>
      </c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4">
        <v>25</v>
      </c>
      <c r="AF52" s="18">
        <f t="shared" si="1"/>
        <v>0</v>
      </c>
      <c r="AG52" s="32"/>
      <c r="AH52" s="30">
        <v>0</v>
      </c>
      <c r="AI52" s="14">
        <f t="shared" si="2"/>
        <v>200</v>
      </c>
    </row>
    <row r="53" spans="1:42" s="26" customFormat="1">
      <c r="A53" s="28" t="s">
        <v>662</v>
      </c>
      <c r="B53" s="28" t="s">
        <v>616</v>
      </c>
      <c r="C53" s="28"/>
      <c r="D53" s="28" t="s">
        <v>1294</v>
      </c>
      <c r="E53" s="31" t="s">
        <v>729</v>
      </c>
      <c r="F53" s="28">
        <f t="shared" si="0"/>
        <v>6</v>
      </c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>
        <v>3</v>
      </c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4">
        <v>25</v>
      </c>
      <c r="AF53" s="18">
        <f t="shared" si="1"/>
        <v>0</v>
      </c>
      <c r="AG53" s="32"/>
      <c r="AH53" s="30">
        <v>0</v>
      </c>
      <c r="AI53" s="14">
        <f t="shared" si="2"/>
        <v>150</v>
      </c>
    </row>
    <row r="54" spans="1:42" s="26" customFormat="1" ht="30">
      <c r="A54" s="28" t="s">
        <v>662</v>
      </c>
      <c r="B54" s="28" t="s">
        <v>618</v>
      </c>
      <c r="C54" s="28"/>
      <c r="D54" s="28" t="s">
        <v>1024</v>
      </c>
      <c r="E54" s="31" t="s">
        <v>1123</v>
      </c>
      <c r="F54" s="28">
        <f t="shared" si="0"/>
        <v>51</v>
      </c>
      <c r="G54" s="32"/>
      <c r="H54" s="32"/>
      <c r="I54" s="32"/>
      <c r="J54" s="32"/>
      <c r="K54" s="32"/>
      <c r="L54" s="32"/>
      <c r="M54" s="32"/>
      <c r="N54" s="32">
        <v>6</v>
      </c>
      <c r="O54" s="32"/>
      <c r="P54" s="32"/>
      <c r="Q54" s="32"/>
      <c r="R54" s="32"/>
      <c r="S54" s="32">
        <v>10.5</v>
      </c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4">
        <v>75</v>
      </c>
      <c r="AF54" s="18">
        <f t="shared" si="1"/>
        <v>0</v>
      </c>
      <c r="AG54" s="32"/>
      <c r="AH54" s="30">
        <v>0</v>
      </c>
      <c r="AI54" s="14">
        <f t="shared" si="2"/>
        <v>3825</v>
      </c>
    </row>
    <row r="55" spans="1:42" s="26" customFormat="1">
      <c r="A55" s="28" t="s">
        <v>662</v>
      </c>
      <c r="B55" s="28" t="s">
        <v>618</v>
      </c>
      <c r="C55" s="28"/>
      <c r="D55" s="28" t="s">
        <v>1025</v>
      </c>
      <c r="E55" s="31" t="s">
        <v>741</v>
      </c>
      <c r="F55" s="28">
        <f t="shared" si="0"/>
        <v>20</v>
      </c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>
        <v>10</v>
      </c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4">
        <v>75</v>
      </c>
      <c r="AF55" s="18">
        <f t="shared" si="1"/>
        <v>0</v>
      </c>
      <c r="AG55" s="32"/>
      <c r="AH55" s="30">
        <v>0</v>
      </c>
      <c r="AI55" s="14">
        <f t="shared" si="2"/>
        <v>1500</v>
      </c>
    </row>
    <row r="56" spans="1:42" s="26" customFormat="1">
      <c r="A56" s="28" t="s">
        <v>662</v>
      </c>
      <c r="B56" s="28" t="s">
        <v>618</v>
      </c>
      <c r="C56" s="28"/>
      <c r="D56" s="28" t="s">
        <v>630</v>
      </c>
      <c r="E56" s="31" t="s">
        <v>742</v>
      </c>
      <c r="F56" s="28">
        <f t="shared" si="0"/>
        <v>20</v>
      </c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>
        <v>10</v>
      </c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4">
        <v>75</v>
      </c>
      <c r="AF56" s="18">
        <f t="shared" si="1"/>
        <v>0</v>
      </c>
      <c r="AG56" s="32"/>
      <c r="AH56" s="30">
        <v>0</v>
      </c>
      <c r="AI56" s="14">
        <f t="shared" si="2"/>
        <v>1500</v>
      </c>
    </row>
    <row r="57" spans="1:42" s="26" customFormat="1">
      <c r="A57" s="28" t="s">
        <v>662</v>
      </c>
      <c r="B57" s="28" t="s">
        <v>618</v>
      </c>
      <c r="C57" s="28"/>
      <c r="D57" s="28" t="s">
        <v>1028</v>
      </c>
      <c r="E57" s="31" t="s">
        <v>745</v>
      </c>
      <c r="F57" s="28">
        <f t="shared" si="0"/>
        <v>20</v>
      </c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>
        <v>10</v>
      </c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>
        <v>80</v>
      </c>
      <c r="AF57" s="18">
        <f t="shared" si="1"/>
        <v>0</v>
      </c>
      <c r="AG57" s="32"/>
      <c r="AH57" s="30">
        <v>0</v>
      </c>
      <c r="AI57" s="14">
        <f t="shared" si="2"/>
        <v>1600</v>
      </c>
    </row>
    <row r="58" spans="1:42" s="26" customFormat="1">
      <c r="A58" s="28" t="s">
        <v>662</v>
      </c>
      <c r="B58" s="28" t="s">
        <v>618</v>
      </c>
      <c r="C58" s="28"/>
      <c r="D58" s="28" t="s">
        <v>634</v>
      </c>
      <c r="E58" s="31" t="s">
        <v>746</v>
      </c>
      <c r="F58" s="28">
        <f t="shared" si="0"/>
        <v>20</v>
      </c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>
        <v>10</v>
      </c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4">
        <v>80</v>
      </c>
      <c r="AF58" s="18">
        <f t="shared" si="1"/>
        <v>0</v>
      </c>
      <c r="AG58" s="32"/>
      <c r="AH58" s="30">
        <v>0</v>
      </c>
      <c r="AI58" s="14">
        <f t="shared" si="2"/>
        <v>1600</v>
      </c>
    </row>
    <row r="59" spans="1:42" s="26" customFormat="1">
      <c r="A59" s="28" t="s">
        <v>662</v>
      </c>
      <c r="B59" s="28" t="s">
        <v>618</v>
      </c>
      <c r="C59" s="28"/>
      <c r="D59" s="28" t="s">
        <v>1027</v>
      </c>
      <c r="E59" s="26" t="s">
        <v>744</v>
      </c>
      <c r="F59" s="28">
        <f t="shared" si="0"/>
        <v>18</v>
      </c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>
        <v>9</v>
      </c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>
        <v>80</v>
      </c>
      <c r="AF59" s="18">
        <f t="shared" si="1"/>
        <v>0</v>
      </c>
      <c r="AG59" s="32"/>
      <c r="AH59" s="30">
        <v>0</v>
      </c>
      <c r="AI59" s="14">
        <f t="shared" si="2"/>
        <v>1440</v>
      </c>
    </row>
    <row r="60" spans="1:42" s="26" customFormat="1">
      <c r="A60" s="28" t="s">
        <v>662</v>
      </c>
      <c r="B60" s="28" t="s">
        <v>618</v>
      </c>
      <c r="C60" s="28"/>
      <c r="D60" s="28" t="s">
        <v>1029</v>
      </c>
      <c r="E60" s="31" t="s">
        <v>743</v>
      </c>
      <c r="F60" s="28">
        <f t="shared" si="0"/>
        <v>18</v>
      </c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>
        <v>9</v>
      </c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>
        <v>80</v>
      </c>
      <c r="AF60" s="18">
        <f t="shared" si="1"/>
        <v>0</v>
      </c>
      <c r="AG60" s="32"/>
      <c r="AH60" s="30">
        <v>0</v>
      </c>
      <c r="AI60" s="14">
        <f t="shared" si="2"/>
        <v>1440</v>
      </c>
    </row>
    <row r="61" spans="1:42" s="26" customFormat="1">
      <c r="A61" s="28" t="s">
        <v>662</v>
      </c>
      <c r="B61" s="28" t="s">
        <v>618</v>
      </c>
      <c r="C61" s="28"/>
      <c r="D61" s="28" t="s">
        <v>1026</v>
      </c>
      <c r="E61" s="31" t="s">
        <v>740</v>
      </c>
      <c r="F61" s="28">
        <f t="shared" si="0"/>
        <v>14</v>
      </c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>
        <v>7</v>
      </c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>
        <v>60</v>
      </c>
      <c r="AF61" s="18">
        <f t="shared" si="1"/>
        <v>0</v>
      </c>
      <c r="AG61" s="32"/>
      <c r="AH61" s="30">
        <v>0</v>
      </c>
      <c r="AI61" s="14">
        <f t="shared" si="2"/>
        <v>840</v>
      </c>
    </row>
    <row r="62" spans="1:42" s="26" customFormat="1">
      <c r="A62" s="26" t="s">
        <v>662</v>
      </c>
      <c r="B62" s="26" t="s">
        <v>621</v>
      </c>
      <c r="D62" s="26" t="s">
        <v>1284</v>
      </c>
      <c r="E62" s="27" t="s">
        <v>1307</v>
      </c>
      <c r="F62" s="28">
        <f t="shared" si="0"/>
        <v>1480</v>
      </c>
      <c r="G62" s="29"/>
      <c r="H62" s="29">
        <v>12</v>
      </c>
      <c r="I62" s="29">
        <v>6</v>
      </c>
      <c r="J62" s="29">
        <v>30</v>
      </c>
      <c r="K62" s="29"/>
      <c r="L62" s="29">
        <v>4</v>
      </c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0">
        <v>2.09</v>
      </c>
      <c r="AF62" s="18">
        <f t="shared" si="1"/>
        <v>0</v>
      </c>
      <c r="AG62" s="29"/>
      <c r="AH62" s="30">
        <v>0</v>
      </c>
      <c r="AI62" s="14">
        <f t="shared" si="2"/>
        <v>3093.2</v>
      </c>
      <c r="AJ62"/>
      <c r="AK62"/>
      <c r="AL62"/>
      <c r="AM62"/>
      <c r="AN62"/>
      <c r="AO62"/>
      <c r="AP62"/>
    </row>
    <row r="63" spans="1:42" s="26" customFormat="1">
      <c r="A63" s="28" t="s">
        <v>662</v>
      </c>
      <c r="B63" s="28" t="s">
        <v>621</v>
      </c>
      <c r="C63" s="28"/>
      <c r="D63" s="28" t="s">
        <v>1183</v>
      </c>
      <c r="E63" s="31" t="s">
        <v>747</v>
      </c>
      <c r="F63" s="28">
        <f t="shared" si="0"/>
        <v>940</v>
      </c>
      <c r="G63" s="32"/>
      <c r="H63" s="32"/>
      <c r="I63" s="32">
        <v>9</v>
      </c>
      <c r="J63" s="32">
        <v>29</v>
      </c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>
        <v>14</v>
      </c>
      <c r="AF63" s="18">
        <f t="shared" si="1"/>
        <v>0</v>
      </c>
      <c r="AG63" s="32"/>
      <c r="AH63" s="30">
        <v>0</v>
      </c>
      <c r="AI63" s="14">
        <f t="shared" si="2"/>
        <v>13160</v>
      </c>
    </row>
    <row r="64" spans="1:42" s="26" customFormat="1">
      <c r="A64" s="28" t="s">
        <v>662</v>
      </c>
      <c r="B64" s="28" t="s">
        <v>621</v>
      </c>
      <c r="C64" s="28"/>
      <c r="D64" s="28" t="s">
        <v>1433</v>
      </c>
      <c r="E64" s="31" t="s">
        <v>1307</v>
      </c>
      <c r="F64" s="28">
        <f t="shared" si="0"/>
        <v>500</v>
      </c>
      <c r="G64" s="32"/>
      <c r="H64" s="32"/>
      <c r="I64" s="32"/>
      <c r="J64" s="32">
        <v>25</v>
      </c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>
        <v>2.09</v>
      </c>
      <c r="AF64" s="18">
        <f t="shared" si="1"/>
        <v>0</v>
      </c>
      <c r="AG64" s="32"/>
      <c r="AH64" s="30">
        <v>0</v>
      </c>
      <c r="AI64" s="14">
        <f t="shared" si="2"/>
        <v>1045</v>
      </c>
    </row>
    <row r="65" spans="1:42" s="26" customFormat="1">
      <c r="A65" s="28" t="s">
        <v>662</v>
      </c>
      <c r="B65" s="28" t="s">
        <v>622</v>
      </c>
      <c r="C65" s="28"/>
      <c r="D65" s="28" t="s">
        <v>1031</v>
      </c>
      <c r="E65" s="31" t="s">
        <v>749</v>
      </c>
      <c r="F65" s="28">
        <f t="shared" si="0"/>
        <v>10</v>
      </c>
      <c r="G65" s="32"/>
      <c r="H65" s="32"/>
      <c r="I65" s="32"/>
      <c r="J65" s="32"/>
      <c r="K65" s="32"/>
      <c r="L65" s="32">
        <v>1</v>
      </c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>
        <v>22.75</v>
      </c>
      <c r="AF65" s="18">
        <f t="shared" si="1"/>
        <v>0</v>
      </c>
      <c r="AG65" s="32"/>
      <c r="AH65" s="30">
        <v>0</v>
      </c>
      <c r="AI65" s="14">
        <f t="shared" si="2"/>
        <v>227.5</v>
      </c>
    </row>
    <row r="66" spans="1:42" s="26" customFormat="1">
      <c r="A66" s="28" t="s">
        <v>662</v>
      </c>
      <c r="B66" s="28" t="s">
        <v>622</v>
      </c>
      <c r="C66" s="28"/>
      <c r="D66" s="28" t="s">
        <v>1032</v>
      </c>
      <c r="E66" s="31" t="s">
        <v>750</v>
      </c>
      <c r="F66" s="28">
        <f t="shared" ref="F66:F129" si="3">+$G$1*G66+$H$1*H66+$I$1*I66+$J$1*J66+$K$1*K66+$L$1*L66+$M$1*M66+$N$1*N66+$O$1*O66+$P$1*P66+$Q$1*Q66+$R$1*R66+$S$1*S66+$T$1*T66+$U$1*U66+$V$1*V66+$W$1*W66+$X$1*X66+$Y$1*Y66+$Z$1*Z66+$AA$1*AA66+$AB$1*AB66+$AC$1*AC66+$AD$1*AD66</f>
        <v>10</v>
      </c>
      <c r="G66" s="32"/>
      <c r="H66" s="32"/>
      <c r="I66" s="32"/>
      <c r="J66" s="32"/>
      <c r="K66" s="32"/>
      <c r="L66" s="32">
        <v>1</v>
      </c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>
        <v>22.75</v>
      </c>
      <c r="AF66" s="18">
        <f t="shared" ref="AF66:AF129" si="4">+$AG$1*AG66</f>
        <v>0</v>
      </c>
      <c r="AG66" s="32"/>
      <c r="AH66" s="30">
        <v>0</v>
      </c>
      <c r="AI66" s="14">
        <f t="shared" ref="AI66:AI129" si="5">+F66*AE66+AF66*AH66</f>
        <v>227.5</v>
      </c>
    </row>
    <row r="67" spans="1:42" s="26" customFormat="1" ht="17.25" customHeight="1">
      <c r="A67" s="28" t="s">
        <v>662</v>
      </c>
      <c r="B67" s="28" t="s">
        <v>622</v>
      </c>
      <c r="C67" s="28"/>
      <c r="D67" s="28" t="s">
        <v>1035</v>
      </c>
      <c r="E67" s="31" t="s">
        <v>748</v>
      </c>
      <c r="F67" s="28">
        <f t="shared" si="3"/>
        <v>10</v>
      </c>
      <c r="G67" s="32"/>
      <c r="H67" s="32"/>
      <c r="I67" s="32"/>
      <c r="J67" s="32"/>
      <c r="K67" s="32"/>
      <c r="L67" s="32">
        <v>1</v>
      </c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>
        <v>22.75</v>
      </c>
      <c r="AF67" s="18">
        <f t="shared" si="4"/>
        <v>0</v>
      </c>
      <c r="AG67" s="32"/>
      <c r="AH67" s="30">
        <v>0</v>
      </c>
      <c r="AI67" s="14">
        <f t="shared" si="5"/>
        <v>227.5</v>
      </c>
    </row>
    <row r="68" spans="1:42" s="26" customFormat="1">
      <c r="A68" s="28" t="s">
        <v>662</v>
      </c>
      <c r="B68" s="28" t="s">
        <v>622</v>
      </c>
      <c r="C68" s="28"/>
      <c r="D68" s="28" t="s">
        <v>631</v>
      </c>
      <c r="E68" s="31" t="s">
        <v>751</v>
      </c>
      <c r="F68" s="28">
        <f t="shared" si="3"/>
        <v>10</v>
      </c>
      <c r="G68" s="32"/>
      <c r="H68" s="32"/>
      <c r="I68" s="32"/>
      <c r="J68" s="32"/>
      <c r="K68" s="32"/>
      <c r="L68" s="32">
        <v>1</v>
      </c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>
        <v>22.75</v>
      </c>
      <c r="AF68" s="18">
        <f t="shared" si="4"/>
        <v>0</v>
      </c>
      <c r="AG68" s="32"/>
      <c r="AH68" s="30">
        <v>0</v>
      </c>
      <c r="AI68" s="14">
        <f t="shared" si="5"/>
        <v>227.5</v>
      </c>
    </row>
    <row r="69" spans="1:42" s="26" customFormat="1">
      <c r="A69" s="28" t="s">
        <v>662</v>
      </c>
      <c r="B69" s="28" t="s">
        <v>620</v>
      </c>
      <c r="C69" s="28"/>
      <c r="D69" s="28" t="s">
        <v>1184</v>
      </c>
      <c r="E69" s="31" t="s">
        <v>250</v>
      </c>
      <c r="F69" s="28">
        <f t="shared" si="3"/>
        <v>40</v>
      </c>
      <c r="G69" s="32"/>
      <c r="H69" s="32"/>
      <c r="I69" s="32"/>
      <c r="J69" s="32"/>
      <c r="K69" s="32"/>
      <c r="L69" s="32"/>
      <c r="M69" s="32"/>
      <c r="N69" s="32">
        <v>8</v>
      </c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>
        <v>125</v>
      </c>
      <c r="AF69" s="18">
        <f t="shared" si="4"/>
        <v>0</v>
      </c>
      <c r="AG69" s="32"/>
      <c r="AH69" s="30">
        <v>0</v>
      </c>
      <c r="AI69" s="14">
        <f t="shared" si="5"/>
        <v>5000</v>
      </c>
    </row>
    <row r="70" spans="1:42" s="26" customFormat="1">
      <c r="A70" s="28" t="s">
        <v>662</v>
      </c>
      <c r="B70" s="28" t="s">
        <v>620</v>
      </c>
      <c r="C70" s="28"/>
      <c r="D70" s="28" t="s">
        <v>632</v>
      </c>
      <c r="E70" s="31" t="s">
        <v>248</v>
      </c>
      <c r="F70" s="28">
        <f t="shared" si="3"/>
        <v>40</v>
      </c>
      <c r="G70" s="32"/>
      <c r="H70" s="32"/>
      <c r="I70" s="32"/>
      <c r="J70" s="32"/>
      <c r="K70" s="32"/>
      <c r="L70" s="32"/>
      <c r="M70" s="32"/>
      <c r="N70" s="32">
        <v>8</v>
      </c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>
        <v>65</v>
      </c>
      <c r="AF70" s="18">
        <f t="shared" si="4"/>
        <v>0</v>
      </c>
      <c r="AG70" s="32"/>
      <c r="AH70" s="30">
        <v>0</v>
      </c>
      <c r="AI70" s="14">
        <f t="shared" si="5"/>
        <v>2600</v>
      </c>
    </row>
    <row r="71" spans="1:42" s="26" customFormat="1">
      <c r="A71" s="28" t="s">
        <v>662</v>
      </c>
      <c r="B71" s="28" t="s">
        <v>620</v>
      </c>
      <c r="C71" s="28"/>
      <c r="D71" s="28" t="s">
        <v>937</v>
      </c>
      <c r="E71" s="31" t="s">
        <v>249</v>
      </c>
      <c r="F71" s="28">
        <f t="shared" si="3"/>
        <v>35</v>
      </c>
      <c r="G71" s="32"/>
      <c r="H71" s="32"/>
      <c r="I71" s="32"/>
      <c r="J71" s="32"/>
      <c r="K71" s="32"/>
      <c r="L71" s="32"/>
      <c r="M71" s="32"/>
      <c r="N71" s="32">
        <v>7</v>
      </c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>
        <v>125</v>
      </c>
      <c r="AF71" s="18">
        <f t="shared" si="4"/>
        <v>0</v>
      </c>
      <c r="AG71" s="32"/>
      <c r="AH71" s="30">
        <v>0</v>
      </c>
      <c r="AI71" s="14">
        <f t="shared" si="5"/>
        <v>4375</v>
      </c>
    </row>
    <row r="72" spans="1:42" s="26" customFormat="1">
      <c r="A72" s="28" t="s">
        <v>662</v>
      </c>
      <c r="B72" s="28" t="s">
        <v>620</v>
      </c>
      <c r="C72" s="28"/>
      <c r="D72" s="28" t="s">
        <v>940</v>
      </c>
      <c r="E72" s="31" t="s">
        <v>251</v>
      </c>
      <c r="F72" s="28">
        <f t="shared" si="3"/>
        <v>30</v>
      </c>
      <c r="G72" s="32"/>
      <c r="H72" s="32"/>
      <c r="I72" s="32"/>
      <c r="J72" s="32"/>
      <c r="K72" s="32"/>
      <c r="L72" s="32"/>
      <c r="M72" s="32"/>
      <c r="N72" s="32">
        <v>6</v>
      </c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>
        <v>125</v>
      </c>
      <c r="AF72" s="18">
        <f t="shared" si="4"/>
        <v>0</v>
      </c>
      <c r="AG72" s="32"/>
      <c r="AH72" s="30">
        <v>0</v>
      </c>
      <c r="AI72" s="14">
        <f t="shared" si="5"/>
        <v>3750</v>
      </c>
    </row>
    <row r="73" spans="1:42" s="26" customFormat="1">
      <c r="A73" s="28" t="s">
        <v>663</v>
      </c>
      <c r="B73" s="28" t="s">
        <v>646</v>
      </c>
      <c r="C73" s="28"/>
      <c r="D73" s="28" t="s">
        <v>1056</v>
      </c>
      <c r="E73" s="31" t="s">
        <v>670</v>
      </c>
      <c r="F73" s="28">
        <f t="shared" si="3"/>
        <v>40</v>
      </c>
      <c r="G73" s="32"/>
      <c r="H73" s="32"/>
      <c r="I73" s="32"/>
      <c r="J73" s="32"/>
      <c r="K73" s="32"/>
      <c r="L73" s="32">
        <v>4</v>
      </c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>
        <v>0</v>
      </c>
      <c r="AF73" s="18">
        <f t="shared" si="4"/>
        <v>0</v>
      </c>
      <c r="AG73" s="32"/>
      <c r="AH73" s="30">
        <v>0</v>
      </c>
      <c r="AI73" s="14">
        <f t="shared" si="5"/>
        <v>0</v>
      </c>
      <c r="AJ73" s="33"/>
      <c r="AK73" s="33"/>
      <c r="AL73" s="33"/>
      <c r="AM73" s="33"/>
      <c r="AN73" s="33"/>
      <c r="AO73" s="33"/>
      <c r="AP73" s="33"/>
    </row>
    <row r="74" spans="1:42" s="26" customFormat="1">
      <c r="A74" s="28" t="s">
        <v>663</v>
      </c>
      <c r="B74" s="28" t="s">
        <v>646</v>
      </c>
      <c r="C74" s="28"/>
      <c r="D74" s="28" t="s">
        <v>1013</v>
      </c>
      <c r="E74" s="31" t="s">
        <v>953</v>
      </c>
      <c r="F74" s="28">
        <f t="shared" si="3"/>
        <v>22</v>
      </c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>
        <v>11</v>
      </c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>
        <v>800</v>
      </c>
      <c r="AF74" s="18">
        <f t="shared" si="4"/>
        <v>0</v>
      </c>
      <c r="AG74" s="32"/>
      <c r="AH74" s="30">
        <v>0</v>
      </c>
      <c r="AI74" s="14">
        <f t="shared" si="5"/>
        <v>17600</v>
      </c>
      <c r="AJ74" s="33"/>
      <c r="AK74" s="33"/>
      <c r="AL74" s="33"/>
      <c r="AM74" s="33"/>
      <c r="AN74" s="33"/>
      <c r="AO74" s="33"/>
      <c r="AP74" s="33"/>
    </row>
    <row r="75" spans="1:42" s="26" customFormat="1">
      <c r="A75" s="28" t="s">
        <v>663</v>
      </c>
      <c r="B75" s="28" t="s">
        <v>646</v>
      </c>
      <c r="C75" s="28"/>
      <c r="D75" s="28" t="s">
        <v>1014</v>
      </c>
      <c r="E75" s="31" t="s">
        <v>667</v>
      </c>
      <c r="F75" s="28">
        <f t="shared" si="3"/>
        <v>11.5</v>
      </c>
      <c r="G75" s="32"/>
      <c r="H75" s="32"/>
      <c r="I75" s="32"/>
      <c r="J75" s="32"/>
      <c r="K75" s="32"/>
      <c r="L75" s="32"/>
      <c r="M75" s="32"/>
      <c r="N75" s="32">
        <v>2</v>
      </c>
      <c r="O75" s="32"/>
      <c r="P75" s="32"/>
      <c r="Q75" s="32"/>
      <c r="R75" s="32"/>
      <c r="S75" s="32"/>
      <c r="T75" s="32">
        <v>1.5</v>
      </c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>
        <v>800</v>
      </c>
      <c r="AF75" s="18">
        <f t="shared" si="4"/>
        <v>0</v>
      </c>
      <c r="AG75" s="32"/>
      <c r="AH75" s="30">
        <v>0</v>
      </c>
      <c r="AI75" s="14">
        <f t="shared" si="5"/>
        <v>9200</v>
      </c>
      <c r="AJ75" s="33"/>
      <c r="AK75" s="33"/>
      <c r="AL75" s="33"/>
      <c r="AM75" s="33"/>
      <c r="AN75" s="33"/>
      <c r="AO75" s="33"/>
      <c r="AP75" s="33"/>
    </row>
    <row r="76" spans="1:42" s="26" customFormat="1">
      <c r="A76" s="28" t="s">
        <v>663</v>
      </c>
      <c r="B76" s="28" t="s">
        <v>646</v>
      </c>
      <c r="C76" s="28"/>
      <c r="D76" s="28" t="s">
        <v>1053</v>
      </c>
      <c r="E76" s="31" t="s">
        <v>671</v>
      </c>
      <c r="F76" s="28">
        <f t="shared" si="3"/>
        <v>10</v>
      </c>
      <c r="G76" s="32"/>
      <c r="H76" s="32"/>
      <c r="I76" s="32"/>
      <c r="J76" s="32"/>
      <c r="K76" s="32"/>
      <c r="L76" s="32">
        <v>1</v>
      </c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>
        <v>0</v>
      </c>
      <c r="AF76" s="18">
        <f t="shared" si="4"/>
        <v>0</v>
      </c>
      <c r="AG76" s="32"/>
      <c r="AH76" s="30">
        <v>0</v>
      </c>
      <c r="AI76" s="14">
        <f t="shared" si="5"/>
        <v>0</v>
      </c>
      <c r="AJ76" s="33"/>
      <c r="AK76" s="33"/>
      <c r="AL76" s="33"/>
      <c r="AM76" s="33"/>
      <c r="AN76" s="33"/>
      <c r="AO76" s="33"/>
      <c r="AP76" s="33"/>
    </row>
    <row r="77" spans="1:42" s="26" customFormat="1">
      <c r="A77" s="28" t="s">
        <v>663</v>
      </c>
      <c r="B77" s="28" t="s">
        <v>646</v>
      </c>
      <c r="C77" s="28"/>
      <c r="D77" s="28" t="s">
        <v>1054</v>
      </c>
      <c r="E77" s="31" t="s">
        <v>672</v>
      </c>
      <c r="F77" s="28">
        <f t="shared" si="3"/>
        <v>10</v>
      </c>
      <c r="G77" s="32"/>
      <c r="H77" s="32"/>
      <c r="I77" s="32"/>
      <c r="J77" s="32"/>
      <c r="K77" s="32"/>
      <c r="L77" s="32">
        <v>1</v>
      </c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>
        <v>0</v>
      </c>
      <c r="AF77" s="18">
        <f t="shared" si="4"/>
        <v>0</v>
      </c>
      <c r="AG77" s="32"/>
      <c r="AH77" s="30">
        <v>0</v>
      </c>
      <c r="AI77" s="14">
        <f t="shared" si="5"/>
        <v>0</v>
      </c>
      <c r="AJ77" s="33"/>
      <c r="AK77" s="33"/>
      <c r="AL77" s="33"/>
      <c r="AM77" s="33"/>
      <c r="AN77" s="33"/>
      <c r="AO77" s="33"/>
      <c r="AP77" s="33"/>
    </row>
    <row r="78" spans="1:42" s="26" customFormat="1">
      <c r="A78" s="28" t="s">
        <v>663</v>
      </c>
      <c r="B78" s="28" t="s">
        <v>646</v>
      </c>
      <c r="C78" s="28"/>
      <c r="D78" s="28" t="s">
        <v>1055</v>
      </c>
      <c r="E78" s="31" t="s">
        <v>669</v>
      </c>
      <c r="F78" s="28">
        <f t="shared" si="3"/>
        <v>10</v>
      </c>
      <c r="G78" s="32"/>
      <c r="H78" s="32"/>
      <c r="I78" s="32"/>
      <c r="J78" s="32"/>
      <c r="K78" s="32"/>
      <c r="L78" s="32">
        <v>1</v>
      </c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>
        <v>0</v>
      </c>
      <c r="AF78" s="18">
        <f t="shared" si="4"/>
        <v>0</v>
      </c>
      <c r="AG78" s="32"/>
      <c r="AH78" s="30">
        <v>0</v>
      </c>
      <c r="AI78" s="14">
        <f t="shared" si="5"/>
        <v>0</v>
      </c>
      <c r="AJ78" s="33"/>
      <c r="AK78" s="33"/>
      <c r="AL78" s="33"/>
      <c r="AM78" s="33"/>
      <c r="AN78" s="33"/>
      <c r="AO78" s="33"/>
      <c r="AP78" s="33"/>
    </row>
    <row r="79" spans="1:42" s="26" customFormat="1">
      <c r="A79" s="26" t="s">
        <v>663</v>
      </c>
      <c r="B79" s="26" t="s">
        <v>646</v>
      </c>
      <c r="D79" s="26" t="s">
        <v>1012</v>
      </c>
      <c r="E79" s="27" t="s">
        <v>973</v>
      </c>
      <c r="F79" s="28">
        <f t="shared" si="3"/>
        <v>2</v>
      </c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>
        <v>2</v>
      </c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4">
        <v>1404</v>
      </c>
      <c r="AF79" s="18">
        <f t="shared" si="4"/>
        <v>0</v>
      </c>
      <c r="AG79" s="29"/>
      <c r="AH79" s="30">
        <v>0</v>
      </c>
      <c r="AI79" s="14">
        <f t="shared" si="5"/>
        <v>2808</v>
      </c>
      <c r="AJ79"/>
      <c r="AK79"/>
      <c r="AL79"/>
      <c r="AM79"/>
      <c r="AN79"/>
      <c r="AO79"/>
      <c r="AP79"/>
    </row>
    <row r="80" spans="1:42" s="26" customFormat="1">
      <c r="A80" s="28" t="s">
        <v>663</v>
      </c>
      <c r="B80" s="28" t="s">
        <v>646</v>
      </c>
      <c r="C80" s="28"/>
      <c r="D80" s="28" t="s">
        <v>1250</v>
      </c>
      <c r="E80" s="31" t="s">
        <v>666</v>
      </c>
      <c r="F80" s="28">
        <f t="shared" si="3"/>
        <v>1</v>
      </c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>
        <v>1</v>
      </c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4">
        <v>0</v>
      </c>
      <c r="AF80" s="18">
        <f t="shared" si="4"/>
        <v>0</v>
      </c>
      <c r="AG80" s="32"/>
      <c r="AH80" s="30">
        <v>0</v>
      </c>
      <c r="AI80" s="14">
        <f t="shared" si="5"/>
        <v>0</v>
      </c>
      <c r="AJ80" s="33"/>
      <c r="AK80" s="33"/>
      <c r="AL80" s="33"/>
      <c r="AM80" s="33"/>
      <c r="AN80" s="33"/>
      <c r="AO80" s="33"/>
      <c r="AP80" s="33"/>
    </row>
    <row r="81" spans="1:42" s="26" customFormat="1">
      <c r="A81" s="26" t="s">
        <v>663</v>
      </c>
      <c r="B81" s="26" t="s">
        <v>646</v>
      </c>
      <c r="D81" s="26" t="s">
        <v>1048</v>
      </c>
      <c r="E81" s="27" t="s">
        <v>1049</v>
      </c>
      <c r="F81" s="28">
        <f t="shared" si="3"/>
        <v>0.9</v>
      </c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>
        <v>0.9</v>
      </c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14">
        <v>1560</v>
      </c>
      <c r="AF81" s="18">
        <f t="shared" si="4"/>
        <v>0</v>
      </c>
      <c r="AG81" s="29"/>
      <c r="AH81" s="30">
        <v>0</v>
      </c>
      <c r="AI81" s="14">
        <f t="shared" si="5"/>
        <v>1404</v>
      </c>
      <c r="AJ81"/>
      <c r="AK81"/>
      <c r="AL81"/>
      <c r="AM81"/>
      <c r="AN81"/>
      <c r="AO81"/>
      <c r="AP81"/>
    </row>
    <row r="82" spans="1:42" s="26" customFormat="1">
      <c r="A82" s="28" t="s">
        <v>663</v>
      </c>
      <c r="B82" s="28" t="s">
        <v>646</v>
      </c>
      <c r="C82" s="28"/>
      <c r="D82" s="28" t="s">
        <v>665</v>
      </c>
      <c r="E82" s="31" t="s">
        <v>945</v>
      </c>
      <c r="F82" s="28">
        <f t="shared" si="3"/>
        <v>0.25</v>
      </c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>
        <v>1</v>
      </c>
      <c r="W82" s="32"/>
      <c r="X82" s="32"/>
      <c r="Y82" s="32"/>
      <c r="Z82" s="32"/>
      <c r="AA82" s="32"/>
      <c r="AB82" s="32"/>
      <c r="AC82" s="32"/>
      <c r="AD82" s="32"/>
      <c r="AE82" s="34">
        <v>800</v>
      </c>
      <c r="AF82" s="18">
        <f t="shared" si="4"/>
        <v>0</v>
      </c>
      <c r="AG82" s="32"/>
      <c r="AH82" s="30">
        <v>0</v>
      </c>
      <c r="AI82" s="14">
        <f t="shared" si="5"/>
        <v>200</v>
      </c>
      <c r="AJ82" s="33"/>
      <c r="AK82" s="33"/>
      <c r="AL82" s="33"/>
      <c r="AM82" s="33"/>
      <c r="AN82" s="33"/>
      <c r="AO82" s="33"/>
      <c r="AP82" s="33"/>
    </row>
    <row r="83" spans="1:42" s="26" customFormat="1">
      <c r="A83" s="28" t="s">
        <v>663</v>
      </c>
      <c r="B83" s="28" t="s">
        <v>651</v>
      </c>
      <c r="C83" s="28"/>
      <c r="D83" s="28" t="s">
        <v>1247</v>
      </c>
      <c r="E83" s="31" t="s">
        <v>668</v>
      </c>
      <c r="F83" s="28">
        <f t="shared" si="3"/>
        <v>5</v>
      </c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>
        <v>5</v>
      </c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4">
        <v>200</v>
      </c>
      <c r="AF83" s="18">
        <f t="shared" si="4"/>
        <v>0</v>
      </c>
      <c r="AG83" s="32"/>
      <c r="AH83" s="30">
        <v>0</v>
      </c>
      <c r="AI83" s="14">
        <f t="shared" si="5"/>
        <v>1000</v>
      </c>
      <c r="AJ83" s="33"/>
      <c r="AK83" s="33"/>
      <c r="AL83" s="33"/>
      <c r="AM83" s="33"/>
      <c r="AN83" s="33"/>
      <c r="AO83" s="33"/>
      <c r="AP83" s="33"/>
    </row>
    <row r="84" spans="1:42" s="26" customFormat="1">
      <c r="A84" s="26" t="s">
        <v>663</v>
      </c>
      <c r="B84" s="26" t="s">
        <v>651</v>
      </c>
      <c r="D84" s="26" t="s">
        <v>1248</v>
      </c>
      <c r="E84" s="27" t="s">
        <v>1245</v>
      </c>
      <c r="F84" s="28">
        <f t="shared" si="3"/>
        <v>4</v>
      </c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>
        <v>4</v>
      </c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34">
        <v>508</v>
      </c>
      <c r="AF84" s="18">
        <f t="shared" si="4"/>
        <v>0</v>
      </c>
      <c r="AG84" s="29"/>
      <c r="AH84" s="30">
        <v>0</v>
      </c>
      <c r="AI84" s="14">
        <f t="shared" si="5"/>
        <v>2032</v>
      </c>
      <c r="AJ84"/>
      <c r="AK84">
        <v>508</v>
      </c>
      <c r="AL84"/>
      <c r="AM84"/>
      <c r="AN84">
        <v>200</v>
      </c>
      <c r="AO84"/>
      <c r="AP84"/>
    </row>
    <row r="85" spans="1:42" s="26" customFormat="1">
      <c r="A85" s="26" t="s">
        <v>663</v>
      </c>
      <c r="B85" s="26" t="s">
        <v>651</v>
      </c>
      <c r="D85" s="26" t="s">
        <v>1249</v>
      </c>
      <c r="E85" s="27" t="s">
        <v>1265</v>
      </c>
      <c r="F85" s="28">
        <f t="shared" si="3"/>
        <v>2</v>
      </c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>
        <v>2</v>
      </c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34">
        <v>2000</v>
      </c>
      <c r="AF85" s="18">
        <f t="shared" si="4"/>
        <v>0</v>
      </c>
      <c r="AG85" s="29"/>
      <c r="AH85" s="30">
        <v>0</v>
      </c>
      <c r="AI85" s="14">
        <f t="shared" si="5"/>
        <v>4000</v>
      </c>
      <c r="AJ85"/>
      <c r="AK85"/>
      <c r="AL85"/>
      <c r="AM85"/>
      <c r="AN85"/>
      <c r="AO85"/>
      <c r="AP85"/>
    </row>
    <row r="86" spans="1:42" s="26" customFormat="1">
      <c r="A86" s="28" t="s">
        <v>663</v>
      </c>
      <c r="B86" s="28" t="s">
        <v>651</v>
      </c>
      <c r="C86" s="28"/>
      <c r="D86" s="28" t="s">
        <v>1416</v>
      </c>
      <c r="E86" s="31" t="s">
        <v>1417</v>
      </c>
      <c r="F86" s="28">
        <f t="shared" si="3"/>
        <v>0.05</v>
      </c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>
        <v>1</v>
      </c>
      <c r="AD86" s="32"/>
      <c r="AE86" s="34"/>
      <c r="AF86" s="18">
        <f t="shared" si="4"/>
        <v>0</v>
      </c>
      <c r="AG86" s="32"/>
      <c r="AH86" s="30">
        <v>0</v>
      </c>
      <c r="AI86" s="14">
        <f t="shared" si="5"/>
        <v>0</v>
      </c>
    </row>
    <row r="87" spans="1:42" s="26" customFormat="1">
      <c r="A87" s="28" t="s">
        <v>663</v>
      </c>
      <c r="B87" s="28" t="s">
        <v>651</v>
      </c>
      <c r="C87" s="28"/>
      <c r="D87" s="28" t="s">
        <v>1246</v>
      </c>
      <c r="E87" s="31" t="s">
        <v>1239</v>
      </c>
      <c r="F87" s="28">
        <f t="shared" si="3"/>
        <v>0</v>
      </c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>
        <v>0</v>
      </c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4">
        <v>508</v>
      </c>
      <c r="AF87" s="18">
        <f t="shared" si="4"/>
        <v>0</v>
      </c>
      <c r="AG87" s="32"/>
      <c r="AH87" s="30">
        <v>0</v>
      </c>
      <c r="AI87" s="14">
        <f t="shared" si="5"/>
        <v>0</v>
      </c>
      <c r="AJ87" s="33"/>
      <c r="AK87" s="33"/>
      <c r="AL87" s="33"/>
      <c r="AM87" s="33"/>
      <c r="AN87" s="33"/>
      <c r="AO87" s="33"/>
      <c r="AP87" s="33"/>
    </row>
    <row r="88" spans="1:42" s="26" customFormat="1">
      <c r="A88" s="26" t="s">
        <v>663</v>
      </c>
      <c r="B88" s="26" t="s">
        <v>627</v>
      </c>
      <c r="D88" s="26" t="s">
        <v>1085</v>
      </c>
      <c r="E88" s="27" t="s">
        <v>1066</v>
      </c>
      <c r="F88" s="28">
        <f t="shared" si="3"/>
        <v>10</v>
      </c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>
        <v>10</v>
      </c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0">
        <v>146.4</v>
      </c>
      <c r="AF88" s="18">
        <f t="shared" si="4"/>
        <v>0</v>
      </c>
      <c r="AG88" s="29"/>
      <c r="AH88" s="30">
        <v>0</v>
      </c>
      <c r="AI88" s="14">
        <f t="shared" si="5"/>
        <v>1464</v>
      </c>
      <c r="AJ88"/>
      <c r="AK88"/>
      <c r="AL88"/>
      <c r="AM88"/>
      <c r="AN88"/>
      <c r="AO88"/>
      <c r="AP88"/>
    </row>
    <row r="89" spans="1:42" s="26" customFormat="1">
      <c r="A89" s="28" t="s">
        <v>663</v>
      </c>
      <c r="B89" s="28" t="s">
        <v>627</v>
      </c>
      <c r="C89" s="28"/>
      <c r="D89" s="26" t="s">
        <v>1192</v>
      </c>
      <c r="E89" s="31" t="s">
        <v>1068</v>
      </c>
      <c r="F89" s="28">
        <f t="shared" si="3"/>
        <v>10</v>
      </c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>
        <v>10</v>
      </c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4">
        <v>146.4</v>
      </c>
      <c r="AF89" s="18">
        <f t="shared" si="4"/>
        <v>0</v>
      </c>
      <c r="AG89" s="32"/>
      <c r="AH89" s="30">
        <v>0</v>
      </c>
      <c r="AI89" s="14">
        <f t="shared" si="5"/>
        <v>1464</v>
      </c>
      <c r="AP89"/>
    </row>
    <row r="90" spans="1:42" s="26" customFormat="1">
      <c r="A90" s="26" t="s">
        <v>663</v>
      </c>
      <c r="B90" s="26" t="s">
        <v>627</v>
      </c>
      <c r="D90" s="26" t="s">
        <v>1086</v>
      </c>
      <c r="E90" s="27" t="s">
        <v>1067</v>
      </c>
      <c r="F90" s="28">
        <f t="shared" si="3"/>
        <v>10</v>
      </c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>
        <v>10</v>
      </c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0">
        <v>146.4</v>
      </c>
      <c r="AF90" s="18">
        <f t="shared" si="4"/>
        <v>0</v>
      </c>
      <c r="AG90" s="29"/>
      <c r="AH90" s="30">
        <v>0</v>
      </c>
      <c r="AI90" s="14">
        <f t="shared" si="5"/>
        <v>1464</v>
      </c>
      <c r="AJ90"/>
      <c r="AK90"/>
      <c r="AL90"/>
      <c r="AM90"/>
      <c r="AN90"/>
      <c r="AO90"/>
      <c r="AP90"/>
    </row>
    <row r="91" spans="1:42" s="26" customFormat="1">
      <c r="A91" s="26" t="s">
        <v>663</v>
      </c>
      <c r="B91" s="26" t="s">
        <v>627</v>
      </c>
      <c r="D91" s="26" t="s">
        <v>1087</v>
      </c>
      <c r="E91" s="27" t="s">
        <v>1088</v>
      </c>
      <c r="F91" s="28">
        <f t="shared" si="3"/>
        <v>10</v>
      </c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>
        <v>10</v>
      </c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0">
        <v>146.4</v>
      </c>
      <c r="AF91" s="18">
        <f t="shared" si="4"/>
        <v>0</v>
      </c>
      <c r="AG91" s="29"/>
      <c r="AH91" s="30">
        <v>0</v>
      </c>
      <c r="AI91" s="14">
        <f t="shared" si="5"/>
        <v>1464</v>
      </c>
      <c r="AJ91"/>
      <c r="AK91"/>
      <c r="AL91"/>
      <c r="AM91"/>
      <c r="AN91"/>
      <c r="AO91"/>
      <c r="AP91"/>
    </row>
    <row r="92" spans="1:42" s="26" customFormat="1">
      <c r="A92" s="28" t="s">
        <v>663</v>
      </c>
      <c r="B92" s="28" t="s">
        <v>636</v>
      </c>
      <c r="C92" s="28"/>
      <c r="D92" s="28" t="s">
        <v>1419</v>
      </c>
      <c r="E92" s="31" t="s">
        <v>1418</v>
      </c>
      <c r="F92" s="28">
        <f t="shared" si="3"/>
        <v>9.3000000000000007</v>
      </c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>
        <v>4</v>
      </c>
      <c r="U92" s="32"/>
      <c r="V92" s="32">
        <v>18</v>
      </c>
      <c r="W92" s="32"/>
      <c r="X92" s="32">
        <v>8</v>
      </c>
      <c r="Y92" s="32"/>
      <c r="Z92" s="32"/>
      <c r="AA92" s="32"/>
      <c r="AB92" s="32"/>
      <c r="AC92" s="32"/>
      <c r="AD92" s="32"/>
      <c r="AE92" s="14">
        <v>350</v>
      </c>
      <c r="AF92" s="18">
        <f t="shared" si="4"/>
        <v>0</v>
      </c>
      <c r="AG92" s="32"/>
      <c r="AH92" s="30">
        <v>0</v>
      </c>
      <c r="AI92" s="14">
        <f t="shared" si="5"/>
        <v>3255.0000000000005</v>
      </c>
    </row>
    <row r="93" spans="1:42" s="26" customFormat="1">
      <c r="A93" s="28" t="s">
        <v>663</v>
      </c>
      <c r="B93" s="28" t="s">
        <v>616</v>
      </c>
      <c r="C93" s="28"/>
      <c r="D93" s="28" t="s">
        <v>687</v>
      </c>
      <c r="E93" s="31" t="s">
        <v>688</v>
      </c>
      <c r="F93" s="28">
        <f t="shared" si="3"/>
        <v>14</v>
      </c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>
        <v>12</v>
      </c>
      <c r="U93" s="32"/>
      <c r="V93" s="32">
        <v>8</v>
      </c>
      <c r="W93" s="32"/>
      <c r="X93" s="32"/>
      <c r="Y93" s="32"/>
      <c r="Z93" s="32"/>
      <c r="AA93" s="32"/>
      <c r="AB93" s="32"/>
      <c r="AC93" s="32"/>
      <c r="AD93" s="32"/>
      <c r="AE93" s="34">
        <v>725</v>
      </c>
      <c r="AF93" s="18">
        <f t="shared" si="4"/>
        <v>0</v>
      </c>
      <c r="AG93" s="32"/>
      <c r="AH93" s="30">
        <v>0</v>
      </c>
      <c r="AI93" s="14">
        <f t="shared" si="5"/>
        <v>10150</v>
      </c>
      <c r="AJ93" s="33"/>
      <c r="AK93" s="33"/>
      <c r="AL93" s="33"/>
      <c r="AM93" s="33"/>
      <c r="AN93" s="33"/>
      <c r="AO93" s="33"/>
      <c r="AP93" s="33"/>
    </row>
    <row r="94" spans="1:42" s="26" customFormat="1">
      <c r="A94" s="28" t="s">
        <v>663</v>
      </c>
      <c r="B94" s="28" t="s">
        <v>616</v>
      </c>
      <c r="C94" s="28"/>
      <c r="D94" s="28" t="s">
        <v>659</v>
      </c>
      <c r="E94" s="31" t="s">
        <v>673</v>
      </c>
      <c r="F94" s="28">
        <f t="shared" si="3"/>
        <v>11</v>
      </c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>
        <v>11</v>
      </c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4">
        <v>175</v>
      </c>
      <c r="AF94" s="18">
        <f t="shared" si="4"/>
        <v>0</v>
      </c>
      <c r="AG94" s="32"/>
      <c r="AH94" s="30">
        <v>0</v>
      </c>
      <c r="AI94" s="14">
        <f t="shared" si="5"/>
        <v>1925</v>
      </c>
      <c r="AJ94" s="33"/>
      <c r="AK94" s="33"/>
      <c r="AL94" s="33"/>
      <c r="AM94" s="33"/>
      <c r="AN94" s="33"/>
      <c r="AO94" s="33"/>
      <c r="AP94" s="33"/>
    </row>
    <row r="95" spans="1:42" s="26" customFormat="1">
      <c r="A95" s="28" t="s">
        <v>663</v>
      </c>
      <c r="B95" s="28" t="s">
        <v>616</v>
      </c>
      <c r="C95" s="28"/>
      <c r="D95" s="28" t="s">
        <v>1139</v>
      </c>
      <c r="E95" s="31" t="s">
        <v>859</v>
      </c>
      <c r="F95" s="28">
        <f t="shared" si="3"/>
        <v>5</v>
      </c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>
        <v>5</v>
      </c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4">
        <v>285</v>
      </c>
      <c r="AF95" s="18">
        <f t="shared" si="4"/>
        <v>0</v>
      </c>
      <c r="AG95" s="32"/>
      <c r="AH95" s="30">
        <v>0</v>
      </c>
      <c r="AI95" s="14">
        <f t="shared" si="5"/>
        <v>1425</v>
      </c>
      <c r="AJ95" s="33"/>
      <c r="AK95" s="33"/>
      <c r="AL95" s="33"/>
      <c r="AM95" s="33"/>
      <c r="AN95" s="33"/>
      <c r="AO95" s="33"/>
      <c r="AP95" s="33"/>
    </row>
    <row r="96" spans="1:42" s="26" customFormat="1">
      <c r="A96" s="28" t="s">
        <v>663</v>
      </c>
      <c r="B96" s="28" t="s">
        <v>616</v>
      </c>
      <c r="C96" s="28"/>
      <c r="D96" s="28" t="s">
        <v>660</v>
      </c>
      <c r="E96" s="31" t="s">
        <v>674</v>
      </c>
      <c r="F96" s="28">
        <f t="shared" si="3"/>
        <v>4.1500000000000004</v>
      </c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>
        <v>2</v>
      </c>
      <c r="U96" s="32"/>
      <c r="V96" s="32">
        <v>7</v>
      </c>
      <c r="W96" s="32"/>
      <c r="X96" s="32">
        <v>4</v>
      </c>
      <c r="Y96" s="32"/>
      <c r="Z96" s="32"/>
      <c r="AA96" s="32"/>
      <c r="AB96" s="32"/>
      <c r="AC96" s="32"/>
      <c r="AD96" s="32"/>
      <c r="AE96" s="34"/>
      <c r="AF96" s="18">
        <f t="shared" si="4"/>
        <v>0</v>
      </c>
      <c r="AG96" s="32"/>
      <c r="AH96" s="30">
        <v>0</v>
      </c>
      <c r="AI96" s="14">
        <f t="shared" si="5"/>
        <v>0</v>
      </c>
      <c r="AJ96" s="33"/>
      <c r="AK96" s="33"/>
      <c r="AL96" s="33"/>
      <c r="AM96" s="33"/>
      <c r="AN96" s="33"/>
      <c r="AO96" s="33"/>
      <c r="AP96" s="33"/>
    </row>
    <row r="97" spans="1:42" s="26" customFormat="1">
      <c r="A97" s="28" t="s">
        <v>663</v>
      </c>
      <c r="B97" s="28" t="s">
        <v>616</v>
      </c>
      <c r="C97" s="28"/>
      <c r="D97" s="28" t="s">
        <v>656</v>
      </c>
      <c r="E97" s="31" t="s">
        <v>682</v>
      </c>
      <c r="F97" s="28">
        <f t="shared" si="3"/>
        <v>2</v>
      </c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>
        <v>2</v>
      </c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4"/>
      <c r="AF97" s="18">
        <f t="shared" si="4"/>
        <v>0</v>
      </c>
      <c r="AG97" s="32"/>
      <c r="AH97" s="30">
        <v>0</v>
      </c>
      <c r="AI97" s="14">
        <f t="shared" si="5"/>
        <v>0</v>
      </c>
      <c r="AJ97" s="33"/>
      <c r="AK97" s="33"/>
      <c r="AL97" s="33"/>
      <c r="AM97" s="33"/>
      <c r="AN97" s="33"/>
      <c r="AO97" s="33"/>
      <c r="AP97" s="33"/>
    </row>
    <row r="98" spans="1:42" s="26" customFormat="1">
      <c r="A98" s="28" t="s">
        <v>663</v>
      </c>
      <c r="B98" s="28" t="s">
        <v>616</v>
      </c>
      <c r="C98" s="28"/>
      <c r="D98" s="28" t="s">
        <v>983</v>
      </c>
      <c r="E98" s="31" t="s">
        <v>681</v>
      </c>
      <c r="F98" s="28">
        <f t="shared" si="3"/>
        <v>1.25</v>
      </c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>
        <v>0</v>
      </c>
      <c r="U98" s="32"/>
      <c r="V98" s="32">
        <v>5</v>
      </c>
      <c r="W98" s="32"/>
      <c r="X98" s="32"/>
      <c r="Y98" s="32"/>
      <c r="Z98" s="32"/>
      <c r="AA98" s="32"/>
      <c r="AB98" s="32"/>
      <c r="AC98" s="32"/>
      <c r="AD98" s="32"/>
      <c r="AE98" s="34">
        <v>2160</v>
      </c>
      <c r="AF98" s="18">
        <f t="shared" si="4"/>
        <v>0</v>
      </c>
      <c r="AG98" s="32"/>
      <c r="AH98" s="30">
        <v>0</v>
      </c>
      <c r="AI98" s="14">
        <f t="shared" si="5"/>
        <v>2700</v>
      </c>
      <c r="AJ98" s="33"/>
      <c r="AK98" s="33"/>
      <c r="AL98" s="33"/>
      <c r="AM98" s="33"/>
      <c r="AN98" s="33"/>
      <c r="AO98" s="33"/>
      <c r="AP98" s="33"/>
    </row>
    <row r="99" spans="1:42" s="26" customFormat="1">
      <c r="A99" s="28" t="s">
        <v>663</v>
      </c>
      <c r="B99" s="28" t="s">
        <v>616</v>
      </c>
      <c r="C99" s="28"/>
      <c r="D99" s="28" t="s">
        <v>677</v>
      </c>
      <c r="E99" s="31" t="s">
        <v>679</v>
      </c>
      <c r="F99" s="28">
        <f t="shared" si="3"/>
        <v>1</v>
      </c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>
        <v>1</v>
      </c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4">
        <v>160</v>
      </c>
      <c r="AF99" s="18">
        <f t="shared" si="4"/>
        <v>0</v>
      </c>
      <c r="AG99" s="32"/>
      <c r="AH99" s="30">
        <v>0</v>
      </c>
      <c r="AI99" s="14">
        <f t="shared" si="5"/>
        <v>160</v>
      </c>
      <c r="AJ99" s="33"/>
      <c r="AK99" s="33"/>
      <c r="AL99" s="33"/>
      <c r="AM99" s="33"/>
      <c r="AN99" s="33"/>
      <c r="AO99" s="33"/>
      <c r="AP99" s="33"/>
    </row>
    <row r="100" spans="1:42" s="26" customFormat="1">
      <c r="A100" s="28" t="s">
        <v>663</v>
      </c>
      <c r="B100" s="28" t="s">
        <v>616</v>
      </c>
      <c r="C100" s="28"/>
      <c r="D100" s="28" t="s">
        <v>678</v>
      </c>
      <c r="E100" s="31" t="s">
        <v>680</v>
      </c>
      <c r="F100" s="28">
        <f t="shared" si="3"/>
        <v>1</v>
      </c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>
        <v>1</v>
      </c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4">
        <v>180</v>
      </c>
      <c r="AF100" s="18">
        <f t="shared" si="4"/>
        <v>0</v>
      </c>
      <c r="AG100" s="32"/>
      <c r="AH100" s="30">
        <v>0</v>
      </c>
      <c r="AI100" s="14">
        <f t="shared" si="5"/>
        <v>180</v>
      </c>
      <c r="AJ100" s="33"/>
      <c r="AK100" s="33"/>
      <c r="AL100" s="33"/>
      <c r="AM100" s="33"/>
      <c r="AN100" s="33"/>
      <c r="AO100" s="33"/>
      <c r="AP100" s="33"/>
    </row>
    <row r="101" spans="1:42" s="26" customFormat="1">
      <c r="A101" s="28" t="s">
        <v>663</v>
      </c>
      <c r="B101" s="28" t="s">
        <v>616</v>
      </c>
      <c r="C101" s="28"/>
      <c r="D101" s="28" t="s">
        <v>675</v>
      </c>
      <c r="E101" s="31" t="s">
        <v>676</v>
      </c>
      <c r="F101" s="28">
        <f t="shared" si="3"/>
        <v>1</v>
      </c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>
        <v>1</v>
      </c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4">
        <v>150</v>
      </c>
      <c r="AF101" s="18">
        <f t="shared" si="4"/>
        <v>0</v>
      </c>
      <c r="AG101" s="32"/>
      <c r="AH101" s="30">
        <v>0</v>
      </c>
      <c r="AI101" s="14">
        <f t="shared" si="5"/>
        <v>150</v>
      </c>
      <c r="AJ101" s="33"/>
      <c r="AK101" s="33"/>
      <c r="AL101" s="33"/>
      <c r="AM101" s="33"/>
      <c r="AN101" s="33"/>
      <c r="AO101" s="33"/>
      <c r="AP101" s="33"/>
    </row>
    <row r="102" spans="1:42" s="26" customFormat="1">
      <c r="A102" s="28" t="s">
        <v>663</v>
      </c>
      <c r="B102" s="28" t="s">
        <v>616</v>
      </c>
      <c r="C102" s="28"/>
      <c r="D102" s="28" t="s">
        <v>683</v>
      </c>
      <c r="E102" s="31" t="s">
        <v>684</v>
      </c>
      <c r="F102" s="28">
        <f t="shared" si="3"/>
        <v>0.75</v>
      </c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>
        <v>3</v>
      </c>
      <c r="W102" s="32"/>
      <c r="X102" s="32"/>
      <c r="Y102" s="32"/>
      <c r="Z102" s="32"/>
      <c r="AA102" s="32"/>
      <c r="AB102" s="32"/>
      <c r="AC102" s="32"/>
      <c r="AD102" s="32"/>
      <c r="AE102" s="34">
        <v>720</v>
      </c>
      <c r="AF102" s="18">
        <f t="shared" si="4"/>
        <v>0</v>
      </c>
      <c r="AG102" s="32"/>
      <c r="AH102" s="30">
        <v>0</v>
      </c>
      <c r="AI102" s="14">
        <f t="shared" si="5"/>
        <v>540</v>
      </c>
      <c r="AJ102" s="33"/>
      <c r="AK102" s="33"/>
      <c r="AL102" s="33"/>
      <c r="AM102" s="33"/>
      <c r="AN102" s="33"/>
      <c r="AO102" s="33"/>
      <c r="AP102" s="33"/>
    </row>
    <row r="103" spans="1:42" s="26" customFormat="1">
      <c r="A103" s="28" t="s">
        <v>663</v>
      </c>
      <c r="B103" s="28" t="s">
        <v>616</v>
      </c>
      <c r="C103" s="28"/>
      <c r="D103" s="28" t="s">
        <v>835</v>
      </c>
      <c r="E103" s="31" t="s">
        <v>708</v>
      </c>
      <c r="F103" s="28">
        <f t="shared" si="3"/>
        <v>0</v>
      </c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4"/>
      <c r="AF103" s="18">
        <f t="shared" si="4"/>
        <v>0</v>
      </c>
      <c r="AG103" s="32"/>
      <c r="AH103" s="30">
        <v>0</v>
      </c>
      <c r="AI103" s="14">
        <f t="shared" si="5"/>
        <v>0</v>
      </c>
      <c r="AJ103" s="33"/>
      <c r="AK103" s="33"/>
      <c r="AL103" s="33"/>
      <c r="AM103" s="33"/>
      <c r="AN103" s="33"/>
      <c r="AO103" s="33"/>
      <c r="AP103" s="33"/>
    </row>
    <row r="104" spans="1:42" s="26" customFormat="1">
      <c r="A104" s="26" t="s">
        <v>663</v>
      </c>
      <c r="B104" s="26" t="s">
        <v>618</v>
      </c>
      <c r="D104" s="26" t="s">
        <v>1212</v>
      </c>
      <c r="E104" s="27" t="s">
        <v>1362</v>
      </c>
      <c r="F104" s="28">
        <f t="shared" si="3"/>
        <v>20.5</v>
      </c>
      <c r="G104" s="29"/>
      <c r="H104" s="29"/>
      <c r="I104" s="29"/>
      <c r="J104" s="29"/>
      <c r="K104" s="29"/>
      <c r="L104" s="29">
        <v>2</v>
      </c>
      <c r="M104" s="29"/>
      <c r="N104" s="29"/>
      <c r="O104" s="29"/>
      <c r="P104" s="29"/>
      <c r="Q104" s="29"/>
      <c r="R104" s="29"/>
      <c r="S104" s="29"/>
      <c r="T104" s="29">
        <v>0.5</v>
      </c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0">
        <v>1230</v>
      </c>
      <c r="AF104" s="18">
        <f t="shared" si="4"/>
        <v>0</v>
      </c>
      <c r="AG104" s="29"/>
      <c r="AH104" s="30">
        <v>0</v>
      </c>
      <c r="AI104" s="14">
        <f t="shared" si="5"/>
        <v>25215</v>
      </c>
      <c r="AJ104"/>
      <c r="AK104"/>
      <c r="AL104"/>
      <c r="AM104"/>
      <c r="AN104"/>
      <c r="AO104"/>
      <c r="AP104"/>
    </row>
    <row r="105" spans="1:42" s="26" customFormat="1">
      <c r="A105" s="28" t="s">
        <v>663</v>
      </c>
      <c r="B105" s="28" t="s">
        <v>618</v>
      </c>
      <c r="C105" s="28"/>
      <c r="D105" s="28" t="s">
        <v>1333</v>
      </c>
      <c r="E105" s="31" t="s">
        <v>1332</v>
      </c>
      <c r="F105" s="28">
        <f t="shared" si="3"/>
        <v>5</v>
      </c>
      <c r="G105" s="32"/>
      <c r="H105" s="32"/>
      <c r="I105" s="32"/>
      <c r="J105" s="32"/>
      <c r="K105" s="32"/>
      <c r="L105" s="32"/>
      <c r="M105" s="32"/>
      <c r="N105" s="32">
        <v>1</v>
      </c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4"/>
      <c r="AF105" s="18">
        <f t="shared" si="4"/>
        <v>0</v>
      </c>
      <c r="AG105" s="32"/>
      <c r="AH105" s="30">
        <v>0</v>
      </c>
      <c r="AI105" s="14">
        <f t="shared" si="5"/>
        <v>0</v>
      </c>
      <c r="AO105"/>
      <c r="AP105"/>
    </row>
    <row r="106" spans="1:42" s="26" customFormat="1">
      <c r="A106" s="28" t="s">
        <v>663</v>
      </c>
      <c r="B106" s="28" t="s">
        <v>618</v>
      </c>
      <c r="C106" s="28"/>
      <c r="D106" s="28" t="s">
        <v>1314</v>
      </c>
      <c r="E106" s="31" t="s">
        <v>1318</v>
      </c>
      <c r="F106" s="28">
        <f t="shared" si="3"/>
        <v>5</v>
      </c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>
        <v>5</v>
      </c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4">
        <v>474</v>
      </c>
      <c r="AF106" s="18">
        <f t="shared" si="4"/>
        <v>0</v>
      </c>
      <c r="AG106" s="32"/>
      <c r="AH106" s="30">
        <v>0</v>
      </c>
      <c r="AI106" s="14">
        <f t="shared" si="5"/>
        <v>2370</v>
      </c>
      <c r="AO106"/>
      <c r="AP106"/>
    </row>
    <row r="107" spans="1:42" s="26" customFormat="1">
      <c r="A107" s="28" t="s">
        <v>663</v>
      </c>
      <c r="B107" s="28" t="s">
        <v>618</v>
      </c>
      <c r="C107" s="28"/>
      <c r="D107" s="28" t="s">
        <v>1315</v>
      </c>
      <c r="E107" s="31" t="s">
        <v>1317</v>
      </c>
      <c r="F107" s="28">
        <f t="shared" si="3"/>
        <v>5</v>
      </c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>
        <v>5</v>
      </c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4">
        <v>474</v>
      </c>
      <c r="AF107" s="18">
        <f t="shared" si="4"/>
        <v>0</v>
      </c>
      <c r="AG107" s="32"/>
      <c r="AH107" s="30">
        <v>0</v>
      </c>
      <c r="AI107" s="14">
        <f t="shared" si="5"/>
        <v>2370</v>
      </c>
      <c r="AO107"/>
      <c r="AP107"/>
    </row>
    <row r="108" spans="1:42" s="26" customFormat="1">
      <c r="A108" s="28" t="s">
        <v>663</v>
      </c>
      <c r="B108" s="28" t="s">
        <v>618</v>
      </c>
      <c r="C108" s="28"/>
      <c r="D108" s="28" t="s">
        <v>1316</v>
      </c>
      <c r="E108" s="31" t="s">
        <v>1319</v>
      </c>
      <c r="F108" s="28">
        <f t="shared" si="3"/>
        <v>4.7</v>
      </c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>
        <v>4.7</v>
      </c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4">
        <v>282</v>
      </c>
      <c r="AF108" s="18">
        <f t="shared" si="4"/>
        <v>0</v>
      </c>
      <c r="AG108" s="32"/>
      <c r="AH108" s="30">
        <v>0</v>
      </c>
      <c r="AI108" s="14">
        <f t="shared" si="5"/>
        <v>1325.4</v>
      </c>
      <c r="AO108"/>
      <c r="AP108"/>
    </row>
    <row r="109" spans="1:42" s="26" customFormat="1">
      <c r="A109" s="28" t="s">
        <v>663</v>
      </c>
      <c r="B109" s="28" t="s">
        <v>618</v>
      </c>
      <c r="C109" s="28"/>
      <c r="D109" s="28" t="s">
        <v>1312</v>
      </c>
      <c r="E109" s="31" t="s">
        <v>1313</v>
      </c>
      <c r="F109" s="28">
        <f t="shared" si="3"/>
        <v>4.5</v>
      </c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>
        <v>4.5</v>
      </c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4">
        <v>393</v>
      </c>
      <c r="AF109" s="18">
        <f t="shared" si="4"/>
        <v>0</v>
      </c>
      <c r="AG109" s="32"/>
      <c r="AH109" s="30">
        <v>0</v>
      </c>
      <c r="AI109" s="14">
        <f t="shared" si="5"/>
        <v>1768.5</v>
      </c>
      <c r="AK109" s="26">
        <v>8.3000000000000007</v>
      </c>
      <c r="AL109" s="26">
        <v>5.5</v>
      </c>
      <c r="AO109"/>
      <c r="AP109"/>
    </row>
    <row r="110" spans="1:42" s="26" customFormat="1">
      <c r="A110" s="28" t="s">
        <v>663</v>
      </c>
      <c r="B110" s="28" t="s">
        <v>618</v>
      </c>
      <c r="C110" s="28"/>
      <c r="D110" s="28" t="s">
        <v>839</v>
      </c>
      <c r="E110" s="31" t="s">
        <v>840</v>
      </c>
      <c r="F110" s="28">
        <f t="shared" si="3"/>
        <v>1.75</v>
      </c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>
        <v>1</v>
      </c>
      <c r="U110" s="32"/>
      <c r="V110" s="32">
        <v>3</v>
      </c>
      <c r="W110" s="32"/>
      <c r="X110" s="32"/>
      <c r="Y110" s="32"/>
      <c r="Z110" s="32"/>
      <c r="AA110" s="32"/>
      <c r="AB110" s="32"/>
      <c r="AC110" s="32"/>
      <c r="AD110" s="32"/>
      <c r="AE110" s="34">
        <v>1152</v>
      </c>
      <c r="AF110" s="18">
        <f t="shared" si="4"/>
        <v>0</v>
      </c>
      <c r="AG110" s="32"/>
      <c r="AH110" s="30">
        <v>0</v>
      </c>
      <c r="AI110" s="14">
        <f t="shared" si="5"/>
        <v>2016</v>
      </c>
      <c r="AJ110" s="33"/>
      <c r="AK110" s="33"/>
      <c r="AL110" s="33"/>
      <c r="AM110" s="33"/>
      <c r="AN110" s="33"/>
      <c r="AO110" s="33"/>
      <c r="AP110" s="33"/>
    </row>
    <row r="111" spans="1:42" s="26" customFormat="1">
      <c r="A111" s="28" t="s">
        <v>663</v>
      </c>
      <c r="B111" s="28" t="s">
        <v>618</v>
      </c>
      <c r="C111" s="28"/>
      <c r="D111" s="28" t="s">
        <v>1132</v>
      </c>
      <c r="E111" s="31" t="s">
        <v>1133</v>
      </c>
      <c r="F111" s="28">
        <f t="shared" si="3"/>
        <v>1.7</v>
      </c>
      <c r="G111" s="32"/>
      <c r="H111" s="32"/>
      <c r="I111" s="32"/>
      <c r="J111" s="32"/>
      <c r="K111" s="32"/>
      <c r="L111" s="32"/>
      <c r="M111" s="32"/>
      <c r="N111" s="32">
        <v>0</v>
      </c>
      <c r="O111" s="32"/>
      <c r="P111" s="32"/>
      <c r="Q111" s="32"/>
      <c r="R111" s="32"/>
      <c r="S111" s="32">
        <v>0</v>
      </c>
      <c r="T111" s="32">
        <v>1.7</v>
      </c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20"/>
      <c r="AF111" s="18">
        <f t="shared" si="4"/>
        <v>0</v>
      </c>
      <c r="AG111" s="32"/>
      <c r="AH111" s="30">
        <v>0</v>
      </c>
      <c r="AI111" s="14">
        <f t="shared" si="5"/>
        <v>0</v>
      </c>
    </row>
    <row r="112" spans="1:42" s="26" customFormat="1">
      <c r="A112" s="28" t="s">
        <v>663</v>
      </c>
      <c r="B112" s="28" t="s">
        <v>618</v>
      </c>
      <c r="C112" s="28"/>
      <c r="D112" s="28" t="s">
        <v>857</v>
      </c>
      <c r="E112" s="31" t="s">
        <v>858</v>
      </c>
      <c r="F112" s="28">
        <f t="shared" si="3"/>
        <v>1.25</v>
      </c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>
        <v>5</v>
      </c>
      <c r="W112" s="32"/>
      <c r="X112" s="32"/>
      <c r="Y112" s="32"/>
      <c r="Z112" s="32"/>
      <c r="AA112" s="32"/>
      <c r="AB112" s="32"/>
      <c r="AC112" s="32"/>
      <c r="AD112" s="32"/>
      <c r="AE112" s="34"/>
      <c r="AF112" s="18">
        <f t="shared" si="4"/>
        <v>0</v>
      </c>
      <c r="AG112" s="32"/>
      <c r="AH112" s="30">
        <v>0</v>
      </c>
      <c r="AI112" s="14">
        <f t="shared" si="5"/>
        <v>0</v>
      </c>
      <c r="AJ112" s="33"/>
      <c r="AK112" s="33"/>
      <c r="AL112" s="33"/>
      <c r="AM112" s="33"/>
      <c r="AN112" s="33"/>
      <c r="AO112" s="33"/>
      <c r="AP112" s="33"/>
    </row>
    <row r="113" spans="1:42" s="26" customFormat="1">
      <c r="A113" s="28" t="s">
        <v>663</v>
      </c>
      <c r="B113" s="28" t="s">
        <v>618</v>
      </c>
      <c r="C113" s="28"/>
      <c r="D113" s="28" t="s">
        <v>990</v>
      </c>
      <c r="E113" s="31" t="s">
        <v>853</v>
      </c>
      <c r="F113" s="28">
        <f t="shared" si="3"/>
        <v>1.25</v>
      </c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>
        <v>5</v>
      </c>
      <c r="W113" s="32"/>
      <c r="X113" s="32"/>
      <c r="Y113" s="32"/>
      <c r="Z113" s="32"/>
      <c r="AA113" s="32"/>
      <c r="AB113" s="32"/>
      <c r="AC113" s="32"/>
      <c r="AD113" s="32"/>
      <c r="AE113" s="34">
        <v>720</v>
      </c>
      <c r="AF113" s="18">
        <f t="shared" si="4"/>
        <v>0</v>
      </c>
      <c r="AG113" s="32"/>
      <c r="AH113" s="30">
        <v>0</v>
      </c>
      <c r="AI113" s="14">
        <f t="shared" si="5"/>
        <v>900</v>
      </c>
      <c r="AJ113" s="33"/>
      <c r="AK113" s="33"/>
      <c r="AL113" s="33"/>
      <c r="AM113" s="33"/>
      <c r="AN113" s="33"/>
      <c r="AO113" s="33"/>
      <c r="AP113" s="33"/>
    </row>
    <row r="114" spans="1:42" s="26" customFormat="1">
      <c r="A114" s="28" t="s">
        <v>663</v>
      </c>
      <c r="B114" s="28" t="s">
        <v>618</v>
      </c>
      <c r="C114" s="28"/>
      <c r="D114" s="28" t="s">
        <v>837</v>
      </c>
      <c r="E114" s="31" t="s">
        <v>838</v>
      </c>
      <c r="F114" s="28">
        <f t="shared" si="3"/>
        <v>1</v>
      </c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>
        <v>4</v>
      </c>
      <c r="W114" s="32"/>
      <c r="X114" s="32"/>
      <c r="Y114" s="32"/>
      <c r="Z114" s="32"/>
      <c r="AA114" s="32"/>
      <c r="AB114" s="32"/>
      <c r="AC114" s="32"/>
      <c r="AD114" s="32"/>
      <c r="AE114" s="34">
        <v>1296</v>
      </c>
      <c r="AF114" s="18">
        <f t="shared" si="4"/>
        <v>0</v>
      </c>
      <c r="AG114" s="32"/>
      <c r="AH114" s="30">
        <v>0</v>
      </c>
      <c r="AI114" s="14">
        <f t="shared" si="5"/>
        <v>1296</v>
      </c>
      <c r="AJ114" s="33"/>
      <c r="AK114" s="33"/>
      <c r="AL114" s="33"/>
      <c r="AM114" s="33"/>
      <c r="AN114" s="33"/>
      <c r="AO114" s="33"/>
      <c r="AP114" s="33"/>
    </row>
    <row r="115" spans="1:42" s="26" customFormat="1">
      <c r="A115" s="28" t="s">
        <v>663</v>
      </c>
      <c r="B115" s="28" t="s">
        <v>618</v>
      </c>
      <c r="C115" s="28"/>
      <c r="D115" s="28" t="s">
        <v>1188</v>
      </c>
      <c r="E115" s="31" t="s">
        <v>845</v>
      </c>
      <c r="F115" s="28">
        <f t="shared" si="3"/>
        <v>1</v>
      </c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>
        <v>4</v>
      </c>
      <c r="W115" s="32"/>
      <c r="X115" s="32">
        <v>0</v>
      </c>
      <c r="Y115" s="32"/>
      <c r="Z115" s="32"/>
      <c r="AA115" s="32"/>
      <c r="AB115" s="32"/>
      <c r="AC115" s="32"/>
      <c r="AD115" s="32"/>
      <c r="AE115" s="34">
        <v>420</v>
      </c>
      <c r="AF115" s="18">
        <f t="shared" si="4"/>
        <v>400</v>
      </c>
      <c r="AG115" s="32">
        <v>4</v>
      </c>
      <c r="AH115" s="30">
        <v>0</v>
      </c>
      <c r="AI115" s="14">
        <f t="shared" si="5"/>
        <v>420</v>
      </c>
      <c r="AJ115" s="33"/>
      <c r="AK115" s="33"/>
      <c r="AL115" s="33"/>
      <c r="AM115" s="33"/>
      <c r="AN115" s="33"/>
      <c r="AO115" s="33"/>
      <c r="AP115" s="33"/>
    </row>
    <row r="116" spans="1:42" s="26" customFormat="1">
      <c r="A116" s="28" t="s">
        <v>663</v>
      </c>
      <c r="B116" s="28" t="s">
        <v>618</v>
      </c>
      <c r="C116" s="28"/>
      <c r="D116" s="28" t="s">
        <v>1360</v>
      </c>
      <c r="E116" s="31" t="s">
        <v>1361</v>
      </c>
      <c r="F116" s="28">
        <f t="shared" si="3"/>
        <v>1</v>
      </c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>
        <v>1</v>
      </c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4"/>
      <c r="AF116" s="18">
        <f t="shared" si="4"/>
        <v>0</v>
      </c>
      <c r="AG116" s="32"/>
      <c r="AH116" s="30">
        <v>0</v>
      </c>
      <c r="AI116" s="14">
        <f t="shared" si="5"/>
        <v>0</v>
      </c>
      <c r="AJ116" s="33"/>
      <c r="AK116" s="33"/>
      <c r="AL116" s="33"/>
      <c r="AM116" s="33"/>
      <c r="AN116" s="33"/>
      <c r="AO116" s="33"/>
      <c r="AP116" s="33"/>
    </row>
    <row r="117" spans="1:42" s="26" customFormat="1">
      <c r="A117" s="28" t="s">
        <v>663</v>
      </c>
      <c r="B117" s="28" t="s">
        <v>618</v>
      </c>
      <c r="C117" s="28"/>
      <c r="D117" s="28" t="s">
        <v>1367</v>
      </c>
      <c r="E117" s="31" t="s">
        <v>1368</v>
      </c>
      <c r="F117" s="28">
        <f t="shared" si="3"/>
        <v>0.8</v>
      </c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>
        <v>0.8</v>
      </c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4">
        <v>420</v>
      </c>
      <c r="AF117" s="18">
        <f t="shared" si="4"/>
        <v>0</v>
      </c>
      <c r="AG117" s="32"/>
      <c r="AH117" s="30">
        <v>0</v>
      </c>
      <c r="AI117" s="14">
        <f t="shared" si="5"/>
        <v>336</v>
      </c>
      <c r="AO117"/>
      <c r="AP117"/>
    </row>
    <row r="118" spans="1:42" s="26" customFormat="1">
      <c r="A118" s="28" t="s">
        <v>663</v>
      </c>
      <c r="B118" s="28" t="s">
        <v>618</v>
      </c>
      <c r="C118" s="28"/>
      <c r="D118" s="28" t="s">
        <v>841</v>
      </c>
      <c r="E118" s="31" t="s">
        <v>844</v>
      </c>
      <c r="F118" s="28">
        <f t="shared" si="3"/>
        <v>3.18</v>
      </c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>
        <v>6</v>
      </c>
      <c r="W118" s="32"/>
      <c r="X118" s="32"/>
      <c r="Y118" s="32"/>
      <c r="Z118" s="32"/>
      <c r="AA118" s="32">
        <v>24</v>
      </c>
      <c r="AB118" s="32"/>
      <c r="AC118" s="32"/>
      <c r="AD118" s="32"/>
      <c r="AE118" s="34"/>
      <c r="AF118" s="18">
        <f t="shared" si="4"/>
        <v>800</v>
      </c>
      <c r="AG118" s="32">
        <v>8</v>
      </c>
      <c r="AH118" s="30">
        <v>0</v>
      </c>
      <c r="AI118" s="14">
        <f t="shared" si="5"/>
        <v>0</v>
      </c>
      <c r="AJ118" s="33"/>
      <c r="AK118" s="33"/>
      <c r="AL118" s="33"/>
      <c r="AM118" s="33"/>
      <c r="AN118" s="33"/>
      <c r="AO118" s="33"/>
      <c r="AP118" s="33"/>
    </row>
    <row r="119" spans="1:42" s="26" customFormat="1">
      <c r="A119" s="28" t="s">
        <v>663</v>
      </c>
      <c r="B119" s="28" t="s">
        <v>618</v>
      </c>
      <c r="C119" s="28"/>
      <c r="D119" s="28" t="s">
        <v>850</v>
      </c>
      <c r="E119" s="31" t="s">
        <v>851</v>
      </c>
      <c r="F119" s="28">
        <f t="shared" si="3"/>
        <v>0.5</v>
      </c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>
        <v>2</v>
      </c>
      <c r="W119" s="32"/>
      <c r="X119" s="32"/>
      <c r="Y119" s="32"/>
      <c r="Z119" s="32"/>
      <c r="AA119" s="32"/>
      <c r="AB119" s="32"/>
      <c r="AC119" s="32"/>
      <c r="AD119" s="32"/>
      <c r="AE119" s="34">
        <v>844</v>
      </c>
      <c r="AF119" s="18">
        <f t="shared" si="4"/>
        <v>0</v>
      </c>
      <c r="AG119" s="32"/>
      <c r="AH119" s="30">
        <v>0</v>
      </c>
      <c r="AI119" s="14">
        <f t="shared" si="5"/>
        <v>422</v>
      </c>
      <c r="AJ119" s="33"/>
      <c r="AK119" s="33"/>
      <c r="AL119" s="33"/>
      <c r="AM119" s="33"/>
      <c r="AN119" s="33"/>
      <c r="AO119" s="33"/>
      <c r="AP119" s="33"/>
    </row>
    <row r="120" spans="1:42" s="26" customFormat="1">
      <c r="A120" s="28" t="s">
        <v>663</v>
      </c>
      <c r="B120" s="28" t="s">
        <v>618</v>
      </c>
      <c r="C120" s="28"/>
      <c r="D120" s="28" t="s">
        <v>852</v>
      </c>
      <c r="E120" s="31" t="s">
        <v>849</v>
      </c>
      <c r="F120" s="28">
        <f t="shared" si="3"/>
        <v>0.5</v>
      </c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>
        <v>2</v>
      </c>
      <c r="W120" s="32"/>
      <c r="X120" s="32"/>
      <c r="Y120" s="32"/>
      <c r="Z120" s="32"/>
      <c r="AA120" s="32"/>
      <c r="AB120" s="32"/>
      <c r="AC120" s="32"/>
      <c r="AD120" s="32"/>
      <c r="AE120" s="34">
        <v>712</v>
      </c>
      <c r="AF120" s="18">
        <f t="shared" si="4"/>
        <v>0</v>
      </c>
      <c r="AG120" s="32"/>
      <c r="AH120" s="30">
        <v>0</v>
      </c>
      <c r="AI120" s="14">
        <f t="shared" si="5"/>
        <v>356</v>
      </c>
      <c r="AJ120" s="33"/>
      <c r="AK120" s="33"/>
      <c r="AL120" s="33"/>
      <c r="AM120" s="33"/>
      <c r="AN120" s="33"/>
      <c r="AO120" s="33"/>
      <c r="AP120" s="33"/>
    </row>
    <row r="121" spans="1:42" s="26" customFormat="1">
      <c r="A121" s="28" t="s">
        <v>663</v>
      </c>
      <c r="B121" s="28" t="s">
        <v>618</v>
      </c>
      <c r="C121" s="28"/>
      <c r="D121" s="28" t="s">
        <v>1369</v>
      </c>
      <c r="E121" s="31" t="s">
        <v>1371</v>
      </c>
      <c r="F121" s="28">
        <f t="shared" si="3"/>
        <v>0.25</v>
      </c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>
        <v>1</v>
      </c>
      <c r="W121" s="32"/>
      <c r="X121" s="32"/>
      <c r="Y121" s="32"/>
      <c r="Z121" s="32"/>
      <c r="AA121" s="32"/>
      <c r="AB121" s="32"/>
      <c r="AC121" s="32"/>
      <c r="AD121" s="32"/>
      <c r="AE121" s="34"/>
      <c r="AF121" s="18">
        <f t="shared" si="4"/>
        <v>0</v>
      </c>
      <c r="AG121" s="32"/>
      <c r="AH121" s="30">
        <v>0</v>
      </c>
      <c r="AI121" s="14">
        <f t="shared" si="5"/>
        <v>0</v>
      </c>
    </row>
    <row r="122" spans="1:42" s="26" customFormat="1">
      <c r="A122" s="28" t="s">
        <v>663</v>
      </c>
      <c r="B122" s="28" t="s">
        <v>618</v>
      </c>
      <c r="C122" s="28"/>
      <c r="D122" s="28" t="s">
        <v>842</v>
      </c>
      <c r="E122" s="31" t="s">
        <v>843</v>
      </c>
      <c r="F122" s="28">
        <f t="shared" si="3"/>
        <v>0.25</v>
      </c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>
        <v>1</v>
      </c>
      <c r="W122" s="32"/>
      <c r="X122" s="32"/>
      <c r="Y122" s="32"/>
      <c r="Z122" s="32"/>
      <c r="AA122" s="32"/>
      <c r="AB122" s="32"/>
      <c r="AC122" s="32"/>
      <c r="AD122" s="32"/>
      <c r="AE122" s="34"/>
      <c r="AF122" s="18">
        <f t="shared" si="4"/>
        <v>0</v>
      </c>
      <c r="AG122" s="32"/>
      <c r="AH122" s="30">
        <v>0</v>
      </c>
      <c r="AI122" s="14">
        <f t="shared" si="5"/>
        <v>0</v>
      </c>
      <c r="AJ122" s="33"/>
      <c r="AK122" s="33"/>
      <c r="AL122" s="33"/>
      <c r="AM122" s="33"/>
      <c r="AN122" s="33"/>
      <c r="AO122" s="33"/>
      <c r="AP122" s="33"/>
    </row>
    <row r="123" spans="1:42" s="26" customFormat="1">
      <c r="A123" s="28" t="s">
        <v>663</v>
      </c>
      <c r="B123" s="28" t="s">
        <v>618</v>
      </c>
      <c r="C123" s="28"/>
      <c r="D123" s="28" t="s">
        <v>1130</v>
      </c>
      <c r="E123" s="31" t="s">
        <v>1131</v>
      </c>
      <c r="F123" s="28">
        <f t="shared" si="3"/>
        <v>0.25</v>
      </c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>
        <v>1</v>
      </c>
      <c r="W123" s="32"/>
      <c r="X123" s="32"/>
      <c r="Y123" s="32"/>
      <c r="Z123" s="32"/>
      <c r="AA123" s="32"/>
      <c r="AB123" s="32"/>
      <c r="AC123" s="32"/>
      <c r="AD123" s="32"/>
      <c r="AE123" s="20"/>
      <c r="AF123" s="18">
        <f t="shared" si="4"/>
        <v>0</v>
      </c>
      <c r="AG123" s="32"/>
      <c r="AH123" s="30">
        <v>0</v>
      </c>
      <c r="AI123" s="14">
        <f t="shared" si="5"/>
        <v>0</v>
      </c>
    </row>
    <row r="124" spans="1:42" s="26" customFormat="1">
      <c r="A124" s="28" t="s">
        <v>663</v>
      </c>
      <c r="B124" s="28" t="s">
        <v>618</v>
      </c>
      <c r="C124" s="28"/>
      <c r="D124" s="28" t="s">
        <v>1189</v>
      </c>
      <c r="E124" s="31" t="s">
        <v>847</v>
      </c>
      <c r="F124" s="28">
        <f t="shared" si="3"/>
        <v>0.25</v>
      </c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>
        <v>1</v>
      </c>
      <c r="W124" s="32"/>
      <c r="X124" s="32">
        <v>0</v>
      </c>
      <c r="Y124" s="32"/>
      <c r="Z124" s="32"/>
      <c r="AA124" s="32"/>
      <c r="AB124" s="32"/>
      <c r="AC124" s="32"/>
      <c r="AD124" s="32"/>
      <c r="AE124" s="34">
        <v>560</v>
      </c>
      <c r="AF124" s="18">
        <f t="shared" si="4"/>
        <v>400</v>
      </c>
      <c r="AG124" s="32">
        <v>4</v>
      </c>
      <c r="AH124" s="30">
        <v>0</v>
      </c>
      <c r="AI124" s="14">
        <f t="shared" si="5"/>
        <v>140</v>
      </c>
      <c r="AJ124" s="33"/>
      <c r="AK124" s="33"/>
      <c r="AL124" s="33"/>
      <c r="AM124" s="33"/>
      <c r="AN124" s="33"/>
      <c r="AO124" s="33"/>
      <c r="AP124" s="33"/>
    </row>
    <row r="125" spans="1:42" s="26" customFormat="1">
      <c r="A125" s="28" t="s">
        <v>663</v>
      </c>
      <c r="B125" s="28" t="s">
        <v>618</v>
      </c>
      <c r="C125" s="28"/>
      <c r="D125" s="28" t="s">
        <v>1190</v>
      </c>
      <c r="E125" s="31" t="s">
        <v>848</v>
      </c>
      <c r="F125" s="28">
        <f t="shared" si="3"/>
        <v>0.25</v>
      </c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>
        <v>1</v>
      </c>
      <c r="W125" s="32"/>
      <c r="X125" s="32"/>
      <c r="Y125" s="32"/>
      <c r="Z125" s="32"/>
      <c r="AA125" s="32"/>
      <c r="AB125" s="32"/>
      <c r="AC125" s="32"/>
      <c r="AD125" s="32"/>
      <c r="AE125" s="34">
        <v>420</v>
      </c>
      <c r="AF125" s="18">
        <f t="shared" si="4"/>
        <v>0</v>
      </c>
      <c r="AG125" s="32"/>
      <c r="AH125" s="30">
        <v>0</v>
      </c>
      <c r="AI125" s="14">
        <f t="shared" si="5"/>
        <v>105</v>
      </c>
      <c r="AJ125" s="33"/>
      <c r="AK125" s="33"/>
      <c r="AL125" s="33"/>
      <c r="AM125" s="33"/>
      <c r="AN125" s="33"/>
      <c r="AO125" s="33"/>
      <c r="AP125" s="33"/>
    </row>
    <row r="126" spans="1:42" s="26" customFormat="1">
      <c r="A126" s="28" t="s">
        <v>663</v>
      </c>
      <c r="B126" s="28" t="s">
        <v>618</v>
      </c>
      <c r="C126" s="28"/>
      <c r="D126" s="28" t="s">
        <v>1191</v>
      </c>
      <c r="E126" s="31" t="s">
        <v>846</v>
      </c>
      <c r="F126" s="28">
        <f t="shared" si="3"/>
        <v>0.25</v>
      </c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>
        <v>1</v>
      </c>
      <c r="W126" s="32"/>
      <c r="X126" s="32"/>
      <c r="Y126" s="32"/>
      <c r="Z126" s="32"/>
      <c r="AA126" s="32"/>
      <c r="AB126" s="32"/>
      <c r="AC126" s="32"/>
      <c r="AD126" s="32"/>
      <c r="AE126" s="34">
        <v>380</v>
      </c>
      <c r="AF126" s="18">
        <f t="shared" si="4"/>
        <v>0</v>
      </c>
      <c r="AG126" s="32"/>
      <c r="AH126" s="30">
        <v>0</v>
      </c>
      <c r="AI126" s="14">
        <f t="shared" si="5"/>
        <v>95</v>
      </c>
      <c r="AJ126" s="33"/>
      <c r="AK126" s="33"/>
      <c r="AL126" s="33"/>
      <c r="AM126" s="33"/>
      <c r="AN126" s="33"/>
      <c r="AO126" s="33"/>
      <c r="AP126" s="33"/>
    </row>
    <row r="127" spans="1:42" s="26" customFormat="1">
      <c r="A127" s="28" t="s">
        <v>663</v>
      </c>
      <c r="B127" s="28" t="s">
        <v>618</v>
      </c>
      <c r="C127" s="28"/>
      <c r="D127" s="28" t="s">
        <v>854</v>
      </c>
      <c r="E127" s="31" t="s">
        <v>855</v>
      </c>
      <c r="F127" s="28">
        <f t="shared" si="3"/>
        <v>0.25</v>
      </c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>
        <v>1</v>
      </c>
      <c r="W127" s="32"/>
      <c r="X127" s="32"/>
      <c r="Y127" s="32"/>
      <c r="Z127" s="32"/>
      <c r="AA127" s="32"/>
      <c r="AB127" s="32"/>
      <c r="AC127" s="32"/>
      <c r="AD127" s="32"/>
      <c r="AE127" s="34"/>
      <c r="AF127" s="18">
        <f t="shared" si="4"/>
        <v>0</v>
      </c>
      <c r="AG127" s="32"/>
      <c r="AH127" s="30">
        <v>0</v>
      </c>
      <c r="AI127" s="14">
        <f t="shared" si="5"/>
        <v>0</v>
      </c>
      <c r="AJ127" s="33"/>
      <c r="AK127" s="33"/>
      <c r="AL127" s="33"/>
      <c r="AM127" s="33"/>
      <c r="AN127" s="33"/>
      <c r="AO127" s="33"/>
      <c r="AP127" s="33"/>
    </row>
    <row r="128" spans="1:42" s="26" customFormat="1">
      <c r="A128" s="28" t="s">
        <v>663</v>
      </c>
      <c r="B128" s="28" t="s">
        <v>618</v>
      </c>
      <c r="C128" s="28"/>
      <c r="D128" s="28" t="s">
        <v>1372</v>
      </c>
      <c r="E128" s="31" t="s">
        <v>1373</v>
      </c>
      <c r="F128" s="28">
        <f t="shared" si="3"/>
        <v>0.17</v>
      </c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>
        <v>2</v>
      </c>
      <c r="Z128" s="32"/>
      <c r="AA128" s="32"/>
      <c r="AB128" s="32"/>
      <c r="AC128" s="32"/>
      <c r="AD128" s="32"/>
      <c r="AE128" s="34"/>
      <c r="AF128" s="18">
        <f t="shared" si="4"/>
        <v>0</v>
      </c>
      <c r="AG128" s="32"/>
      <c r="AH128" s="30">
        <v>0</v>
      </c>
      <c r="AI128" s="14">
        <f t="shared" si="5"/>
        <v>0</v>
      </c>
    </row>
    <row r="129" spans="1:42" s="26" customFormat="1">
      <c r="A129" s="28" t="s">
        <v>663</v>
      </c>
      <c r="B129" s="28" t="s">
        <v>618</v>
      </c>
      <c r="C129" s="28"/>
      <c r="D129" s="28" t="s">
        <v>1384</v>
      </c>
      <c r="E129" s="31" t="s">
        <v>1385</v>
      </c>
      <c r="F129" s="28">
        <f t="shared" si="3"/>
        <v>0.125</v>
      </c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>
        <v>0.5</v>
      </c>
      <c r="W129" s="32"/>
      <c r="X129" s="32"/>
      <c r="Y129" s="32"/>
      <c r="Z129" s="32"/>
      <c r="AA129" s="32"/>
      <c r="AB129" s="32"/>
      <c r="AC129" s="32"/>
      <c r="AD129" s="32"/>
      <c r="AE129" s="20"/>
      <c r="AF129" s="18">
        <f t="shared" si="4"/>
        <v>0</v>
      </c>
      <c r="AG129" s="32"/>
      <c r="AH129" s="30">
        <v>0</v>
      </c>
      <c r="AI129" s="14">
        <f t="shared" si="5"/>
        <v>0</v>
      </c>
    </row>
    <row r="130" spans="1:42" s="26" customFormat="1">
      <c r="A130" s="28" t="s">
        <v>663</v>
      </c>
      <c r="B130" s="28" t="s">
        <v>618</v>
      </c>
      <c r="C130" s="28"/>
      <c r="D130" s="28" t="s">
        <v>1381</v>
      </c>
      <c r="E130" s="31" t="s">
        <v>1382</v>
      </c>
      <c r="F130" s="28">
        <f t="shared" ref="F130:F193" si="6">+$G$1*G130+$H$1*H130+$I$1*I130+$J$1*J130+$K$1*K130+$L$1*L130+$M$1*M130+$N$1*N130+$O$1*O130+$P$1*P130+$Q$1*Q130+$R$1*R130+$S$1*S130+$T$1*T130+$U$1*U130+$V$1*V130+$W$1*W130+$X$1*X130+$Y$1*Y130+$Z$1*Z130+$AA$1*AA130+$AB$1*AB130+$AC$1*AC130+$AD$1*AD130</f>
        <v>0.125</v>
      </c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>
        <v>0.5</v>
      </c>
      <c r="W130" s="32"/>
      <c r="X130" s="32"/>
      <c r="Y130" s="32"/>
      <c r="Z130" s="32"/>
      <c r="AA130" s="32"/>
      <c r="AB130" s="32"/>
      <c r="AC130" s="32"/>
      <c r="AD130" s="32"/>
      <c r="AE130" s="20"/>
      <c r="AF130" s="18">
        <f t="shared" ref="AF130:AF193" si="7">+$AG$1*AG130</f>
        <v>0</v>
      </c>
      <c r="AG130" s="32"/>
      <c r="AH130" s="30">
        <v>0</v>
      </c>
      <c r="AI130" s="14">
        <f t="shared" ref="AI130:AI193" si="8">+F130*AE130+AF130*AH130</f>
        <v>0</v>
      </c>
    </row>
    <row r="131" spans="1:42" s="26" customFormat="1">
      <c r="A131" s="28" t="s">
        <v>663</v>
      </c>
      <c r="B131" s="28" t="s">
        <v>618</v>
      </c>
      <c r="C131" s="28"/>
      <c r="D131" s="28" t="s">
        <v>1377</v>
      </c>
      <c r="E131" s="31" t="s">
        <v>1378</v>
      </c>
      <c r="F131" s="28">
        <f t="shared" si="6"/>
        <v>0.12</v>
      </c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>
        <v>1</v>
      </c>
      <c r="X131" s="32"/>
      <c r="Y131" s="32"/>
      <c r="Z131" s="32"/>
      <c r="AA131" s="32"/>
      <c r="AB131" s="32"/>
      <c r="AC131" s="32"/>
      <c r="AD131" s="32"/>
      <c r="AE131" s="34"/>
      <c r="AF131" s="18">
        <f t="shared" si="7"/>
        <v>0</v>
      </c>
      <c r="AG131" s="32"/>
      <c r="AH131" s="30">
        <v>0</v>
      </c>
      <c r="AI131" s="14">
        <f t="shared" si="8"/>
        <v>0</v>
      </c>
    </row>
    <row r="132" spans="1:42" s="26" customFormat="1">
      <c r="A132" s="28" t="s">
        <v>663</v>
      </c>
      <c r="B132" s="28" t="s">
        <v>618</v>
      </c>
      <c r="C132" s="28"/>
      <c r="D132" s="28" t="s">
        <v>1379</v>
      </c>
      <c r="E132" s="31" t="s">
        <v>1380</v>
      </c>
      <c r="F132" s="28">
        <f t="shared" si="6"/>
        <v>8.5000000000000006E-2</v>
      </c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>
        <v>1</v>
      </c>
      <c r="Z132" s="32"/>
      <c r="AA132" s="32"/>
      <c r="AB132" s="32"/>
      <c r="AC132" s="32"/>
      <c r="AD132" s="32"/>
      <c r="AE132" s="34"/>
      <c r="AF132" s="18">
        <f t="shared" si="7"/>
        <v>0</v>
      </c>
      <c r="AG132" s="32"/>
      <c r="AH132" s="30">
        <v>0</v>
      </c>
      <c r="AI132" s="14">
        <f t="shared" si="8"/>
        <v>0</v>
      </c>
      <c r="AJ132" s="33"/>
      <c r="AK132" s="33"/>
      <c r="AL132" s="33"/>
      <c r="AM132" s="33"/>
      <c r="AN132" s="33"/>
      <c r="AO132" s="33"/>
      <c r="AP132" s="33"/>
    </row>
    <row r="133" spans="1:42" s="26" customFormat="1">
      <c r="A133" s="28" t="s">
        <v>663</v>
      </c>
      <c r="B133" s="28" t="s">
        <v>618</v>
      </c>
      <c r="C133" s="28"/>
      <c r="D133" s="28" t="s">
        <v>1375</v>
      </c>
      <c r="E133" s="31" t="s">
        <v>1376</v>
      </c>
      <c r="F133" s="28">
        <f t="shared" si="6"/>
        <v>0.08</v>
      </c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>
        <v>1</v>
      </c>
      <c r="AA133" s="32"/>
      <c r="AB133" s="32"/>
      <c r="AC133" s="32"/>
      <c r="AD133" s="32"/>
      <c r="AE133" s="34"/>
      <c r="AF133" s="18">
        <f t="shared" si="7"/>
        <v>0</v>
      </c>
      <c r="AG133" s="32"/>
      <c r="AH133" s="30">
        <v>0</v>
      </c>
      <c r="AI133" s="14">
        <f t="shared" si="8"/>
        <v>0</v>
      </c>
    </row>
    <row r="134" spans="1:42" s="26" customFormat="1">
      <c r="A134" s="28" t="s">
        <v>663</v>
      </c>
      <c r="B134" s="28" t="s">
        <v>618</v>
      </c>
      <c r="C134" s="28"/>
      <c r="D134" s="28" t="s">
        <v>1015</v>
      </c>
      <c r="E134" s="31" t="s">
        <v>862</v>
      </c>
      <c r="F134" s="28">
        <f t="shared" si="6"/>
        <v>0</v>
      </c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>
        <v>0</v>
      </c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4">
        <v>57.6</v>
      </c>
      <c r="AF134" s="18">
        <f t="shared" si="7"/>
        <v>0</v>
      </c>
      <c r="AG134" s="32"/>
      <c r="AH134" s="30">
        <v>0</v>
      </c>
      <c r="AI134" s="14">
        <f t="shared" si="8"/>
        <v>0</v>
      </c>
      <c r="AJ134" s="33"/>
      <c r="AK134" s="33"/>
      <c r="AL134" s="33"/>
      <c r="AM134" s="33"/>
      <c r="AN134" s="33"/>
      <c r="AO134" s="33"/>
      <c r="AP134" s="33"/>
    </row>
    <row r="135" spans="1:42" s="26" customFormat="1">
      <c r="A135" s="28" t="s">
        <v>663</v>
      </c>
      <c r="B135" s="28" t="s">
        <v>618</v>
      </c>
      <c r="C135" s="28"/>
      <c r="D135" s="28" t="s">
        <v>1016</v>
      </c>
      <c r="E135" s="31" t="s">
        <v>864</v>
      </c>
      <c r="F135" s="28">
        <f t="shared" si="6"/>
        <v>1</v>
      </c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>
        <v>1</v>
      </c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4">
        <v>57.6</v>
      </c>
      <c r="AF135" s="18">
        <f t="shared" si="7"/>
        <v>0</v>
      </c>
      <c r="AG135" s="32"/>
      <c r="AH135" s="30">
        <v>0</v>
      </c>
      <c r="AI135" s="14">
        <f t="shared" si="8"/>
        <v>57.6</v>
      </c>
      <c r="AJ135" s="33"/>
      <c r="AK135" s="33"/>
      <c r="AL135" s="33"/>
      <c r="AM135" s="33"/>
      <c r="AN135" s="33"/>
      <c r="AO135" s="33"/>
      <c r="AP135" s="33"/>
    </row>
    <row r="136" spans="1:42" s="26" customFormat="1">
      <c r="A136" s="28" t="s">
        <v>663</v>
      </c>
      <c r="B136" s="28" t="s">
        <v>618</v>
      </c>
      <c r="C136" s="28"/>
      <c r="D136" s="28" t="s">
        <v>1017</v>
      </c>
      <c r="E136" s="31" t="s">
        <v>863</v>
      </c>
      <c r="F136" s="28">
        <f t="shared" si="6"/>
        <v>0</v>
      </c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>
        <v>0</v>
      </c>
      <c r="U136" s="32">
        <v>0</v>
      </c>
      <c r="V136" s="32">
        <v>0</v>
      </c>
      <c r="W136" s="32"/>
      <c r="X136" s="32"/>
      <c r="Y136" s="32"/>
      <c r="Z136" s="32"/>
      <c r="AA136" s="32"/>
      <c r="AB136" s="32"/>
      <c r="AC136" s="32"/>
      <c r="AD136" s="32"/>
      <c r="AE136" s="34">
        <v>57.6</v>
      </c>
      <c r="AF136" s="18">
        <f t="shared" si="7"/>
        <v>0</v>
      </c>
      <c r="AG136" s="32"/>
      <c r="AH136" s="30">
        <v>0</v>
      </c>
      <c r="AI136" s="14">
        <f t="shared" si="8"/>
        <v>0</v>
      </c>
      <c r="AJ136" s="33"/>
      <c r="AK136" s="33"/>
      <c r="AL136" s="33"/>
      <c r="AM136" s="33"/>
      <c r="AN136" s="33"/>
      <c r="AO136" s="33"/>
      <c r="AP136" s="33"/>
    </row>
    <row r="137" spans="1:42" s="26" customFormat="1">
      <c r="A137" s="28" t="s">
        <v>663</v>
      </c>
      <c r="B137" s="28" t="s">
        <v>618</v>
      </c>
      <c r="C137" s="28"/>
      <c r="D137" s="28" t="s">
        <v>860</v>
      </c>
      <c r="E137" s="31" t="s">
        <v>861</v>
      </c>
      <c r="F137" s="28">
        <f t="shared" si="6"/>
        <v>0</v>
      </c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>
        <v>0</v>
      </c>
      <c r="U137" s="32">
        <v>0</v>
      </c>
      <c r="V137" s="32">
        <v>0</v>
      </c>
      <c r="W137" s="32"/>
      <c r="X137" s="32"/>
      <c r="Y137" s="32"/>
      <c r="Z137" s="32"/>
      <c r="AA137" s="32"/>
      <c r="AB137" s="32"/>
      <c r="AC137" s="32"/>
      <c r="AD137" s="32"/>
      <c r="AE137" s="34">
        <v>57.6</v>
      </c>
      <c r="AF137" s="18">
        <f t="shared" si="7"/>
        <v>0</v>
      </c>
      <c r="AG137" s="32"/>
      <c r="AH137" s="30">
        <v>0</v>
      </c>
      <c r="AI137" s="14">
        <f t="shared" si="8"/>
        <v>0</v>
      </c>
      <c r="AJ137" s="33"/>
      <c r="AK137" s="33"/>
      <c r="AL137" s="33"/>
      <c r="AM137" s="33"/>
      <c r="AN137" s="33"/>
      <c r="AO137" s="33"/>
      <c r="AP137" s="33"/>
    </row>
    <row r="138" spans="1:42" s="26" customFormat="1">
      <c r="A138" s="28" t="s">
        <v>663</v>
      </c>
      <c r="B138" s="28" t="s">
        <v>618</v>
      </c>
      <c r="C138" s="28"/>
      <c r="D138" s="28" t="s">
        <v>1187</v>
      </c>
      <c r="E138" s="31" t="s">
        <v>987</v>
      </c>
      <c r="F138" s="28">
        <f t="shared" si="6"/>
        <v>0</v>
      </c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>
        <v>0</v>
      </c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20">
        <v>132</v>
      </c>
      <c r="AF138" s="18">
        <f t="shared" si="7"/>
        <v>0</v>
      </c>
      <c r="AG138" s="32"/>
      <c r="AH138" s="30">
        <v>0</v>
      </c>
      <c r="AI138" s="14">
        <f t="shared" si="8"/>
        <v>0</v>
      </c>
    </row>
    <row r="139" spans="1:42" s="26" customFormat="1">
      <c r="A139" s="28" t="s">
        <v>663</v>
      </c>
      <c r="B139" s="28" t="s">
        <v>621</v>
      </c>
      <c r="C139" s="28"/>
      <c r="D139" s="28" t="s">
        <v>871</v>
      </c>
      <c r="E139" s="31" t="s">
        <v>872</v>
      </c>
      <c r="F139" s="28">
        <f t="shared" si="6"/>
        <v>1.5</v>
      </c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>
        <v>1.5</v>
      </c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4">
        <v>64</v>
      </c>
      <c r="AF139" s="18">
        <f t="shared" si="7"/>
        <v>0</v>
      </c>
      <c r="AG139" s="32"/>
      <c r="AH139" s="30">
        <v>0</v>
      </c>
      <c r="AI139" s="14">
        <f t="shared" si="8"/>
        <v>96</v>
      </c>
      <c r="AJ139" s="33"/>
      <c r="AK139" s="33"/>
      <c r="AL139" s="33"/>
      <c r="AM139" s="33"/>
      <c r="AN139" s="33"/>
      <c r="AO139" s="33"/>
      <c r="AP139" s="33"/>
    </row>
    <row r="140" spans="1:42" s="26" customFormat="1">
      <c r="A140" s="28" t="s">
        <v>663</v>
      </c>
      <c r="B140" s="28" t="s">
        <v>621</v>
      </c>
      <c r="C140" s="28"/>
      <c r="D140" s="28" t="s">
        <v>658</v>
      </c>
      <c r="E140" s="31" t="s">
        <v>22</v>
      </c>
      <c r="F140" s="28">
        <f t="shared" si="6"/>
        <v>1.33</v>
      </c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>
        <v>2</v>
      </c>
      <c r="W140" s="32"/>
      <c r="X140" s="32">
        <v>0</v>
      </c>
      <c r="Y140" s="32">
        <v>8</v>
      </c>
      <c r="Z140" s="32"/>
      <c r="AA140" s="32"/>
      <c r="AB140" s="32"/>
      <c r="AC140" s="32">
        <v>3</v>
      </c>
      <c r="AD140" s="32"/>
      <c r="AE140" s="34">
        <v>300</v>
      </c>
      <c r="AF140" s="18">
        <f t="shared" si="7"/>
        <v>1000</v>
      </c>
      <c r="AG140" s="32">
        <v>10</v>
      </c>
      <c r="AH140" s="30">
        <v>0</v>
      </c>
      <c r="AI140" s="14">
        <f t="shared" si="8"/>
        <v>399</v>
      </c>
      <c r="AJ140" s="33"/>
      <c r="AK140" s="33"/>
      <c r="AL140" s="33"/>
      <c r="AM140" s="33"/>
      <c r="AN140" s="33"/>
      <c r="AO140" s="33"/>
      <c r="AP140" s="33"/>
    </row>
    <row r="141" spans="1:42" s="26" customFormat="1">
      <c r="A141" s="36" t="s">
        <v>663</v>
      </c>
      <c r="B141" s="36" t="s">
        <v>621</v>
      </c>
      <c r="C141" s="36"/>
      <c r="D141" s="36" t="s">
        <v>1018</v>
      </c>
      <c r="E141" s="37" t="s">
        <v>948</v>
      </c>
      <c r="F141" s="28">
        <f t="shared" si="6"/>
        <v>1</v>
      </c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>
        <v>1</v>
      </c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9">
        <v>72</v>
      </c>
      <c r="AF141" s="18">
        <f t="shared" si="7"/>
        <v>0</v>
      </c>
      <c r="AG141" s="38"/>
      <c r="AH141" s="30">
        <v>0</v>
      </c>
      <c r="AI141" s="14">
        <f t="shared" si="8"/>
        <v>72</v>
      </c>
      <c r="AJ141" s="33"/>
      <c r="AK141" s="33"/>
      <c r="AL141" s="33"/>
      <c r="AM141" s="33"/>
      <c r="AN141" s="33"/>
      <c r="AO141" s="33"/>
      <c r="AP141" s="33"/>
    </row>
    <row r="142" spans="1:42" s="26" customFormat="1">
      <c r="A142" s="26" t="s">
        <v>663</v>
      </c>
      <c r="B142" s="26" t="s">
        <v>621</v>
      </c>
      <c r="D142" s="26" t="s">
        <v>951</v>
      </c>
      <c r="E142" s="27" t="s">
        <v>952</v>
      </c>
      <c r="F142" s="28">
        <f t="shared" si="6"/>
        <v>0.9</v>
      </c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>
        <v>0.9</v>
      </c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14">
        <v>60</v>
      </c>
      <c r="AF142" s="18">
        <f t="shared" si="7"/>
        <v>0</v>
      </c>
      <c r="AG142" s="29"/>
      <c r="AH142" s="30">
        <v>0</v>
      </c>
      <c r="AI142" s="14">
        <f t="shared" si="8"/>
        <v>54</v>
      </c>
      <c r="AJ142"/>
      <c r="AK142"/>
      <c r="AL142"/>
      <c r="AM142"/>
      <c r="AN142"/>
      <c r="AO142"/>
      <c r="AP142"/>
    </row>
    <row r="143" spans="1:42" s="26" customFormat="1">
      <c r="A143" s="26" t="s">
        <v>663</v>
      </c>
      <c r="B143" s="26" t="s">
        <v>621</v>
      </c>
      <c r="D143" s="26" t="s">
        <v>1023</v>
      </c>
      <c r="E143" s="27" t="s">
        <v>950</v>
      </c>
      <c r="F143" s="28">
        <f t="shared" si="6"/>
        <v>0.6</v>
      </c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>
        <v>0.6</v>
      </c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14">
        <v>72</v>
      </c>
      <c r="AF143" s="18">
        <f t="shared" si="7"/>
        <v>0</v>
      </c>
      <c r="AG143" s="29"/>
      <c r="AH143" s="30">
        <v>0</v>
      </c>
      <c r="AI143" s="14">
        <f t="shared" si="8"/>
        <v>43.199999999999996</v>
      </c>
      <c r="AJ143"/>
      <c r="AK143"/>
      <c r="AL143"/>
      <c r="AM143"/>
      <c r="AN143"/>
      <c r="AO143"/>
      <c r="AP143"/>
    </row>
    <row r="144" spans="1:42" s="26" customFormat="1">
      <c r="A144" s="26" t="s">
        <v>663</v>
      </c>
      <c r="B144" s="26" t="s">
        <v>621</v>
      </c>
      <c r="D144" s="26" t="s">
        <v>1022</v>
      </c>
      <c r="E144" s="27" t="s">
        <v>949</v>
      </c>
      <c r="F144" s="28">
        <f t="shared" si="6"/>
        <v>0.5</v>
      </c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>
        <v>0.5</v>
      </c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4">
        <v>72</v>
      </c>
      <c r="AF144" s="18">
        <f t="shared" si="7"/>
        <v>0</v>
      </c>
      <c r="AG144" s="29"/>
      <c r="AH144" s="30">
        <v>0</v>
      </c>
      <c r="AI144" s="14">
        <f t="shared" si="8"/>
        <v>36</v>
      </c>
    </row>
    <row r="145" spans="1:42" s="26" customFormat="1">
      <c r="A145" s="28" t="s">
        <v>663</v>
      </c>
      <c r="B145" s="28" t="s">
        <v>621</v>
      </c>
      <c r="C145" s="28"/>
      <c r="D145" s="28" t="s">
        <v>1398</v>
      </c>
      <c r="E145" s="31" t="s">
        <v>1399</v>
      </c>
      <c r="F145" s="28">
        <f t="shared" si="6"/>
        <v>0.5</v>
      </c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>
        <v>2</v>
      </c>
      <c r="W145" s="32"/>
      <c r="X145" s="32"/>
      <c r="Y145" s="32"/>
      <c r="Z145" s="32"/>
      <c r="AA145" s="32"/>
      <c r="AB145" s="32"/>
      <c r="AC145" s="32"/>
      <c r="AD145" s="32"/>
      <c r="AE145" s="34"/>
      <c r="AF145" s="18">
        <f t="shared" si="7"/>
        <v>0</v>
      </c>
      <c r="AG145" s="32"/>
      <c r="AH145" s="30">
        <v>0</v>
      </c>
      <c r="AI145" s="14">
        <f t="shared" si="8"/>
        <v>0</v>
      </c>
      <c r="AO145"/>
      <c r="AP145"/>
    </row>
    <row r="146" spans="1:42" s="26" customFormat="1">
      <c r="A146" s="28" t="s">
        <v>663</v>
      </c>
      <c r="B146" s="28" t="s">
        <v>621</v>
      </c>
      <c r="C146" s="28"/>
      <c r="D146" s="28" t="s">
        <v>1142</v>
      </c>
      <c r="E146" s="31" t="s">
        <v>1143</v>
      </c>
      <c r="F146" s="28">
        <f t="shared" si="6"/>
        <v>0.25</v>
      </c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>
        <v>1</v>
      </c>
      <c r="W146" s="32"/>
      <c r="X146" s="32"/>
      <c r="Y146" s="32"/>
      <c r="Z146" s="32"/>
      <c r="AA146" s="32"/>
      <c r="AB146" s="32"/>
      <c r="AC146" s="32"/>
      <c r="AD146" s="32"/>
      <c r="AE146" s="14">
        <v>1344</v>
      </c>
      <c r="AF146" s="18">
        <f t="shared" si="7"/>
        <v>0</v>
      </c>
      <c r="AG146" s="32"/>
      <c r="AH146" s="30">
        <v>0</v>
      </c>
      <c r="AI146" s="14">
        <f t="shared" si="8"/>
        <v>336</v>
      </c>
    </row>
    <row r="147" spans="1:42" s="26" customFormat="1">
      <c r="A147" s="28" t="s">
        <v>663</v>
      </c>
      <c r="B147" s="28" t="s">
        <v>621</v>
      </c>
      <c r="C147" s="28"/>
      <c r="D147" s="28" t="s">
        <v>1210</v>
      </c>
      <c r="E147" s="31" t="s">
        <v>1211</v>
      </c>
      <c r="F147" s="28">
        <f t="shared" si="6"/>
        <v>0.25</v>
      </c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>
        <v>1</v>
      </c>
      <c r="W147" s="32"/>
      <c r="X147" s="32"/>
      <c r="Y147" s="32"/>
      <c r="Z147" s="32"/>
      <c r="AA147" s="32"/>
      <c r="AB147" s="32"/>
      <c r="AC147" s="32"/>
      <c r="AD147" s="32"/>
      <c r="AE147" s="34">
        <v>2000</v>
      </c>
      <c r="AF147" s="18">
        <f t="shared" si="7"/>
        <v>0</v>
      </c>
      <c r="AG147" s="32"/>
      <c r="AH147" s="30">
        <v>0</v>
      </c>
      <c r="AI147" s="14">
        <f t="shared" si="8"/>
        <v>500</v>
      </c>
      <c r="AO147"/>
      <c r="AP147"/>
    </row>
    <row r="148" spans="1:42" s="26" customFormat="1">
      <c r="A148" s="28" t="s">
        <v>663</v>
      </c>
      <c r="B148" s="28" t="s">
        <v>621</v>
      </c>
      <c r="C148" s="28"/>
      <c r="D148" s="28" t="s">
        <v>1076</v>
      </c>
      <c r="E148" s="31" t="s">
        <v>1077</v>
      </c>
      <c r="F148" s="28">
        <f t="shared" si="6"/>
        <v>0</v>
      </c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>
        <v>0</v>
      </c>
      <c r="W148" s="32"/>
      <c r="X148" s="32"/>
      <c r="Y148" s="32"/>
      <c r="Z148" s="32"/>
      <c r="AA148" s="32"/>
      <c r="AB148" s="32"/>
      <c r="AC148" s="32"/>
      <c r="AD148" s="32"/>
      <c r="AE148" s="34">
        <v>1344</v>
      </c>
      <c r="AF148" s="18">
        <f t="shared" si="7"/>
        <v>0</v>
      </c>
      <c r="AG148" s="32"/>
      <c r="AH148" s="30">
        <v>0</v>
      </c>
      <c r="AI148" s="14">
        <f t="shared" si="8"/>
        <v>0</v>
      </c>
    </row>
    <row r="149" spans="1:42" s="26" customFormat="1">
      <c r="A149" s="28" t="s">
        <v>663</v>
      </c>
      <c r="B149" s="28" t="s">
        <v>621</v>
      </c>
      <c r="C149" s="28"/>
      <c r="D149" s="28" t="s">
        <v>1019</v>
      </c>
      <c r="E149" s="31" t="s">
        <v>947</v>
      </c>
      <c r="F149" s="28">
        <f t="shared" si="6"/>
        <v>0</v>
      </c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>
        <v>0</v>
      </c>
      <c r="T149" s="32">
        <v>0</v>
      </c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4">
        <v>72</v>
      </c>
      <c r="AF149" s="18">
        <f t="shared" si="7"/>
        <v>0</v>
      </c>
      <c r="AG149" s="32"/>
      <c r="AH149" s="30">
        <v>0</v>
      </c>
      <c r="AI149" s="14">
        <f t="shared" si="8"/>
        <v>0</v>
      </c>
    </row>
    <row r="150" spans="1:42" s="26" customFormat="1">
      <c r="A150" s="28" t="s">
        <v>663</v>
      </c>
      <c r="B150" s="28" t="s">
        <v>621</v>
      </c>
      <c r="C150" s="28"/>
      <c r="D150" s="28" t="s">
        <v>1020</v>
      </c>
      <c r="E150" s="31" t="s">
        <v>870</v>
      </c>
      <c r="F150" s="28">
        <f t="shared" si="6"/>
        <v>0</v>
      </c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>
        <v>0</v>
      </c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4">
        <v>72</v>
      </c>
      <c r="AF150" s="18">
        <f t="shared" si="7"/>
        <v>0</v>
      </c>
      <c r="AG150" s="32"/>
      <c r="AH150" s="30">
        <v>0</v>
      </c>
      <c r="AI150" s="14">
        <f t="shared" si="8"/>
        <v>0</v>
      </c>
      <c r="AJ150" s="33"/>
      <c r="AK150" s="33"/>
      <c r="AL150" s="33"/>
      <c r="AM150" s="33"/>
      <c r="AN150" s="33"/>
      <c r="AO150" s="33"/>
      <c r="AP150" s="33"/>
    </row>
    <row r="151" spans="1:42" s="26" customFormat="1">
      <c r="A151" s="26" t="s">
        <v>663</v>
      </c>
      <c r="B151" s="26" t="s">
        <v>621</v>
      </c>
      <c r="D151" s="26" t="s">
        <v>1021</v>
      </c>
      <c r="E151" s="27" t="s">
        <v>873</v>
      </c>
      <c r="F151" s="28">
        <f t="shared" si="6"/>
        <v>0</v>
      </c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4">
        <v>72</v>
      </c>
      <c r="AF151" s="18">
        <f t="shared" si="7"/>
        <v>0</v>
      </c>
      <c r="AG151" s="29"/>
      <c r="AH151" s="30">
        <v>0</v>
      </c>
      <c r="AI151" s="14">
        <f t="shared" si="8"/>
        <v>0</v>
      </c>
    </row>
    <row r="152" spans="1:42" s="33" customFormat="1">
      <c r="A152" s="28" t="s">
        <v>663</v>
      </c>
      <c r="B152" s="28" t="s">
        <v>622</v>
      </c>
      <c r="C152" s="28"/>
      <c r="D152" s="28" t="s">
        <v>1144</v>
      </c>
      <c r="E152" s="31" t="s">
        <v>1145</v>
      </c>
      <c r="F152" s="28">
        <f t="shared" si="6"/>
        <v>20</v>
      </c>
      <c r="G152" s="32"/>
      <c r="H152" s="32"/>
      <c r="I152" s="32"/>
      <c r="J152" s="32"/>
      <c r="K152" s="32"/>
      <c r="L152" s="32"/>
      <c r="M152" s="32"/>
      <c r="N152" s="32">
        <v>4</v>
      </c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4"/>
      <c r="AF152" s="18">
        <f t="shared" si="7"/>
        <v>800</v>
      </c>
      <c r="AG152" s="32">
        <v>8</v>
      </c>
      <c r="AH152" s="30">
        <v>0</v>
      </c>
      <c r="AI152" s="14">
        <f t="shared" si="8"/>
        <v>0</v>
      </c>
    </row>
    <row r="153" spans="1:42" s="26" customFormat="1">
      <c r="A153" s="28" t="s">
        <v>663</v>
      </c>
      <c r="B153" s="28" t="s">
        <v>622</v>
      </c>
      <c r="D153" s="26" t="s">
        <v>1213</v>
      </c>
      <c r="E153" s="27" t="s">
        <v>1214</v>
      </c>
      <c r="F153" s="28">
        <f t="shared" si="6"/>
        <v>12</v>
      </c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>
        <v>6</v>
      </c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0">
        <v>300</v>
      </c>
      <c r="AF153" s="18">
        <f t="shared" si="7"/>
        <v>0</v>
      </c>
      <c r="AG153" s="29"/>
      <c r="AH153" s="30">
        <v>0</v>
      </c>
      <c r="AI153" s="14">
        <f t="shared" si="8"/>
        <v>3600</v>
      </c>
      <c r="AJ153"/>
      <c r="AK153"/>
      <c r="AL153"/>
      <c r="AM153"/>
      <c r="AN153"/>
      <c r="AO153"/>
      <c r="AP153"/>
    </row>
    <row r="154" spans="1:42" s="26" customFormat="1">
      <c r="A154" s="28" t="s">
        <v>663</v>
      </c>
      <c r="B154" s="28" t="s">
        <v>622</v>
      </c>
      <c r="C154" s="28"/>
      <c r="D154" s="28" t="s">
        <v>1216</v>
      </c>
      <c r="E154" s="31" t="s">
        <v>1217</v>
      </c>
      <c r="F154" s="28">
        <f t="shared" si="6"/>
        <v>14.5</v>
      </c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>
        <v>10</v>
      </c>
      <c r="U154" s="32"/>
      <c r="V154" s="32">
        <v>18</v>
      </c>
      <c r="W154" s="32"/>
      <c r="X154" s="32"/>
      <c r="Y154" s="32"/>
      <c r="Z154" s="32"/>
      <c r="AA154" s="32"/>
      <c r="AB154" s="32"/>
      <c r="AC154" s="32"/>
      <c r="AD154" s="32"/>
      <c r="AE154" s="34">
        <v>70</v>
      </c>
      <c r="AF154" s="18">
        <f t="shared" si="7"/>
        <v>0</v>
      </c>
      <c r="AG154" s="32"/>
      <c r="AH154" s="30">
        <v>0</v>
      </c>
      <c r="AI154" s="14">
        <f t="shared" si="8"/>
        <v>1015</v>
      </c>
    </row>
    <row r="155" spans="1:42" s="26" customFormat="1">
      <c r="A155" s="28" t="s">
        <v>663</v>
      </c>
      <c r="B155" s="28" t="s">
        <v>622</v>
      </c>
      <c r="C155" s="28"/>
      <c r="D155" s="28" t="s">
        <v>1146</v>
      </c>
      <c r="E155" s="31" t="s">
        <v>884</v>
      </c>
      <c r="F155" s="28">
        <f t="shared" si="6"/>
        <v>4.5</v>
      </c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>
        <v>2</v>
      </c>
      <c r="U155" s="32"/>
      <c r="V155" s="32">
        <v>10</v>
      </c>
      <c r="W155" s="32"/>
      <c r="X155" s="32"/>
      <c r="Y155" s="32"/>
      <c r="Z155" s="32"/>
      <c r="AA155" s="32"/>
      <c r="AB155" s="32"/>
      <c r="AC155" s="32"/>
      <c r="AD155" s="32"/>
      <c r="AE155" s="34"/>
      <c r="AF155" s="18">
        <f t="shared" si="7"/>
        <v>0</v>
      </c>
      <c r="AG155" s="32"/>
      <c r="AH155" s="30">
        <v>0</v>
      </c>
      <c r="AI155" s="14">
        <f t="shared" si="8"/>
        <v>0</v>
      </c>
      <c r="AJ155" s="33"/>
      <c r="AK155" s="33"/>
      <c r="AL155" s="33"/>
      <c r="AM155" s="33"/>
      <c r="AN155" s="33"/>
      <c r="AO155" s="33"/>
      <c r="AP155" s="33"/>
    </row>
    <row r="156" spans="1:42" s="26" customFormat="1">
      <c r="A156" s="28" t="s">
        <v>663</v>
      </c>
      <c r="B156" s="28" t="s">
        <v>622</v>
      </c>
      <c r="C156" s="28"/>
      <c r="D156" s="28" t="s">
        <v>686</v>
      </c>
      <c r="E156" s="31" t="s">
        <v>883</v>
      </c>
      <c r="F156" s="28">
        <f t="shared" si="6"/>
        <v>2.75</v>
      </c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>
        <v>11</v>
      </c>
      <c r="W156" s="32"/>
      <c r="X156" s="32"/>
      <c r="Y156" s="32"/>
      <c r="Z156" s="32"/>
      <c r="AA156" s="32"/>
      <c r="AB156" s="32"/>
      <c r="AC156" s="32"/>
      <c r="AD156" s="32"/>
      <c r="AE156" s="34">
        <v>180</v>
      </c>
      <c r="AF156" s="18">
        <f t="shared" si="7"/>
        <v>0</v>
      </c>
      <c r="AG156" s="32"/>
      <c r="AH156" s="30">
        <v>0</v>
      </c>
      <c r="AI156" s="14">
        <f t="shared" si="8"/>
        <v>495</v>
      </c>
      <c r="AJ156" s="33"/>
      <c r="AK156" s="33"/>
      <c r="AL156" s="33"/>
      <c r="AM156" s="33"/>
      <c r="AN156" s="33"/>
      <c r="AO156" s="33"/>
      <c r="AP156" s="33"/>
    </row>
    <row r="157" spans="1:42" s="26" customFormat="1">
      <c r="A157" s="28" t="s">
        <v>663</v>
      </c>
      <c r="B157" s="28" t="s">
        <v>622</v>
      </c>
      <c r="C157" s="28"/>
      <c r="D157" s="28" t="s">
        <v>885</v>
      </c>
      <c r="E157" s="31" t="s">
        <v>1198</v>
      </c>
      <c r="F157" s="28">
        <f t="shared" si="6"/>
        <v>2.25</v>
      </c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>
        <v>2</v>
      </c>
      <c r="U157" s="32"/>
      <c r="V157" s="32">
        <v>1</v>
      </c>
      <c r="W157" s="32"/>
      <c r="X157" s="32"/>
      <c r="Y157" s="32"/>
      <c r="Z157" s="32"/>
      <c r="AA157" s="32"/>
      <c r="AB157" s="32"/>
      <c r="AC157" s="32"/>
      <c r="AD157" s="32"/>
      <c r="AE157" s="34">
        <v>280</v>
      </c>
      <c r="AF157" s="18">
        <f t="shared" si="7"/>
        <v>0</v>
      </c>
      <c r="AG157" s="32"/>
      <c r="AH157" s="30">
        <v>0</v>
      </c>
      <c r="AI157" s="14">
        <f t="shared" si="8"/>
        <v>630</v>
      </c>
      <c r="AJ157" s="33"/>
      <c r="AK157" s="33"/>
      <c r="AL157" s="33"/>
      <c r="AM157" s="33"/>
      <c r="AN157" s="33"/>
      <c r="AO157" s="33"/>
      <c r="AP157" s="33"/>
    </row>
    <row r="158" spans="1:42" s="26" customFormat="1">
      <c r="A158" s="28" t="s">
        <v>663</v>
      </c>
      <c r="B158" s="28" t="s">
        <v>622</v>
      </c>
      <c r="C158" s="28"/>
      <c r="D158" s="28" t="s">
        <v>685</v>
      </c>
      <c r="E158" s="31" t="s">
        <v>204</v>
      </c>
      <c r="F158" s="28">
        <f t="shared" si="6"/>
        <v>1.5</v>
      </c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>
        <v>2</v>
      </c>
      <c r="W158" s="32"/>
      <c r="X158" s="32">
        <v>10</v>
      </c>
      <c r="Y158" s="32"/>
      <c r="Z158" s="32"/>
      <c r="AA158" s="32"/>
      <c r="AB158" s="32"/>
      <c r="AC158" s="32"/>
      <c r="AD158" s="32"/>
      <c r="AE158" s="34">
        <v>160</v>
      </c>
      <c r="AF158" s="18">
        <f t="shared" si="7"/>
        <v>0</v>
      </c>
      <c r="AG158" s="32"/>
      <c r="AH158" s="30">
        <v>0</v>
      </c>
      <c r="AI158" s="14">
        <f t="shared" si="8"/>
        <v>240</v>
      </c>
      <c r="AJ158" s="33"/>
      <c r="AK158" s="33"/>
      <c r="AL158" s="33"/>
      <c r="AM158" s="33"/>
      <c r="AN158" s="33"/>
      <c r="AO158" s="33"/>
      <c r="AP158" s="33"/>
    </row>
    <row r="159" spans="1:42" s="26" customFormat="1">
      <c r="A159" s="28" t="s">
        <v>663</v>
      </c>
      <c r="B159" s="28" t="s">
        <v>622</v>
      </c>
      <c r="C159" s="28"/>
      <c r="D159" s="28" t="s">
        <v>1216</v>
      </c>
      <c r="E159" s="31" t="s">
        <v>1403</v>
      </c>
      <c r="F159" s="28">
        <f t="shared" si="6"/>
        <v>1.25</v>
      </c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>
        <v>5</v>
      </c>
      <c r="W159" s="32"/>
      <c r="X159" s="32"/>
      <c r="Y159" s="32"/>
      <c r="Z159" s="32"/>
      <c r="AA159" s="32"/>
      <c r="AB159" s="32"/>
      <c r="AC159" s="32"/>
      <c r="AD159" s="32"/>
      <c r="AE159" s="20">
        <v>70</v>
      </c>
      <c r="AF159" s="18">
        <f t="shared" si="7"/>
        <v>0</v>
      </c>
      <c r="AG159" s="32"/>
      <c r="AH159" s="30">
        <v>0</v>
      </c>
      <c r="AI159" s="14">
        <f t="shared" si="8"/>
        <v>87.5</v>
      </c>
    </row>
    <row r="160" spans="1:42" s="26" customFormat="1">
      <c r="A160" s="28" t="s">
        <v>663</v>
      </c>
      <c r="B160" s="28" t="s">
        <v>622</v>
      </c>
      <c r="C160" s="28"/>
      <c r="D160" s="28" t="s">
        <v>1414</v>
      </c>
      <c r="E160" s="31" t="s">
        <v>1415</v>
      </c>
      <c r="F160" s="28">
        <f t="shared" si="6"/>
        <v>1.25</v>
      </c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>
        <v>1</v>
      </c>
      <c r="U160" s="32"/>
      <c r="V160" s="32">
        <v>1</v>
      </c>
      <c r="W160" s="32"/>
      <c r="X160" s="32"/>
      <c r="Y160" s="32"/>
      <c r="Z160" s="32"/>
      <c r="AA160" s="32"/>
      <c r="AB160" s="32"/>
      <c r="AC160" s="32"/>
      <c r="AD160" s="32"/>
      <c r="AE160" s="34"/>
      <c r="AF160" s="18">
        <f t="shared" si="7"/>
        <v>0</v>
      </c>
      <c r="AG160" s="32"/>
      <c r="AH160" s="30">
        <v>0</v>
      </c>
      <c r="AI160" s="14">
        <f t="shared" si="8"/>
        <v>0</v>
      </c>
      <c r="AJ160" s="33"/>
      <c r="AK160" s="33"/>
      <c r="AL160" s="33"/>
      <c r="AM160" s="33"/>
      <c r="AN160" s="33"/>
      <c r="AO160" s="33"/>
      <c r="AP160" s="33"/>
    </row>
    <row r="161" spans="1:42" s="26" customFormat="1">
      <c r="A161" s="28" t="s">
        <v>663</v>
      </c>
      <c r="B161" s="28" t="s">
        <v>622</v>
      </c>
      <c r="C161" s="28"/>
      <c r="D161" s="28" t="s">
        <v>881</v>
      </c>
      <c r="E161" s="31" t="s">
        <v>882</v>
      </c>
      <c r="F161" s="28">
        <f t="shared" si="6"/>
        <v>0.42000000000000004</v>
      </c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>
        <v>6</v>
      </c>
      <c r="AB161" s="32"/>
      <c r="AC161" s="32"/>
      <c r="AD161" s="32"/>
      <c r="AE161" s="34"/>
      <c r="AF161" s="18">
        <f t="shared" si="7"/>
        <v>800</v>
      </c>
      <c r="AG161" s="32">
        <v>8</v>
      </c>
      <c r="AH161" s="30">
        <v>0</v>
      </c>
      <c r="AI161" s="14">
        <f t="shared" si="8"/>
        <v>0</v>
      </c>
      <c r="AJ161" s="33"/>
      <c r="AK161" s="33"/>
      <c r="AL161" s="33"/>
      <c r="AM161" s="33"/>
      <c r="AN161" s="33"/>
      <c r="AO161" s="33"/>
      <c r="AP161" s="33"/>
    </row>
    <row r="162" spans="1:42" s="26" customFormat="1">
      <c r="A162" s="28" t="s">
        <v>663</v>
      </c>
      <c r="B162" s="28" t="s">
        <v>622</v>
      </c>
      <c r="C162" s="28"/>
      <c r="D162" s="28" t="s">
        <v>1410</v>
      </c>
      <c r="E162" s="31" t="s">
        <v>1413</v>
      </c>
      <c r="F162" s="28">
        <f t="shared" si="6"/>
        <v>0</v>
      </c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>
        <v>0</v>
      </c>
      <c r="Z162" s="32"/>
      <c r="AA162" s="32"/>
      <c r="AB162" s="32"/>
      <c r="AC162" s="32"/>
      <c r="AD162" s="32"/>
      <c r="AE162" s="34"/>
      <c r="AF162" s="18">
        <f t="shared" si="7"/>
        <v>0</v>
      </c>
      <c r="AG162" s="32"/>
      <c r="AH162" s="30">
        <v>0</v>
      </c>
      <c r="AI162" s="14">
        <f t="shared" si="8"/>
        <v>0</v>
      </c>
      <c r="AJ162" s="33"/>
      <c r="AK162" s="33"/>
      <c r="AL162" s="33"/>
      <c r="AM162" s="33"/>
      <c r="AN162" s="33"/>
      <c r="AO162" s="33"/>
      <c r="AP162" s="33"/>
    </row>
    <row r="163" spans="1:42" s="26" customFormat="1">
      <c r="A163" s="28" t="s">
        <v>663</v>
      </c>
      <c r="B163" s="28" t="s">
        <v>620</v>
      </c>
      <c r="C163" s="28"/>
      <c r="D163" s="28" t="s">
        <v>1008</v>
      </c>
      <c r="E163" s="31" t="s">
        <v>1038</v>
      </c>
      <c r="F163" s="28">
        <f t="shared" si="6"/>
        <v>800</v>
      </c>
      <c r="G163" s="32"/>
      <c r="H163" s="32"/>
      <c r="I163" s="32"/>
      <c r="J163" s="32">
        <v>40</v>
      </c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4">
        <v>65</v>
      </c>
      <c r="AF163" s="18">
        <f t="shared" si="7"/>
        <v>0</v>
      </c>
      <c r="AG163" s="32"/>
      <c r="AH163" s="30">
        <v>0</v>
      </c>
      <c r="AI163" s="14">
        <f t="shared" si="8"/>
        <v>52000</v>
      </c>
    </row>
    <row r="164" spans="1:42" s="26" customFormat="1">
      <c r="A164" s="28" t="s">
        <v>661</v>
      </c>
      <c r="B164" s="28" t="s">
        <v>1153</v>
      </c>
      <c r="C164" s="28"/>
      <c r="D164" s="28" t="s">
        <v>1040</v>
      </c>
      <c r="E164" s="31" t="s">
        <v>1193</v>
      </c>
      <c r="F164" s="28">
        <f t="shared" si="6"/>
        <v>80</v>
      </c>
      <c r="G164" s="32"/>
      <c r="H164" s="32"/>
      <c r="I164" s="32"/>
      <c r="J164" s="32">
        <v>4</v>
      </c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4">
        <v>10.5</v>
      </c>
      <c r="AF164" s="18">
        <f t="shared" si="7"/>
        <v>0</v>
      </c>
      <c r="AG164" s="32"/>
      <c r="AH164" s="30">
        <v>0</v>
      </c>
      <c r="AI164" s="14">
        <f t="shared" si="8"/>
        <v>840</v>
      </c>
    </row>
    <row r="165" spans="1:42" s="26" customFormat="1">
      <c r="A165" s="28" t="s">
        <v>661</v>
      </c>
      <c r="B165" s="28" t="s">
        <v>1156</v>
      </c>
      <c r="C165" s="28"/>
      <c r="D165" s="28" t="s">
        <v>1009</v>
      </c>
      <c r="E165" s="31" t="s">
        <v>1039</v>
      </c>
      <c r="F165" s="28">
        <f t="shared" si="6"/>
        <v>120</v>
      </c>
      <c r="G165" s="32"/>
      <c r="H165" s="32"/>
      <c r="I165" s="32"/>
      <c r="J165" s="32">
        <v>6</v>
      </c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4">
        <v>10.5</v>
      </c>
      <c r="AF165" s="18">
        <f t="shared" si="7"/>
        <v>0</v>
      </c>
      <c r="AG165" s="32"/>
      <c r="AH165" s="30">
        <v>0</v>
      </c>
      <c r="AI165" s="14">
        <f t="shared" si="8"/>
        <v>1260</v>
      </c>
      <c r="AP165"/>
    </row>
    <row r="166" spans="1:42">
      <c r="A166" s="28" t="s">
        <v>661</v>
      </c>
      <c r="B166" s="28" t="s">
        <v>616</v>
      </c>
      <c r="C166" s="28"/>
      <c r="D166" s="28" t="s">
        <v>689</v>
      </c>
      <c r="E166" s="31" t="s">
        <v>231</v>
      </c>
      <c r="F166" s="28">
        <f t="shared" si="6"/>
        <v>600</v>
      </c>
      <c r="G166" s="32">
        <v>2</v>
      </c>
      <c r="H166" s="32"/>
      <c r="I166" s="32"/>
      <c r="J166" s="32">
        <v>22</v>
      </c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4">
        <v>5.5</v>
      </c>
      <c r="AF166" s="18">
        <f t="shared" si="7"/>
        <v>0</v>
      </c>
      <c r="AG166" s="32"/>
      <c r="AH166" s="30">
        <v>0</v>
      </c>
      <c r="AI166" s="14">
        <f t="shared" si="8"/>
        <v>3300</v>
      </c>
      <c r="AJ166" s="26"/>
      <c r="AK166" s="26">
        <v>8.3000000000000007</v>
      </c>
      <c r="AL166" s="26">
        <v>5.5</v>
      </c>
      <c r="AM166" s="26"/>
      <c r="AN166" s="26"/>
      <c r="AO166" s="26"/>
      <c r="AP166" s="26"/>
    </row>
    <row r="167" spans="1:42">
      <c r="A167" s="28" t="s">
        <v>661</v>
      </c>
      <c r="B167" s="28" t="s">
        <v>616</v>
      </c>
      <c r="C167" s="28"/>
      <c r="D167" s="28" t="s">
        <v>1007</v>
      </c>
      <c r="E167" s="31" t="s">
        <v>229</v>
      </c>
      <c r="F167" s="28">
        <f t="shared" si="6"/>
        <v>0</v>
      </c>
      <c r="G167" s="32">
        <v>0</v>
      </c>
      <c r="H167" s="32"/>
      <c r="I167" s="32"/>
      <c r="J167" s="32">
        <v>0</v>
      </c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4">
        <v>5.5</v>
      </c>
      <c r="AF167" s="18">
        <f t="shared" si="7"/>
        <v>0</v>
      </c>
      <c r="AG167" s="32"/>
      <c r="AH167" s="30">
        <v>0</v>
      </c>
      <c r="AI167" s="14">
        <f t="shared" si="8"/>
        <v>0</v>
      </c>
      <c r="AJ167" s="26"/>
      <c r="AK167" s="26">
        <v>8.3000000000000007</v>
      </c>
      <c r="AL167" s="26">
        <v>5.5</v>
      </c>
      <c r="AM167" s="26"/>
      <c r="AN167" s="26"/>
      <c r="AO167" s="26"/>
      <c r="AP167" s="26"/>
    </row>
    <row r="168" spans="1:42">
      <c r="A168" s="28" t="s">
        <v>661</v>
      </c>
      <c r="B168" s="28" t="s">
        <v>618</v>
      </c>
      <c r="C168" s="28"/>
      <c r="D168" s="28" t="s">
        <v>1008</v>
      </c>
      <c r="E168" s="31" t="s">
        <v>230</v>
      </c>
      <c r="F168" s="28">
        <f t="shared" si="6"/>
        <v>160</v>
      </c>
      <c r="G168" s="32">
        <v>2</v>
      </c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4">
        <v>5.5</v>
      </c>
      <c r="AF168" s="18">
        <f t="shared" si="7"/>
        <v>0</v>
      </c>
      <c r="AG168" s="32"/>
      <c r="AH168" s="30">
        <v>0</v>
      </c>
      <c r="AI168" s="14">
        <f t="shared" si="8"/>
        <v>880</v>
      </c>
      <c r="AJ168" s="26"/>
      <c r="AK168" s="26">
        <v>8.3000000000000007</v>
      </c>
      <c r="AL168" s="26">
        <v>5.5</v>
      </c>
      <c r="AM168" s="26"/>
      <c r="AN168" s="26"/>
      <c r="AO168" s="26"/>
      <c r="AP168" s="26"/>
    </row>
    <row r="169" spans="1:42">
      <c r="A169" s="28" t="s">
        <v>661</v>
      </c>
      <c r="B169" s="28" t="s">
        <v>618</v>
      </c>
      <c r="C169" s="28"/>
      <c r="D169" s="28" t="s">
        <v>628</v>
      </c>
      <c r="E169" s="31" t="s">
        <v>232</v>
      </c>
      <c r="F169" s="28">
        <f t="shared" si="6"/>
        <v>160</v>
      </c>
      <c r="G169" s="32">
        <v>2</v>
      </c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4">
        <v>5.5</v>
      </c>
      <c r="AF169" s="18">
        <f t="shared" si="7"/>
        <v>0</v>
      </c>
      <c r="AG169" s="32"/>
      <c r="AH169" s="30">
        <v>0</v>
      </c>
      <c r="AI169" s="14">
        <f t="shared" si="8"/>
        <v>880</v>
      </c>
      <c r="AJ169" s="26"/>
      <c r="AK169" s="26">
        <v>8.3000000000000007</v>
      </c>
      <c r="AL169" s="26">
        <v>5.5</v>
      </c>
      <c r="AM169" s="26"/>
      <c r="AN169" s="26"/>
      <c r="AO169" s="26"/>
      <c r="AP169" s="26"/>
    </row>
    <row r="170" spans="1:42">
      <c r="A170" s="28" t="s">
        <v>661</v>
      </c>
      <c r="B170" s="28" t="s">
        <v>621</v>
      </c>
      <c r="C170" s="28"/>
      <c r="D170" s="28" t="s">
        <v>1009</v>
      </c>
      <c r="E170" s="31" t="s">
        <v>209</v>
      </c>
      <c r="F170" s="28">
        <f t="shared" si="6"/>
        <v>120</v>
      </c>
      <c r="G170" s="32"/>
      <c r="H170" s="32"/>
      <c r="I170" s="32">
        <v>2</v>
      </c>
      <c r="J170" s="32">
        <v>2</v>
      </c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4">
        <v>10.5</v>
      </c>
      <c r="AF170" s="18">
        <f t="shared" si="7"/>
        <v>0</v>
      </c>
      <c r="AG170" s="32"/>
      <c r="AH170" s="30">
        <v>0</v>
      </c>
      <c r="AI170" s="14">
        <f t="shared" si="8"/>
        <v>1260</v>
      </c>
      <c r="AJ170" s="26"/>
      <c r="AK170" s="26">
        <v>28.5</v>
      </c>
      <c r="AL170" s="26">
        <v>10.5</v>
      </c>
      <c r="AM170" s="26"/>
      <c r="AN170" s="26"/>
      <c r="AO170" s="26"/>
      <c r="AP170" s="26"/>
    </row>
    <row r="171" spans="1:42">
      <c r="A171" s="28" t="s">
        <v>661</v>
      </c>
      <c r="B171" s="28" t="s">
        <v>621</v>
      </c>
      <c r="C171" s="28"/>
      <c r="D171" s="28" t="s">
        <v>1010</v>
      </c>
      <c r="E171" s="31" t="s">
        <v>210</v>
      </c>
      <c r="F171" s="28">
        <f t="shared" si="6"/>
        <v>40</v>
      </c>
      <c r="G171" s="32"/>
      <c r="H171" s="32"/>
      <c r="I171" s="32">
        <v>1</v>
      </c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4">
        <v>10.5</v>
      </c>
      <c r="AF171" s="18">
        <f t="shared" si="7"/>
        <v>0</v>
      </c>
      <c r="AG171" s="32"/>
      <c r="AH171" s="30">
        <v>0</v>
      </c>
      <c r="AI171" s="14">
        <f t="shared" si="8"/>
        <v>420</v>
      </c>
      <c r="AJ171" s="26"/>
      <c r="AK171" s="26">
        <v>29.7</v>
      </c>
      <c r="AL171" s="26">
        <v>10.5</v>
      </c>
      <c r="AM171" s="26"/>
      <c r="AN171" s="26"/>
      <c r="AO171" s="26"/>
      <c r="AP171" s="26"/>
    </row>
    <row r="172" spans="1:42">
      <c r="A172" s="28" t="s">
        <v>661</v>
      </c>
      <c r="B172" s="28" t="s">
        <v>622</v>
      </c>
      <c r="C172" s="28"/>
      <c r="D172" s="28" t="s">
        <v>1011</v>
      </c>
      <c r="E172" s="31" t="s">
        <v>211</v>
      </c>
      <c r="F172" s="28">
        <f t="shared" si="6"/>
        <v>540</v>
      </c>
      <c r="G172" s="32"/>
      <c r="H172" s="32"/>
      <c r="I172" s="32">
        <v>2</v>
      </c>
      <c r="J172" s="32">
        <v>23</v>
      </c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4">
        <v>10.5</v>
      </c>
      <c r="AF172" s="18">
        <f t="shared" si="7"/>
        <v>0</v>
      </c>
      <c r="AG172" s="32"/>
      <c r="AH172" s="30">
        <v>0</v>
      </c>
      <c r="AI172" s="14">
        <f t="shared" si="8"/>
        <v>5670</v>
      </c>
      <c r="AJ172" s="26"/>
      <c r="AK172" s="26">
        <v>10.45</v>
      </c>
      <c r="AL172" s="26">
        <v>10.5</v>
      </c>
      <c r="AM172" s="26"/>
      <c r="AN172" s="26"/>
      <c r="AO172" s="26"/>
      <c r="AP172" s="26"/>
    </row>
    <row r="173" spans="1:42">
      <c r="A173" s="28" t="s">
        <v>661</v>
      </c>
      <c r="B173" s="28" t="s">
        <v>622</v>
      </c>
      <c r="C173" s="28"/>
      <c r="D173" s="28" t="s">
        <v>629</v>
      </c>
      <c r="E173" s="31" t="s">
        <v>212</v>
      </c>
      <c r="F173" s="28">
        <f t="shared" si="6"/>
        <v>520</v>
      </c>
      <c r="G173" s="32"/>
      <c r="H173" s="32"/>
      <c r="I173" s="32"/>
      <c r="J173" s="32">
        <v>26</v>
      </c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4">
        <v>10.5</v>
      </c>
      <c r="AF173" s="18">
        <f t="shared" si="7"/>
        <v>0</v>
      </c>
      <c r="AG173" s="32"/>
      <c r="AH173" s="30">
        <v>0</v>
      </c>
      <c r="AI173" s="14">
        <f t="shared" si="8"/>
        <v>5460</v>
      </c>
      <c r="AJ173" s="26"/>
      <c r="AK173" s="26">
        <v>9.6999999999999993</v>
      </c>
      <c r="AL173" s="26">
        <v>10.5</v>
      </c>
      <c r="AM173" s="26"/>
      <c r="AN173" s="26"/>
      <c r="AO173" s="26"/>
      <c r="AP173" s="26"/>
    </row>
    <row r="174" spans="1:42">
      <c r="A174" s="28" t="s">
        <v>661</v>
      </c>
      <c r="B174" s="28" t="s">
        <v>620</v>
      </c>
      <c r="C174" s="28"/>
      <c r="D174" s="28" t="s">
        <v>628</v>
      </c>
      <c r="E174" s="31" t="s">
        <v>1037</v>
      </c>
      <c r="F174" s="28">
        <f t="shared" si="6"/>
        <v>520</v>
      </c>
      <c r="G174" s="32"/>
      <c r="H174" s="32"/>
      <c r="I174" s="32"/>
      <c r="J174" s="32">
        <v>26</v>
      </c>
      <c r="K174" s="32"/>
      <c r="L174" s="32"/>
      <c r="M174" s="32"/>
      <c r="N174" s="32">
        <v>0</v>
      </c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4">
        <v>5.5</v>
      </c>
      <c r="AF174" s="18">
        <f t="shared" si="7"/>
        <v>0</v>
      </c>
      <c r="AG174" s="32"/>
      <c r="AH174" s="30">
        <v>0</v>
      </c>
      <c r="AI174" s="14">
        <f t="shared" si="8"/>
        <v>2860</v>
      </c>
      <c r="AJ174" s="26"/>
      <c r="AK174" s="26"/>
      <c r="AL174" s="26"/>
      <c r="AM174" s="26"/>
      <c r="AN174" s="26"/>
      <c r="AO174" s="26"/>
      <c r="AP174" s="26"/>
    </row>
    <row r="175" spans="1:42">
      <c r="A175" s="28" t="s">
        <v>880</v>
      </c>
      <c r="B175" s="28" t="s">
        <v>627</v>
      </c>
      <c r="C175" s="28"/>
      <c r="D175" s="28" t="s">
        <v>626</v>
      </c>
      <c r="E175" s="31" t="s">
        <v>690</v>
      </c>
      <c r="F175" s="28">
        <f t="shared" si="6"/>
        <v>40</v>
      </c>
      <c r="G175" s="32"/>
      <c r="H175" s="32"/>
      <c r="I175" s="32"/>
      <c r="J175" s="32"/>
      <c r="K175" s="32"/>
      <c r="L175" s="32">
        <v>4</v>
      </c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4">
        <v>20</v>
      </c>
      <c r="AF175" s="18">
        <f t="shared" si="7"/>
        <v>0</v>
      </c>
      <c r="AG175" s="32"/>
      <c r="AH175" s="30">
        <v>0</v>
      </c>
      <c r="AI175" s="14">
        <f t="shared" si="8"/>
        <v>800</v>
      </c>
      <c r="AJ175" s="26"/>
      <c r="AK175" s="26">
        <v>27.7</v>
      </c>
      <c r="AL175" s="26">
        <v>20</v>
      </c>
      <c r="AM175" s="26"/>
      <c r="AN175" s="26"/>
      <c r="AO175" s="26"/>
      <c r="AP175" s="26"/>
    </row>
    <row r="176" spans="1:42">
      <c r="A176" s="28" t="s">
        <v>880</v>
      </c>
      <c r="B176" s="28" t="s">
        <v>616</v>
      </c>
      <c r="C176" s="28"/>
      <c r="D176" s="28" t="s">
        <v>1005</v>
      </c>
      <c r="E176" s="31" t="s">
        <v>213</v>
      </c>
      <c r="F176" s="28">
        <f t="shared" si="6"/>
        <v>600</v>
      </c>
      <c r="G176" s="32"/>
      <c r="H176" s="32"/>
      <c r="I176" s="32">
        <v>3</v>
      </c>
      <c r="J176" s="32">
        <v>24</v>
      </c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4">
        <v>8.7449999999999992</v>
      </c>
      <c r="AF176" s="18">
        <f t="shared" si="7"/>
        <v>0</v>
      </c>
      <c r="AG176" s="32"/>
      <c r="AH176" s="30">
        <v>0</v>
      </c>
      <c r="AI176" s="14">
        <f t="shared" si="8"/>
        <v>5246.9999999999991</v>
      </c>
      <c r="AJ176" s="26"/>
      <c r="AK176" s="26">
        <v>8.75</v>
      </c>
      <c r="AL176" s="26">
        <v>10</v>
      </c>
      <c r="AM176" s="26"/>
      <c r="AN176" s="26"/>
      <c r="AO176" s="26"/>
      <c r="AP176" s="26"/>
    </row>
    <row r="177" spans="1:42">
      <c r="A177" s="28" t="s">
        <v>880</v>
      </c>
      <c r="B177" s="28" t="s">
        <v>616</v>
      </c>
      <c r="C177" s="28"/>
      <c r="D177" s="28" t="s">
        <v>623</v>
      </c>
      <c r="E177" s="31" t="s">
        <v>214</v>
      </c>
      <c r="F177" s="28">
        <f t="shared" si="6"/>
        <v>540</v>
      </c>
      <c r="G177" s="32"/>
      <c r="H177" s="32"/>
      <c r="I177" s="32">
        <v>3</v>
      </c>
      <c r="J177" s="32"/>
      <c r="K177" s="32"/>
      <c r="L177" s="32">
        <v>42</v>
      </c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4">
        <v>8.7449999999999992</v>
      </c>
      <c r="AF177" s="18">
        <f t="shared" si="7"/>
        <v>0</v>
      </c>
      <c r="AG177" s="32"/>
      <c r="AH177" s="30">
        <v>0</v>
      </c>
      <c r="AI177" s="14">
        <f t="shared" si="8"/>
        <v>4722.2999999999993</v>
      </c>
      <c r="AJ177" s="26"/>
      <c r="AK177" s="26">
        <v>8.75</v>
      </c>
      <c r="AL177" s="26">
        <v>10</v>
      </c>
      <c r="AM177" s="26"/>
      <c r="AN177" s="26"/>
      <c r="AO177" s="26"/>
      <c r="AP177" s="26"/>
    </row>
    <row r="178" spans="1:42">
      <c r="A178" s="28" t="s">
        <v>880</v>
      </c>
      <c r="B178" s="28" t="s">
        <v>618</v>
      </c>
      <c r="C178" s="28"/>
      <c r="D178" s="28" t="s">
        <v>624</v>
      </c>
      <c r="E178" s="31" t="s">
        <v>216</v>
      </c>
      <c r="F178" s="28">
        <f t="shared" si="6"/>
        <v>780</v>
      </c>
      <c r="G178" s="32"/>
      <c r="H178" s="32"/>
      <c r="I178" s="32">
        <v>3</v>
      </c>
      <c r="J178" s="32">
        <v>33</v>
      </c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4">
        <v>8.7449999999999992</v>
      </c>
      <c r="AF178" s="18">
        <f t="shared" si="7"/>
        <v>0</v>
      </c>
      <c r="AG178" s="32"/>
      <c r="AH178" s="30">
        <v>0</v>
      </c>
      <c r="AI178" s="14">
        <f t="shared" si="8"/>
        <v>6821.0999999999995</v>
      </c>
      <c r="AJ178" s="26"/>
      <c r="AK178" s="26">
        <v>8.75</v>
      </c>
      <c r="AL178" s="26">
        <v>10</v>
      </c>
      <c r="AM178" s="26"/>
      <c r="AN178" s="26"/>
      <c r="AO178" s="26"/>
      <c r="AP178" s="26"/>
    </row>
    <row r="179" spans="1:42">
      <c r="A179" s="28" t="s">
        <v>880</v>
      </c>
      <c r="B179" s="28" t="s">
        <v>618</v>
      </c>
      <c r="C179" s="28"/>
      <c r="D179" s="28" t="s">
        <v>986</v>
      </c>
      <c r="E179" s="31" t="s">
        <v>215</v>
      </c>
      <c r="F179" s="28">
        <f t="shared" si="6"/>
        <v>580</v>
      </c>
      <c r="G179" s="32"/>
      <c r="H179" s="32"/>
      <c r="I179" s="32">
        <v>2</v>
      </c>
      <c r="J179" s="32">
        <v>25</v>
      </c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4">
        <v>8.7449999999999992</v>
      </c>
      <c r="AF179" s="18">
        <f t="shared" si="7"/>
        <v>0</v>
      </c>
      <c r="AG179" s="32"/>
      <c r="AH179" s="30">
        <v>0</v>
      </c>
      <c r="AI179" s="14">
        <f t="shared" si="8"/>
        <v>5072.0999999999995</v>
      </c>
      <c r="AJ179" s="26"/>
      <c r="AK179" s="26">
        <v>8.75</v>
      </c>
      <c r="AL179" s="26">
        <v>10</v>
      </c>
      <c r="AM179" s="26"/>
      <c r="AN179" s="26"/>
      <c r="AO179" s="26"/>
      <c r="AP179" s="26"/>
    </row>
    <row r="180" spans="1:42">
      <c r="A180" s="28" t="s">
        <v>880</v>
      </c>
      <c r="B180" s="28" t="s">
        <v>621</v>
      </c>
      <c r="C180" s="28"/>
      <c r="D180" s="28" t="s">
        <v>625</v>
      </c>
      <c r="E180" s="31" t="s">
        <v>245</v>
      </c>
      <c r="F180" s="28">
        <f t="shared" si="6"/>
        <v>490</v>
      </c>
      <c r="G180" s="32"/>
      <c r="H180" s="32"/>
      <c r="I180" s="32"/>
      <c r="J180" s="32">
        <v>8</v>
      </c>
      <c r="K180" s="32"/>
      <c r="L180" s="32">
        <v>33</v>
      </c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4">
        <v>20</v>
      </c>
      <c r="AF180" s="18">
        <f t="shared" si="7"/>
        <v>0</v>
      </c>
      <c r="AG180" s="32"/>
      <c r="AH180" s="30">
        <v>0</v>
      </c>
      <c r="AI180" s="14">
        <f t="shared" si="8"/>
        <v>9800</v>
      </c>
      <c r="AJ180" s="26"/>
      <c r="AK180" s="26">
        <v>27.7</v>
      </c>
      <c r="AL180" s="26"/>
      <c r="AM180" s="26"/>
      <c r="AN180" s="26"/>
      <c r="AO180" s="26"/>
      <c r="AP180" s="26"/>
    </row>
    <row r="181" spans="1:42">
      <c r="A181" s="28" t="s">
        <v>880</v>
      </c>
      <c r="B181" s="28" t="s">
        <v>621</v>
      </c>
      <c r="C181" s="28"/>
      <c r="D181" s="28" t="s">
        <v>1006</v>
      </c>
      <c r="E181" s="31" t="s">
        <v>244</v>
      </c>
      <c r="F181" s="28">
        <f t="shared" si="6"/>
        <v>430</v>
      </c>
      <c r="G181" s="32"/>
      <c r="H181" s="32"/>
      <c r="I181" s="32"/>
      <c r="J181" s="32">
        <v>20</v>
      </c>
      <c r="K181" s="32"/>
      <c r="L181" s="32">
        <v>3</v>
      </c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4">
        <v>20</v>
      </c>
      <c r="AF181" s="18">
        <f t="shared" si="7"/>
        <v>0</v>
      </c>
      <c r="AG181" s="32"/>
      <c r="AH181" s="30">
        <v>0</v>
      </c>
      <c r="AI181" s="14">
        <f t="shared" si="8"/>
        <v>8600</v>
      </c>
      <c r="AJ181" s="26"/>
      <c r="AK181" s="26">
        <v>27.7</v>
      </c>
      <c r="AL181" s="26">
        <v>20</v>
      </c>
      <c r="AM181" s="26"/>
      <c r="AN181" s="26"/>
      <c r="AO181" s="26"/>
      <c r="AP181" s="26"/>
    </row>
    <row r="182" spans="1:42">
      <c r="A182" s="26" t="s">
        <v>880</v>
      </c>
      <c r="B182" s="26" t="s">
        <v>622</v>
      </c>
      <c r="D182" s="26" t="s">
        <v>1147</v>
      </c>
      <c r="E182" s="27" t="s">
        <v>246</v>
      </c>
      <c r="F182" s="28">
        <f t="shared" si="6"/>
        <v>400</v>
      </c>
      <c r="J182" s="29">
        <v>15</v>
      </c>
      <c r="L182" s="29">
        <v>10</v>
      </c>
      <c r="AE182" s="20">
        <v>20</v>
      </c>
      <c r="AF182" s="18">
        <f t="shared" si="7"/>
        <v>0</v>
      </c>
      <c r="AH182" s="30">
        <v>0</v>
      </c>
      <c r="AI182" s="14">
        <f t="shared" si="8"/>
        <v>8000</v>
      </c>
    </row>
    <row r="183" spans="1:42">
      <c r="A183" s="26" t="s">
        <v>880</v>
      </c>
      <c r="B183" s="26" t="s">
        <v>622</v>
      </c>
      <c r="D183" s="26" t="s">
        <v>1148</v>
      </c>
      <c r="E183" s="27" t="s">
        <v>1149</v>
      </c>
      <c r="F183" s="28">
        <f t="shared" si="6"/>
        <v>390</v>
      </c>
      <c r="L183" s="29">
        <v>39</v>
      </c>
      <c r="AE183" s="20">
        <v>25</v>
      </c>
      <c r="AF183" s="18">
        <f t="shared" si="7"/>
        <v>0</v>
      </c>
      <c r="AH183" s="30">
        <v>0</v>
      </c>
      <c r="AI183" s="14">
        <f t="shared" si="8"/>
        <v>9750</v>
      </c>
    </row>
    <row r="184" spans="1:42">
      <c r="A184" s="28" t="s">
        <v>880</v>
      </c>
      <c r="B184" s="28" t="s">
        <v>622</v>
      </c>
      <c r="C184" s="28"/>
      <c r="D184" s="28" t="s">
        <v>1457</v>
      </c>
      <c r="E184" s="31" t="s">
        <v>247</v>
      </c>
      <c r="F184" s="28">
        <f t="shared" si="6"/>
        <v>70</v>
      </c>
      <c r="G184" s="32"/>
      <c r="H184" s="32"/>
      <c r="I184" s="32"/>
      <c r="J184" s="32"/>
      <c r="K184" s="32"/>
      <c r="L184" s="32">
        <v>7</v>
      </c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4">
        <v>20</v>
      </c>
      <c r="AF184" s="18">
        <f t="shared" si="7"/>
        <v>0</v>
      </c>
      <c r="AG184" s="32"/>
      <c r="AH184" s="30">
        <v>0</v>
      </c>
      <c r="AI184" s="14">
        <f t="shared" si="8"/>
        <v>1400</v>
      </c>
      <c r="AJ184" s="26"/>
      <c r="AK184" s="26"/>
      <c r="AL184" s="26"/>
      <c r="AM184" s="26"/>
      <c r="AN184" s="26"/>
      <c r="AO184" s="26"/>
      <c r="AP184" s="26"/>
    </row>
    <row r="185" spans="1:42">
      <c r="A185" s="28" t="s">
        <v>880</v>
      </c>
      <c r="B185" s="28" t="s">
        <v>620</v>
      </c>
      <c r="C185" s="28"/>
      <c r="D185" s="28" t="s">
        <v>629</v>
      </c>
      <c r="E185" s="31" t="s">
        <v>1042</v>
      </c>
      <c r="F185" s="28">
        <f t="shared" si="6"/>
        <v>520</v>
      </c>
      <c r="G185" s="32"/>
      <c r="H185" s="32"/>
      <c r="I185" s="32"/>
      <c r="J185" s="32">
        <v>26</v>
      </c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4">
        <v>10.5</v>
      </c>
      <c r="AF185" s="18">
        <f t="shared" si="7"/>
        <v>0</v>
      </c>
      <c r="AG185" s="32"/>
      <c r="AH185" s="30">
        <v>0</v>
      </c>
      <c r="AI185" s="14">
        <f t="shared" si="8"/>
        <v>5460</v>
      </c>
      <c r="AJ185" s="26"/>
      <c r="AK185" s="26"/>
      <c r="AL185" s="26"/>
      <c r="AM185" s="26"/>
      <c r="AN185" s="26"/>
      <c r="AO185" s="26"/>
    </row>
    <row r="186" spans="1:42">
      <c r="A186" s="28" t="s">
        <v>880</v>
      </c>
      <c r="B186" s="28" t="s">
        <v>620</v>
      </c>
      <c r="C186" s="28"/>
      <c r="D186" s="28" t="s">
        <v>1152</v>
      </c>
      <c r="E186" s="31" t="s">
        <v>1041</v>
      </c>
      <c r="F186" s="28">
        <f t="shared" si="6"/>
        <v>440</v>
      </c>
      <c r="G186" s="32"/>
      <c r="H186" s="32"/>
      <c r="I186" s="32"/>
      <c r="J186" s="32">
        <v>22</v>
      </c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4">
        <v>10.5</v>
      </c>
      <c r="AF186" s="18">
        <f t="shared" si="7"/>
        <v>0</v>
      </c>
      <c r="AG186" s="32"/>
      <c r="AH186" s="30">
        <v>0</v>
      </c>
      <c r="AI186" s="14">
        <f t="shared" si="8"/>
        <v>4620</v>
      </c>
      <c r="AJ186" s="26"/>
      <c r="AK186" s="26"/>
      <c r="AL186" s="26"/>
      <c r="AM186" s="26"/>
      <c r="AN186" s="26"/>
      <c r="AO186" s="26"/>
    </row>
    <row r="187" spans="1:42">
      <c r="A187" s="28" t="s">
        <v>879</v>
      </c>
      <c r="B187" s="26" t="s">
        <v>646</v>
      </c>
      <c r="D187" s="26" t="s">
        <v>1194</v>
      </c>
      <c r="E187" s="27" t="s">
        <v>704</v>
      </c>
      <c r="F187" s="28">
        <f t="shared" si="6"/>
        <v>24</v>
      </c>
      <c r="T187" s="29">
        <v>24</v>
      </c>
      <c r="AE187" s="20">
        <v>58</v>
      </c>
      <c r="AF187" s="18">
        <f t="shared" si="7"/>
        <v>0</v>
      </c>
      <c r="AH187" s="30">
        <v>0</v>
      </c>
      <c r="AI187" s="14">
        <f t="shared" si="8"/>
        <v>1392</v>
      </c>
    </row>
    <row r="188" spans="1:42">
      <c r="A188" s="28" t="s">
        <v>879</v>
      </c>
      <c r="B188" s="26" t="s">
        <v>646</v>
      </c>
      <c r="D188" s="26" t="s">
        <v>1322</v>
      </c>
      <c r="E188" s="27" t="s">
        <v>1323</v>
      </c>
      <c r="F188" s="28">
        <f t="shared" si="6"/>
        <v>12</v>
      </c>
      <c r="T188" s="29">
        <v>12</v>
      </c>
      <c r="AF188" s="18">
        <f t="shared" si="7"/>
        <v>0</v>
      </c>
      <c r="AH188" s="30">
        <v>0</v>
      </c>
      <c r="AI188" s="14">
        <f t="shared" si="8"/>
        <v>0</v>
      </c>
    </row>
    <row r="189" spans="1:42">
      <c r="A189" s="28" t="s">
        <v>879</v>
      </c>
      <c r="B189" s="26" t="s">
        <v>646</v>
      </c>
      <c r="D189" s="26" t="s">
        <v>1089</v>
      </c>
      <c r="E189" s="27" t="s">
        <v>1090</v>
      </c>
      <c r="F189" s="28">
        <f t="shared" si="6"/>
        <v>1.2</v>
      </c>
      <c r="W189" s="29">
        <v>10</v>
      </c>
      <c r="AE189" s="20">
        <v>100</v>
      </c>
      <c r="AF189" s="18">
        <f t="shared" si="7"/>
        <v>1000</v>
      </c>
      <c r="AG189" s="29">
        <v>10</v>
      </c>
      <c r="AH189" s="30">
        <v>0</v>
      </c>
      <c r="AI189" s="14">
        <f t="shared" si="8"/>
        <v>120</v>
      </c>
    </row>
    <row r="190" spans="1:42">
      <c r="A190" s="28" t="s">
        <v>879</v>
      </c>
      <c r="B190" s="26" t="s">
        <v>651</v>
      </c>
      <c r="D190" s="26" t="s">
        <v>1161</v>
      </c>
      <c r="E190" s="27" t="s">
        <v>1162</v>
      </c>
      <c r="F190" s="28">
        <f t="shared" si="6"/>
        <v>5.8</v>
      </c>
      <c r="V190" s="29">
        <v>20</v>
      </c>
      <c r="X190" s="29">
        <v>8</v>
      </c>
      <c r="AE190" s="20">
        <v>700</v>
      </c>
      <c r="AF190" s="18">
        <f t="shared" si="7"/>
        <v>0</v>
      </c>
      <c r="AH190" s="30">
        <v>0</v>
      </c>
      <c r="AI190" s="14">
        <f t="shared" si="8"/>
        <v>4060</v>
      </c>
    </row>
    <row r="191" spans="1:42">
      <c r="A191" s="28" t="s">
        <v>879</v>
      </c>
      <c r="B191" s="26" t="s">
        <v>651</v>
      </c>
      <c r="D191" s="26" t="s">
        <v>1154</v>
      </c>
      <c r="E191" s="27" t="s">
        <v>1155</v>
      </c>
      <c r="F191" s="28">
        <f t="shared" si="6"/>
        <v>2.7</v>
      </c>
      <c r="X191" s="29">
        <v>27</v>
      </c>
      <c r="AE191" s="20">
        <v>700</v>
      </c>
      <c r="AF191" s="18">
        <f t="shared" si="7"/>
        <v>1900</v>
      </c>
      <c r="AG191" s="29">
        <v>19</v>
      </c>
      <c r="AH191" s="30">
        <v>0</v>
      </c>
      <c r="AI191" s="14">
        <f t="shared" si="8"/>
        <v>1890.0000000000002</v>
      </c>
    </row>
    <row r="192" spans="1:42">
      <c r="A192" s="28" t="s">
        <v>879</v>
      </c>
      <c r="B192" s="26" t="s">
        <v>651</v>
      </c>
      <c r="D192" s="26" t="s">
        <v>1159</v>
      </c>
      <c r="E192" s="27" t="s">
        <v>186</v>
      </c>
      <c r="F192" s="28">
        <f t="shared" si="6"/>
        <v>1</v>
      </c>
      <c r="X192" s="29">
        <v>10</v>
      </c>
      <c r="AE192" s="20">
        <v>400</v>
      </c>
      <c r="AF192" s="18">
        <f t="shared" si="7"/>
        <v>0</v>
      </c>
      <c r="AH192" s="30">
        <v>0</v>
      </c>
      <c r="AI192" s="14">
        <f t="shared" si="8"/>
        <v>400</v>
      </c>
    </row>
    <row r="193" spans="1:42">
      <c r="A193" s="28" t="s">
        <v>879</v>
      </c>
      <c r="B193" s="26" t="s">
        <v>651</v>
      </c>
      <c r="D193" s="26" t="s">
        <v>1157</v>
      </c>
      <c r="E193" s="27" t="s">
        <v>1158</v>
      </c>
      <c r="F193" s="28">
        <f t="shared" si="6"/>
        <v>0.9</v>
      </c>
      <c r="X193" s="29">
        <v>9</v>
      </c>
      <c r="AE193" s="20">
        <v>120</v>
      </c>
      <c r="AF193" s="18">
        <f t="shared" si="7"/>
        <v>1000</v>
      </c>
      <c r="AG193" s="29">
        <v>10</v>
      </c>
      <c r="AH193" s="30">
        <v>0</v>
      </c>
      <c r="AI193" s="14">
        <f t="shared" si="8"/>
        <v>108</v>
      </c>
    </row>
    <row r="194" spans="1:42">
      <c r="A194" s="28" t="s">
        <v>879</v>
      </c>
      <c r="B194" s="26" t="s">
        <v>651</v>
      </c>
      <c r="D194" s="26" t="s">
        <v>1164</v>
      </c>
      <c r="E194" s="27" t="s">
        <v>1165</v>
      </c>
      <c r="F194" s="28">
        <f t="shared" ref="F194:F257" si="9">+$G$1*G194+$H$1*H194+$I$1*I194+$J$1*J194+$K$1*K194+$L$1*L194+$M$1*M194+$N$1*N194+$O$1*O194+$P$1*P194+$Q$1*Q194+$R$1*R194+$S$1*S194+$T$1*T194+$U$1*U194+$V$1*V194+$W$1*W194+$X$1*X194+$Y$1*Y194+$Z$1*Z194+$AA$1*AA194+$AB$1*AB194+$AC$1*AC194+$AD$1*AD194</f>
        <v>0.4</v>
      </c>
      <c r="X194" s="29">
        <v>4</v>
      </c>
      <c r="AE194" s="20">
        <v>450</v>
      </c>
      <c r="AF194" s="18">
        <f t="shared" ref="AF194:AF257" si="10">+$AG$1*AG194</f>
        <v>0</v>
      </c>
      <c r="AH194" s="30">
        <v>0</v>
      </c>
      <c r="AI194" s="14">
        <f t="shared" ref="AI194:AI257" si="11">+F194*AE194+AF194*AH194</f>
        <v>180</v>
      </c>
    </row>
    <row r="195" spans="1:42">
      <c r="A195" s="28" t="s">
        <v>879</v>
      </c>
      <c r="B195" s="26" t="s">
        <v>627</v>
      </c>
      <c r="D195" s="26" t="s">
        <v>1167</v>
      </c>
      <c r="E195" s="27" t="s">
        <v>13</v>
      </c>
      <c r="F195" s="28">
        <f t="shared" si="9"/>
        <v>2.75</v>
      </c>
      <c r="V195" s="29">
        <v>11</v>
      </c>
      <c r="AE195" s="20">
        <v>300</v>
      </c>
      <c r="AF195" s="18">
        <f t="shared" si="10"/>
        <v>2900</v>
      </c>
      <c r="AG195" s="29">
        <v>29</v>
      </c>
      <c r="AH195" s="30">
        <v>0</v>
      </c>
      <c r="AI195" s="14">
        <f t="shared" si="11"/>
        <v>825</v>
      </c>
    </row>
    <row r="196" spans="1:42">
      <c r="A196" s="28" t="s">
        <v>879</v>
      </c>
      <c r="B196" s="26" t="s">
        <v>627</v>
      </c>
      <c r="D196" s="26" t="s">
        <v>1160</v>
      </c>
      <c r="E196" s="27" t="s">
        <v>184</v>
      </c>
      <c r="F196" s="28">
        <f t="shared" si="9"/>
        <v>1.1000000000000001</v>
      </c>
      <c r="X196" s="29">
        <v>11</v>
      </c>
      <c r="AE196" s="20">
        <v>400</v>
      </c>
      <c r="AF196" s="18">
        <f t="shared" si="10"/>
        <v>0</v>
      </c>
      <c r="AH196" s="30">
        <v>0</v>
      </c>
      <c r="AI196" s="14">
        <f t="shared" si="11"/>
        <v>440.00000000000006</v>
      </c>
    </row>
    <row r="197" spans="1:42">
      <c r="A197" s="26" t="s">
        <v>879</v>
      </c>
      <c r="B197" s="26" t="s">
        <v>636</v>
      </c>
      <c r="D197" s="26" t="s">
        <v>1238</v>
      </c>
      <c r="E197" s="27" t="s">
        <v>1239</v>
      </c>
      <c r="F197" s="28">
        <f t="shared" si="9"/>
        <v>0.9</v>
      </c>
      <c r="X197" s="29">
        <v>9</v>
      </c>
      <c r="AE197" s="20">
        <v>1500</v>
      </c>
      <c r="AF197" s="18">
        <f t="shared" si="10"/>
        <v>0</v>
      </c>
      <c r="AH197" s="30">
        <v>0</v>
      </c>
      <c r="AI197" s="14">
        <f t="shared" si="11"/>
        <v>1350</v>
      </c>
    </row>
    <row r="198" spans="1:42">
      <c r="A198" s="28" t="s">
        <v>879</v>
      </c>
      <c r="B198" s="28" t="s">
        <v>636</v>
      </c>
      <c r="C198" s="28"/>
      <c r="D198" s="28" t="s">
        <v>1196</v>
      </c>
      <c r="E198" s="31" t="s">
        <v>1197</v>
      </c>
      <c r="F198" s="28">
        <f t="shared" si="9"/>
        <v>0</v>
      </c>
      <c r="G198" s="32"/>
      <c r="H198" s="32"/>
      <c r="I198" s="32"/>
      <c r="J198" s="32"/>
      <c r="K198" s="32"/>
      <c r="L198" s="32"/>
      <c r="M198" s="32"/>
      <c r="N198" s="32">
        <v>0</v>
      </c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4">
        <v>0</v>
      </c>
      <c r="AF198" s="18">
        <f t="shared" si="10"/>
        <v>0</v>
      </c>
      <c r="AG198" s="32"/>
      <c r="AH198" s="30">
        <v>0</v>
      </c>
      <c r="AI198" s="14">
        <f t="shared" si="11"/>
        <v>0</v>
      </c>
      <c r="AJ198" s="26"/>
      <c r="AK198" s="26"/>
      <c r="AL198" s="26"/>
      <c r="AM198" s="26"/>
      <c r="AN198" s="26"/>
      <c r="AO198" s="26"/>
      <c r="AP198" s="26"/>
    </row>
    <row r="199" spans="1:42">
      <c r="A199" s="28" t="s">
        <v>879</v>
      </c>
      <c r="B199" s="28" t="s">
        <v>616</v>
      </c>
      <c r="C199" s="28"/>
      <c r="D199" s="28" t="s">
        <v>1150</v>
      </c>
      <c r="E199" s="31" t="s">
        <v>16</v>
      </c>
      <c r="F199" s="28">
        <f t="shared" si="9"/>
        <v>9.08</v>
      </c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>
        <v>20</v>
      </c>
      <c r="W199" s="32">
        <v>34</v>
      </c>
      <c r="X199" s="32"/>
      <c r="Y199" s="32"/>
      <c r="Z199" s="32"/>
      <c r="AA199" s="32"/>
      <c r="AB199" s="32"/>
      <c r="AC199" s="32"/>
      <c r="AD199" s="32"/>
      <c r="AE199" s="20">
        <v>550</v>
      </c>
      <c r="AF199" s="18">
        <f t="shared" si="10"/>
        <v>0</v>
      </c>
      <c r="AG199" s="32"/>
      <c r="AH199" s="30">
        <v>0</v>
      </c>
      <c r="AI199" s="14">
        <f t="shared" si="11"/>
        <v>4994</v>
      </c>
      <c r="AJ199" s="26"/>
      <c r="AK199" s="26"/>
      <c r="AL199" s="26"/>
      <c r="AM199" s="26"/>
      <c r="AN199" s="26"/>
      <c r="AO199" s="26"/>
      <c r="AP199" s="26"/>
    </row>
    <row r="200" spans="1:42">
      <c r="A200" s="28" t="s">
        <v>879</v>
      </c>
      <c r="B200" s="28" t="s">
        <v>616</v>
      </c>
      <c r="C200" s="28"/>
      <c r="D200" s="28" t="s">
        <v>1151</v>
      </c>
      <c r="E200" s="31" t="s">
        <v>14</v>
      </c>
      <c r="F200" s="28">
        <f t="shared" si="9"/>
        <v>5.4399999999999995</v>
      </c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>
        <v>8</v>
      </c>
      <c r="W200" s="32"/>
      <c r="X200" s="32"/>
      <c r="Y200" s="32"/>
      <c r="Z200" s="32">
        <v>43</v>
      </c>
      <c r="AA200" s="32"/>
      <c r="AB200" s="32"/>
      <c r="AC200" s="32"/>
      <c r="AD200" s="32"/>
      <c r="AE200" s="20">
        <v>118.5</v>
      </c>
      <c r="AF200" s="18">
        <f t="shared" si="10"/>
        <v>0</v>
      </c>
      <c r="AG200" s="32"/>
      <c r="AH200" s="30">
        <v>0</v>
      </c>
      <c r="AI200" s="14">
        <f t="shared" si="11"/>
        <v>644.64</v>
      </c>
      <c r="AJ200" s="26"/>
      <c r="AK200" s="26"/>
      <c r="AL200" s="26"/>
      <c r="AM200" s="26"/>
      <c r="AN200" s="26"/>
      <c r="AO200" s="26"/>
      <c r="AP200" s="26"/>
    </row>
    <row r="201" spans="1:42">
      <c r="A201" s="28" t="s">
        <v>879</v>
      </c>
      <c r="B201" s="26" t="s">
        <v>618</v>
      </c>
      <c r="D201" s="26" t="s">
        <v>1127</v>
      </c>
      <c r="E201" s="27" t="s">
        <v>27</v>
      </c>
      <c r="F201" s="28">
        <f t="shared" si="9"/>
        <v>22.68</v>
      </c>
      <c r="T201" s="29">
        <v>15</v>
      </c>
      <c r="Z201" s="29">
        <v>96</v>
      </c>
      <c r="AE201" s="20">
        <v>255</v>
      </c>
      <c r="AF201" s="18">
        <f t="shared" si="10"/>
        <v>0</v>
      </c>
      <c r="AH201" s="30">
        <v>0</v>
      </c>
      <c r="AI201" s="14">
        <f t="shared" si="11"/>
        <v>5783.4</v>
      </c>
    </row>
    <row r="202" spans="1:42">
      <c r="A202" s="28" t="s">
        <v>879</v>
      </c>
      <c r="B202" s="28" t="s">
        <v>618</v>
      </c>
      <c r="C202" s="28"/>
      <c r="D202" s="28" t="s">
        <v>1126</v>
      </c>
      <c r="E202" s="31" t="s">
        <v>9</v>
      </c>
      <c r="F202" s="28">
        <f t="shared" si="9"/>
        <v>6.1349999999999998</v>
      </c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>
        <v>14</v>
      </c>
      <c r="W202" s="32"/>
      <c r="X202" s="32"/>
      <c r="Y202" s="32">
        <v>31</v>
      </c>
      <c r="Z202" s="32"/>
      <c r="AA202" s="32"/>
      <c r="AB202" s="32"/>
      <c r="AC202" s="32"/>
      <c r="AD202" s="32"/>
      <c r="AE202" s="20">
        <v>118.5</v>
      </c>
      <c r="AF202" s="18">
        <f t="shared" si="10"/>
        <v>0</v>
      </c>
      <c r="AG202" s="32"/>
      <c r="AH202" s="30">
        <v>0</v>
      </c>
      <c r="AI202" s="14">
        <f t="shared" si="11"/>
        <v>726.99749999999995</v>
      </c>
      <c r="AJ202" s="26"/>
      <c r="AK202" s="26"/>
      <c r="AL202" s="26"/>
      <c r="AM202" s="26"/>
      <c r="AN202" s="26"/>
      <c r="AO202" s="26"/>
      <c r="AP202" s="26"/>
    </row>
    <row r="203" spans="1:42">
      <c r="A203" s="28" t="s">
        <v>879</v>
      </c>
      <c r="B203" s="26" t="s">
        <v>621</v>
      </c>
      <c r="D203" s="26" t="s">
        <v>1128</v>
      </c>
      <c r="E203" s="27" t="s">
        <v>19</v>
      </c>
      <c r="F203" s="28">
        <f t="shared" si="9"/>
        <v>13.484999999999999</v>
      </c>
      <c r="T203" s="29">
        <v>10</v>
      </c>
      <c r="Y203" s="29">
        <v>41</v>
      </c>
      <c r="AE203" s="20">
        <v>195</v>
      </c>
      <c r="AF203" s="18">
        <f t="shared" si="10"/>
        <v>0</v>
      </c>
      <c r="AH203" s="30">
        <v>0</v>
      </c>
      <c r="AI203" s="14">
        <f t="shared" si="11"/>
        <v>2629.5749999999998</v>
      </c>
    </row>
    <row r="204" spans="1:42">
      <c r="A204" s="28" t="s">
        <v>879</v>
      </c>
      <c r="B204" s="26" t="s">
        <v>621</v>
      </c>
      <c r="D204" s="26" t="s">
        <v>657</v>
      </c>
      <c r="E204" s="27" t="s">
        <v>38</v>
      </c>
      <c r="F204" s="28">
        <f t="shared" si="9"/>
        <v>5.15</v>
      </c>
      <c r="V204" s="29">
        <v>5</v>
      </c>
      <c r="X204" s="29">
        <v>39</v>
      </c>
      <c r="AE204" s="20">
        <v>900</v>
      </c>
      <c r="AF204" s="18">
        <f t="shared" si="10"/>
        <v>0</v>
      </c>
      <c r="AH204" s="30">
        <v>0</v>
      </c>
      <c r="AI204" s="14">
        <f t="shared" si="11"/>
        <v>4635</v>
      </c>
    </row>
    <row r="205" spans="1:42">
      <c r="A205" s="28" t="s">
        <v>879</v>
      </c>
      <c r="B205" s="26" t="s">
        <v>621</v>
      </c>
      <c r="D205" s="26" t="s">
        <v>657</v>
      </c>
      <c r="E205" s="27" t="s">
        <v>41</v>
      </c>
      <c r="F205" s="28">
        <f t="shared" si="9"/>
        <v>1.5</v>
      </c>
      <c r="X205" s="29">
        <v>15</v>
      </c>
      <c r="AE205" s="20">
        <v>1000</v>
      </c>
      <c r="AF205" s="18">
        <f t="shared" si="10"/>
        <v>0</v>
      </c>
      <c r="AH205" s="30">
        <v>0</v>
      </c>
      <c r="AI205" s="14">
        <f t="shared" si="11"/>
        <v>1500</v>
      </c>
    </row>
    <row r="206" spans="1:42">
      <c r="A206" s="28" t="s">
        <v>879</v>
      </c>
      <c r="B206" s="26" t="s">
        <v>622</v>
      </c>
      <c r="D206" s="26" t="s">
        <v>1129</v>
      </c>
      <c r="E206" s="27" t="s">
        <v>84</v>
      </c>
      <c r="F206" s="28">
        <f t="shared" si="9"/>
        <v>4.9000000000000004</v>
      </c>
      <c r="X206" s="29">
        <v>49</v>
      </c>
      <c r="AE206" s="20">
        <v>550</v>
      </c>
      <c r="AF206" s="18">
        <f t="shared" si="10"/>
        <v>0</v>
      </c>
      <c r="AH206" s="30">
        <v>0</v>
      </c>
      <c r="AI206" s="14">
        <f t="shared" si="11"/>
        <v>2695</v>
      </c>
    </row>
    <row r="207" spans="1:42">
      <c r="A207" s="28" t="s">
        <v>879</v>
      </c>
      <c r="B207" s="26" t="s">
        <v>622</v>
      </c>
      <c r="D207" s="26" t="s">
        <v>1412</v>
      </c>
      <c r="E207" s="27" t="s">
        <v>206</v>
      </c>
      <c r="F207" s="28">
        <f t="shared" si="9"/>
        <v>3</v>
      </c>
      <c r="X207" s="29">
        <v>30</v>
      </c>
      <c r="AE207" s="20">
        <v>118.5</v>
      </c>
      <c r="AF207" s="18">
        <f t="shared" si="10"/>
        <v>0</v>
      </c>
      <c r="AH207" s="30">
        <v>0</v>
      </c>
      <c r="AI207" s="14">
        <f t="shared" si="11"/>
        <v>355.5</v>
      </c>
    </row>
    <row r="208" spans="1:42">
      <c r="A208" s="28" t="s">
        <v>879</v>
      </c>
      <c r="B208" s="26" t="s">
        <v>622</v>
      </c>
      <c r="D208" s="26" t="s">
        <v>1411</v>
      </c>
      <c r="E208" s="27" t="s">
        <v>207</v>
      </c>
      <c r="F208" s="28">
        <f t="shared" si="9"/>
        <v>3</v>
      </c>
      <c r="X208" s="29">
        <v>30</v>
      </c>
      <c r="AE208" s="20">
        <v>118.5</v>
      </c>
      <c r="AF208" s="18">
        <f t="shared" si="10"/>
        <v>0</v>
      </c>
      <c r="AH208" s="30">
        <v>0</v>
      </c>
      <c r="AI208" s="14">
        <f t="shared" si="11"/>
        <v>355.5</v>
      </c>
    </row>
    <row r="209" spans="1:42">
      <c r="A209" s="28" t="s">
        <v>879</v>
      </c>
      <c r="B209" s="26" t="s">
        <v>620</v>
      </c>
      <c r="D209" s="26" t="s">
        <v>1135</v>
      </c>
      <c r="E209" s="27" t="s">
        <v>170</v>
      </c>
      <c r="F209" s="28">
        <f t="shared" si="9"/>
        <v>38.92</v>
      </c>
      <c r="R209" s="29">
        <v>6</v>
      </c>
      <c r="T209" s="29">
        <v>16</v>
      </c>
      <c r="V209" s="29">
        <v>27</v>
      </c>
      <c r="AB209" s="29">
        <v>18</v>
      </c>
      <c r="AE209" s="20">
        <v>350</v>
      </c>
      <c r="AF209" s="18">
        <f t="shared" si="10"/>
        <v>0</v>
      </c>
      <c r="AH209" s="30">
        <v>0</v>
      </c>
      <c r="AI209" s="14">
        <f t="shared" si="11"/>
        <v>13622</v>
      </c>
    </row>
    <row r="210" spans="1:42">
      <c r="A210" s="28" t="s">
        <v>879</v>
      </c>
      <c r="B210" s="26" t="s">
        <v>620</v>
      </c>
      <c r="D210" s="26" t="s">
        <v>1136</v>
      </c>
      <c r="E210" s="27" t="s">
        <v>856</v>
      </c>
      <c r="F210" s="28">
        <f t="shared" si="9"/>
        <v>38.369999999999997</v>
      </c>
      <c r="S210" s="29">
        <v>5</v>
      </c>
      <c r="T210" s="29">
        <v>19</v>
      </c>
      <c r="V210" s="29">
        <v>25</v>
      </c>
      <c r="Z210" s="29">
        <v>39</v>
      </c>
      <c r="AE210" s="20">
        <v>74.400000000000006</v>
      </c>
      <c r="AF210" s="18">
        <f t="shared" si="10"/>
        <v>0</v>
      </c>
      <c r="AH210" s="30">
        <v>0</v>
      </c>
      <c r="AI210" s="14">
        <f t="shared" si="11"/>
        <v>2854.7280000000001</v>
      </c>
    </row>
    <row r="211" spans="1:42">
      <c r="A211" s="28" t="s">
        <v>879</v>
      </c>
      <c r="B211" s="26" t="s">
        <v>620</v>
      </c>
      <c r="D211" s="26" t="s">
        <v>971</v>
      </c>
      <c r="E211" s="27" t="s">
        <v>972</v>
      </c>
      <c r="F211" s="28">
        <f t="shared" si="9"/>
        <v>5</v>
      </c>
      <c r="T211" s="29">
        <v>5</v>
      </c>
      <c r="AE211" s="20">
        <v>150</v>
      </c>
      <c r="AF211" s="18">
        <f t="shared" si="10"/>
        <v>0</v>
      </c>
      <c r="AH211" s="30">
        <v>0</v>
      </c>
      <c r="AI211" s="14">
        <f t="shared" si="11"/>
        <v>750</v>
      </c>
    </row>
    <row r="212" spans="1:42">
      <c r="A212" s="28" t="s">
        <v>879</v>
      </c>
      <c r="B212" s="26" t="s">
        <v>620</v>
      </c>
      <c r="D212" s="26" t="s">
        <v>1134</v>
      </c>
      <c r="E212" s="27" t="s">
        <v>709</v>
      </c>
      <c r="F212" s="28">
        <f t="shared" si="9"/>
        <v>5</v>
      </c>
      <c r="T212" s="29">
        <v>5</v>
      </c>
      <c r="AE212" s="20">
        <v>150</v>
      </c>
      <c r="AF212" s="18">
        <f t="shared" si="10"/>
        <v>0</v>
      </c>
      <c r="AH212" s="30">
        <v>0</v>
      </c>
      <c r="AI212" s="14">
        <f t="shared" si="11"/>
        <v>750</v>
      </c>
    </row>
    <row r="213" spans="1:42">
      <c r="A213" s="28" t="s">
        <v>879</v>
      </c>
      <c r="B213" s="26" t="s">
        <v>620</v>
      </c>
      <c r="D213" s="26" t="s">
        <v>1140</v>
      </c>
      <c r="E213" s="27" t="s">
        <v>1141</v>
      </c>
      <c r="F213" s="28">
        <f t="shared" si="9"/>
        <v>3.3250000000000002</v>
      </c>
      <c r="T213" s="29">
        <v>3</v>
      </c>
      <c r="AB213" s="29">
        <v>5</v>
      </c>
      <c r="AF213" s="18">
        <f t="shared" si="10"/>
        <v>700</v>
      </c>
      <c r="AG213" s="29">
        <v>7</v>
      </c>
      <c r="AH213" s="30">
        <v>0</v>
      </c>
      <c r="AI213" s="14">
        <f t="shared" si="11"/>
        <v>0</v>
      </c>
    </row>
    <row r="214" spans="1:42">
      <c r="A214" s="28" t="s">
        <v>879</v>
      </c>
      <c r="B214" s="26" t="s">
        <v>620</v>
      </c>
      <c r="D214" s="26" t="s">
        <v>1137</v>
      </c>
      <c r="E214" s="27" t="s">
        <v>1138</v>
      </c>
      <c r="F214" s="28">
        <f t="shared" si="9"/>
        <v>2</v>
      </c>
      <c r="T214" s="29">
        <v>2</v>
      </c>
      <c r="AF214" s="18">
        <f t="shared" si="10"/>
        <v>0</v>
      </c>
      <c r="AH214" s="30">
        <v>0</v>
      </c>
      <c r="AI214" s="14">
        <f t="shared" si="11"/>
        <v>0</v>
      </c>
    </row>
    <row r="215" spans="1:42">
      <c r="A215" s="28" t="s">
        <v>878</v>
      </c>
      <c r="B215" s="28" t="s">
        <v>646</v>
      </c>
      <c r="C215" s="28"/>
      <c r="D215" s="28" t="s">
        <v>1007</v>
      </c>
      <c r="E215" s="31" t="s">
        <v>1052</v>
      </c>
      <c r="F215" s="28">
        <f t="shared" si="9"/>
        <v>480</v>
      </c>
      <c r="G215" s="32"/>
      <c r="H215" s="32"/>
      <c r="I215" s="32"/>
      <c r="J215" s="32">
        <v>24</v>
      </c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4">
        <v>5.5</v>
      </c>
      <c r="AF215" s="18">
        <f t="shared" si="10"/>
        <v>0</v>
      </c>
      <c r="AG215" s="32"/>
      <c r="AH215" s="30">
        <v>0</v>
      </c>
      <c r="AI215" s="14">
        <f t="shared" si="11"/>
        <v>2640</v>
      </c>
      <c r="AJ215" s="26"/>
      <c r="AK215" s="26"/>
      <c r="AL215" s="26"/>
      <c r="AM215" s="26"/>
      <c r="AN215" s="26"/>
      <c r="AO215" s="26"/>
    </row>
    <row r="216" spans="1:42">
      <c r="A216" s="28" t="s">
        <v>878</v>
      </c>
      <c r="B216" s="26" t="s">
        <v>646</v>
      </c>
      <c r="D216" s="26" t="s">
        <v>1195</v>
      </c>
      <c r="E216" s="27" t="s">
        <v>705</v>
      </c>
      <c r="F216" s="28">
        <f t="shared" si="9"/>
        <v>2</v>
      </c>
      <c r="T216" s="29">
        <v>2</v>
      </c>
      <c r="AE216" s="20">
        <v>68</v>
      </c>
      <c r="AF216" s="18">
        <f t="shared" si="10"/>
        <v>0</v>
      </c>
      <c r="AH216" s="30">
        <v>0</v>
      </c>
      <c r="AI216" s="14">
        <f t="shared" si="11"/>
        <v>136</v>
      </c>
    </row>
    <row r="217" spans="1:42">
      <c r="A217" s="28" t="s">
        <v>878</v>
      </c>
      <c r="B217" s="28" t="s">
        <v>616</v>
      </c>
      <c r="C217" s="28"/>
      <c r="D217" s="28" t="s">
        <v>1283</v>
      </c>
      <c r="E217" s="31" t="s">
        <v>1306</v>
      </c>
      <c r="F217" s="28">
        <f t="shared" si="9"/>
        <v>960</v>
      </c>
      <c r="G217" s="32"/>
      <c r="H217" s="32">
        <v>0</v>
      </c>
      <c r="I217" s="32">
        <v>0</v>
      </c>
      <c r="J217" s="32">
        <v>36</v>
      </c>
      <c r="K217" s="32"/>
      <c r="L217" s="32">
        <v>24</v>
      </c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4">
        <v>2.0499999999999998</v>
      </c>
      <c r="AF217" s="18">
        <f t="shared" si="10"/>
        <v>0</v>
      </c>
      <c r="AG217" s="32"/>
      <c r="AH217" s="30">
        <v>0</v>
      </c>
      <c r="AI217" s="14">
        <f t="shared" si="11"/>
        <v>1967.9999999999998</v>
      </c>
      <c r="AJ217" s="26"/>
      <c r="AK217" s="26"/>
      <c r="AL217" s="26"/>
      <c r="AM217" s="26"/>
      <c r="AN217" s="26"/>
      <c r="AO217" s="26"/>
      <c r="AP217" s="26"/>
    </row>
    <row r="218" spans="1:42">
      <c r="A218" s="28" t="s">
        <v>878</v>
      </c>
      <c r="B218" s="28" t="s">
        <v>616</v>
      </c>
      <c r="C218" s="28"/>
      <c r="D218" s="28" t="s">
        <v>615</v>
      </c>
      <c r="E218" s="31" t="s">
        <v>238</v>
      </c>
      <c r="F218" s="28">
        <f t="shared" si="9"/>
        <v>410</v>
      </c>
      <c r="G218" s="32"/>
      <c r="H218" s="32">
        <v>0</v>
      </c>
      <c r="I218" s="32">
        <v>0</v>
      </c>
      <c r="J218" s="32">
        <v>13</v>
      </c>
      <c r="K218" s="32"/>
      <c r="L218" s="32">
        <v>15</v>
      </c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4">
        <v>2</v>
      </c>
      <c r="AF218" s="18">
        <f t="shared" si="10"/>
        <v>0</v>
      </c>
      <c r="AG218" s="32"/>
      <c r="AH218" s="30">
        <v>0</v>
      </c>
      <c r="AI218" s="14">
        <f t="shared" si="11"/>
        <v>820</v>
      </c>
      <c r="AJ218" s="26"/>
      <c r="AK218" s="26"/>
      <c r="AL218" s="26">
        <v>2</v>
      </c>
      <c r="AM218" s="26"/>
      <c r="AN218" s="26"/>
      <c r="AO218" s="26"/>
      <c r="AP218" s="26"/>
    </row>
    <row r="219" spans="1:42">
      <c r="A219" s="28" t="s">
        <v>878</v>
      </c>
      <c r="B219" s="28" t="s">
        <v>616</v>
      </c>
      <c r="C219" s="28"/>
      <c r="D219" s="28" t="s">
        <v>617</v>
      </c>
      <c r="E219" s="31" t="s">
        <v>239</v>
      </c>
      <c r="F219" s="28">
        <f t="shared" si="9"/>
        <v>0</v>
      </c>
      <c r="G219" s="32"/>
      <c r="H219" s="32"/>
      <c r="I219" s="32">
        <v>0</v>
      </c>
      <c r="J219" s="32">
        <v>0</v>
      </c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4">
        <v>2.12</v>
      </c>
      <c r="AF219" s="18">
        <f t="shared" si="10"/>
        <v>0</v>
      </c>
      <c r="AG219" s="32"/>
      <c r="AH219" s="30">
        <v>0</v>
      </c>
      <c r="AI219" s="14">
        <f t="shared" si="11"/>
        <v>0</v>
      </c>
      <c r="AJ219" s="26"/>
      <c r="AK219" s="26"/>
      <c r="AL219" s="26">
        <v>2</v>
      </c>
      <c r="AM219" s="26"/>
      <c r="AN219" s="26"/>
      <c r="AO219" s="26"/>
      <c r="AP219" s="26"/>
    </row>
    <row r="220" spans="1:42">
      <c r="A220" s="28" t="s">
        <v>878</v>
      </c>
      <c r="B220" s="28" t="s">
        <v>618</v>
      </c>
      <c r="C220" s="28"/>
      <c r="D220" s="28" t="s">
        <v>619</v>
      </c>
      <c r="E220" s="31" t="s">
        <v>241</v>
      </c>
      <c r="F220" s="28">
        <f t="shared" si="9"/>
        <v>450</v>
      </c>
      <c r="G220" s="32"/>
      <c r="H220" s="32">
        <v>0</v>
      </c>
      <c r="I220" s="32">
        <v>2</v>
      </c>
      <c r="J220" s="32">
        <v>16</v>
      </c>
      <c r="K220" s="32"/>
      <c r="L220" s="32">
        <v>5</v>
      </c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4">
        <v>1.61</v>
      </c>
      <c r="AF220" s="18">
        <f t="shared" si="10"/>
        <v>0</v>
      </c>
      <c r="AG220" s="32"/>
      <c r="AH220" s="30">
        <v>0</v>
      </c>
      <c r="AI220" s="14">
        <f t="shared" si="11"/>
        <v>724.5</v>
      </c>
      <c r="AJ220" s="26"/>
      <c r="AK220" s="26"/>
      <c r="AL220" s="26">
        <v>2</v>
      </c>
      <c r="AM220" s="26"/>
      <c r="AN220" s="26"/>
      <c r="AO220" s="26"/>
      <c r="AP220" s="26"/>
    </row>
    <row r="221" spans="1:42">
      <c r="A221" s="28" t="s">
        <v>878</v>
      </c>
      <c r="B221" s="28" t="s">
        <v>618</v>
      </c>
      <c r="C221" s="28"/>
      <c r="D221" s="28" t="s">
        <v>1342</v>
      </c>
      <c r="E221" s="31" t="s">
        <v>240</v>
      </c>
      <c r="F221" s="28">
        <f t="shared" si="9"/>
        <v>400</v>
      </c>
      <c r="G221" s="32"/>
      <c r="H221" s="32">
        <v>0</v>
      </c>
      <c r="I221" s="32">
        <v>0</v>
      </c>
      <c r="J221" s="32">
        <v>17</v>
      </c>
      <c r="K221" s="32"/>
      <c r="L221" s="32">
        <v>6</v>
      </c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4">
        <v>2.09</v>
      </c>
      <c r="AF221" s="18">
        <f t="shared" si="10"/>
        <v>0</v>
      </c>
      <c r="AG221" s="32"/>
      <c r="AH221" s="30">
        <v>0</v>
      </c>
      <c r="AI221" s="14">
        <f t="shared" si="11"/>
        <v>836</v>
      </c>
      <c r="AJ221" s="26"/>
      <c r="AK221" s="26"/>
      <c r="AL221" s="26">
        <v>2</v>
      </c>
      <c r="AM221" s="26"/>
      <c r="AN221" s="26"/>
      <c r="AO221" s="26"/>
      <c r="AP221" s="26"/>
    </row>
    <row r="222" spans="1:42">
      <c r="A222" s="28" t="s">
        <v>878</v>
      </c>
      <c r="B222" s="28" t="s">
        <v>621</v>
      </c>
      <c r="C222" s="28"/>
      <c r="D222" s="28" t="s">
        <v>1070</v>
      </c>
      <c r="E222" s="31" t="s">
        <v>234</v>
      </c>
      <c r="F222" s="28">
        <f t="shared" si="9"/>
        <v>880</v>
      </c>
      <c r="G222" s="32"/>
      <c r="H222" s="32"/>
      <c r="I222" s="32"/>
      <c r="J222" s="32">
        <v>44</v>
      </c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4">
        <v>9</v>
      </c>
      <c r="AF222" s="18">
        <f t="shared" si="10"/>
        <v>0</v>
      </c>
      <c r="AG222" s="32"/>
      <c r="AH222" s="30">
        <v>0</v>
      </c>
      <c r="AI222" s="14">
        <f t="shared" si="11"/>
        <v>7920</v>
      </c>
      <c r="AJ222" s="26"/>
      <c r="AK222" s="26">
        <v>10.55</v>
      </c>
      <c r="AL222" s="26">
        <v>9</v>
      </c>
      <c r="AM222" s="26"/>
      <c r="AN222" s="26"/>
      <c r="AO222" s="26"/>
      <c r="AP222" s="26"/>
    </row>
    <row r="223" spans="1:42">
      <c r="A223" s="28" t="s">
        <v>878</v>
      </c>
      <c r="B223" s="28" t="s">
        <v>621</v>
      </c>
      <c r="C223" s="28"/>
      <c r="D223" s="28" t="s">
        <v>1072</v>
      </c>
      <c r="E223" s="31" t="s">
        <v>235</v>
      </c>
      <c r="F223" s="28">
        <f t="shared" si="9"/>
        <v>380</v>
      </c>
      <c r="G223" s="32"/>
      <c r="H223" s="32"/>
      <c r="I223" s="32"/>
      <c r="J223" s="32">
        <v>19</v>
      </c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4">
        <v>9</v>
      </c>
      <c r="AF223" s="18">
        <f t="shared" si="10"/>
        <v>0</v>
      </c>
      <c r="AG223" s="32"/>
      <c r="AH223" s="30">
        <v>0</v>
      </c>
      <c r="AI223" s="14">
        <f t="shared" si="11"/>
        <v>3420</v>
      </c>
      <c r="AJ223" s="26"/>
      <c r="AK223" s="26">
        <v>10.55</v>
      </c>
      <c r="AL223" s="26">
        <v>9</v>
      </c>
      <c r="AM223" s="26"/>
      <c r="AN223" s="26"/>
      <c r="AO223" s="26"/>
      <c r="AP223" s="26"/>
    </row>
    <row r="224" spans="1:42">
      <c r="A224" s="28" t="s">
        <v>878</v>
      </c>
      <c r="B224" s="28" t="s">
        <v>622</v>
      </c>
      <c r="C224" s="28"/>
      <c r="D224" s="28" t="s">
        <v>1004</v>
      </c>
      <c r="E224" s="31" t="s">
        <v>237</v>
      </c>
      <c r="F224" s="28">
        <f t="shared" si="9"/>
        <v>1000</v>
      </c>
      <c r="G224" s="32"/>
      <c r="H224" s="32"/>
      <c r="I224" s="32"/>
      <c r="J224" s="32">
        <v>50</v>
      </c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4">
        <v>9</v>
      </c>
      <c r="AF224" s="18">
        <f t="shared" si="10"/>
        <v>0</v>
      </c>
      <c r="AG224" s="32"/>
      <c r="AH224" s="30">
        <v>0</v>
      </c>
      <c r="AI224" s="14">
        <f t="shared" si="11"/>
        <v>9000</v>
      </c>
      <c r="AJ224" s="26"/>
      <c r="AK224" s="26">
        <v>10.55</v>
      </c>
      <c r="AL224" s="26">
        <v>9</v>
      </c>
      <c r="AM224" s="26"/>
      <c r="AN224" s="26"/>
      <c r="AO224" s="26"/>
      <c r="AP224" s="26"/>
    </row>
    <row r="225" spans="1:42">
      <c r="A225" s="28" t="s">
        <v>878</v>
      </c>
      <c r="B225" s="28" t="s">
        <v>622</v>
      </c>
      <c r="C225" s="28"/>
      <c r="D225" s="28" t="s">
        <v>1071</v>
      </c>
      <c r="E225" s="31" t="s">
        <v>236</v>
      </c>
      <c r="F225" s="28">
        <f t="shared" si="9"/>
        <v>1000</v>
      </c>
      <c r="G225" s="32"/>
      <c r="H225" s="32"/>
      <c r="I225" s="32"/>
      <c r="J225" s="32">
        <v>50</v>
      </c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4">
        <v>9</v>
      </c>
      <c r="AF225" s="18">
        <f t="shared" si="10"/>
        <v>0</v>
      </c>
      <c r="AG225" s="32"/>
      <c r="AH225" s="30">
        <v>0</v>
      </c>
      <c r="AI225" s="14">
        <f t="shared" si="11"/>
        <v>9000</v>
      </c>
      <c r="AJ225" s="26"/>
      <c r="AK225" s="26">
        <v>10.55</v>
      </c>
      <c r="AL225" s="26">
        <v>9</v>
      </c>
      <c r="AM225" s="26"/>
      <c r="AN225" s="26"/>
      <c r="AO225" s="26"/>
      <c r="AP225" s="26"/>
    </row>
    <row r="226" spans="1:42">
      <c r="A226" s="28" t="s">
        <v>878</v>
      </c>
      <c r="B226" s="28" t="s">
        <v>620</v>
      </c>
      <c r="C226" s="28"/>
      <c r="D226" s="28" t="s">
        <v>1176</v>
      </c>
      <c r="E226" s="31" t="s">
        <v>1339</v>
      </c>
      <c r="F226" s="28">
        <f t="shared" si="9"/>
        <v>90</v>
      </c>
      <c r="G226" s="32"/>
      <c r="H226" s="32"/>
      <c r="I226" s="32"/>
      <c r="J226" s="32"/>
      <c r="K226" s="32"/>
      <c r="L226" s="32">
        <v>9</v>
      </c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4">
        <v>17.100000000000001</v>
      </c>
      <c r="AF226" s="18">
        <f t="shared" si="10"/>
        <v>0</v>
      </c>
      <c r="AG226" s="32"/>
      <c r="AH226" s="30">
        <v>0</v>
      </c>
      <c r="AI226" s="14">
        <f t="shared" si="11"/>
        <v>1539.0000000000002</v>
      </c>
      <c r="AJ226" s="26"/>
      <c r="AK226" s="26"/>
      <c r="AL226" s="26"/>
      <c r="AM226" s="26"/>
      <c r="AN226" s="26"/>
      <c r="AO226" s="26"/>
      <c r="AP226" s="26"/>
    </row>
    <row r="227" spans="1:42">
      <c r="A227" s="28" t="s">
        <v>878</v>
      </c>
      <c r="B227" s="28" t="s">
        <v>620</v>
      </c>
      <c r="C227" s="28"/>
      <c r="D227" s="28" t="s">
        <v>1176</v>
      </c>
      <c r="E227" s="31" t="s">
        <v>1334</v>
      </c>
      <c r="F227" s="28">
        <f t="shared" si="9"/>
        <v>90</v>
      </c>
      <c r="G227" s="32"/>
      <c r="H227" s="32"/>
      <c r="I227" s="32"/>
      <c r="J227" s="32"/>
      <c r="K227" s="32"/>
      <c r="L227" s="32">
        <v>9</v>
      </c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4">
        <v>7.8</v>
      </c>
      <c r="AF227" s="18">
        <f t="shared" si="10"/>
        <v>0</v>
      </c>
      <c r="AG227" s="32"/>
      <c r="AH227" s="30">
        <v>0</v>
      </c>
      <c r="AI227" s="14">
        <f t="shared" si="11"/>
        <v>702</v>
      </c>
      <c r="AJ227" s="26"/>
      <c r="AK227" s="26"/>
      <c r="AL227" s="26"/>
      <c r="AM227" s="26"/>
      <c r="AN227" s="26"/>
      <c r="AO227" s="26"/>
      <c r="AP227" s="26"/>
    </row>
    <row r="228" spans="1:42">
      <c r="A228" s="28" t="s">
        <v>878</v>
      </c>
      <c r="B228" s="28" t="s">
        <v>620</v>
      </c>
      <c r="C228" s="28"/>
      <c r="D228" s="28" t="s">
        <v>1340</v>
      </c>
      <c r="E228" s="31" t="s">
        <v>1307</v>
      </c>
      <c r="F228" s="28">
        <f t="shared" si="9"/>
        <v>60</v>
      </c>
      <c r="G228" s="32"/>
      <c r="H228" s="32"/>
      <c r="I228" s="32"/>
      <c r="J228" s="32">
        <v>1</v>
      </c>
      <c r="K228" s="32"/>
      <c r="L228" s="32">
        <v>4</v>
      </c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4">
        <v>2.09</v>
      </c>
      <c r="AF228" s="18">
        <f t="shared" si="10"/>
        <v>0</v>
      </c>
      <c r="AG228" s="32"/>
      <c r="AH228" s="30">
        <v>0</v>
      </c>
      <c r="AI228" s="14">
        <f t="shared" si="11"/>
        <v>125.39999999999999</v>
      </c>
      <c r="AJ228" s="26"/>
      <c r="AK228" s="26"/>
      <c r="AL228" s="26"/>
      <c r="AM228" s="26"/>
      <c r="AN228" s="26"/>
      <c r="AO228" s="26"/>
      <c r="AP228" s="26"/>
    </row>
    <row r="229" spans="1:42">
      <c r="A229" s="28" t="s">
        <v>877</v>
      </c>
      <c r="B229" s="28" t="s">
        <v>646</v>
      </c>
      <c r="C229" s="28"/>
      <c r="D229" s="28" t="s">
        <v>645</v>
      </c>
      <c r="E229" s="31" t="s">
        <v>134</v>
      </c>
      <c r="F229" s="28">
        <f t="shared" si="9"/>
        <v>22</v>
      </c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>
        <v>11</v>
      </c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4">
        <v>295</v>
      </c>
      <c r="AF229" s="18">
        <f t="shared" si="10"/>
        <v>0</v>
      </c>
      <c r="AG229" s="32"/>
      <c r="AH229" s="30">
        <v>0</v>
      </c>
      <c r="AI229" s="14">
        <f t="shared" si="11"/>
        <v>6490</v>
      </c>
      <c r="AJ229" s="26"/>
      <c r="AK229" s="26"/>
      <c r="AL229" s="26"/>
      <c r="AM229" s="26"/>
      <c r="AN229" s="26"/>
      <c r="AO229" s="26"/>
      <c r="AP229" s="26"/>
    </row>
    <row r="230" spans="1:42">
      <c r="A230" s="28" t="s">
        <v>877</v>
      </c>
      <c r="B230" s="28" t="s">
        <v>646</v>
      </c>
      <c r="C230" s="28"/>
      <c r="D230" s="28" t="s">
        <v>943</v>
      </c>
      <c r="E230" s="31" t="s">
        <v>941</v>
      </c>
      <c r="F230" s="28">
        <f t="shared" si="9"/>
        <v>14</v>
      </c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>
        <v>14</v>
      </c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4">
        <v>300</v>
      </c>
      <c r="AF230" s="18">
        <f t="shared" si="10"/>
        <v>0</v>
      </c>
      <c r="AG230" s="32"/>
      <c r="AH230" s="30">
        <v>0</v>
      </c>
      <c r="AI230" s="14">
        <f t="shared" si="11"/>
        <v>4200</v>
      </c>
      <c r="AJ230" s="26"/>
      <c r="AK230" s="26"/>
      <c r="AL230" s="26"/>
      <c r="AM230" s="26"/>
      <c r="AN230" s="26"/>
      <c r="AO230" s="26"/>
      <c r="AP230" s="26"/>
    </row>
    <row r="231" spans="1:42">
      <c r="A231" s="28" t="s">
        <v>877</v>
      </c>
      <c r="B231" s="28" t="s">
        <v>646</v>
      </c>
      <c r="C231" s="28"/>
      <c r="D231" s="28" t="s">
        <v>944</v>
      </c>
      <c r="E231" s="31" t="s">
        <v>942</v>
      </c>
      <c r="F231" s="28">
        <f t="shared" si="9"/>
        <v>12</v>
      </c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>
        <v>12</v>
      </c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4">
        <v>300</v>
      </c>
      <c r="AF231" s="18">
        <f t="shared" si="10"/>
        <v>0</v>
      </c>
      <c r="AG231" s="32"/>
      <c r="AH231" s="30">
        <v>0</v>
      </c>
      <c r="AI231" s="14">
        <f t="shared" si="11"/>
        <v>3600</v>
      </c>
      <c r="AJ231" s="26"/>
      <c r="AK231" s="26"/>
      <c r="AL231" s="26"/>
      <c r="AM231" s="26"/>
      <c r="AN231" s="26"/>
      <c r="AO231" s="26"/>
      <c r="AP231" s="26"/>
    </row>
    <row r="232" spans="1:42">
      <c r="A232" s="28" t="s">
        <v>877</v>
      </c>
      <c r="B232" s="28" t="s">
        <v>646</v>
      </c>
      <c r="C232" s="28"/>
      <c r="D232" s="28" t="s">
        <v>647</v>
      </c>
      <c r="E232" s="31" t="s">
        <v>103</v>
      </c>
      <c r="F232" s="28">
        <f t="shared" si="9"/>
        <v>11</v>
      </c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>
        <v>11</v>
      </c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4">
        <v>324</v>
      </c>
      <c r="AF232" s="18">
        <f t="shared" si="10"/>
        <v>0</v>
      </c>
      <c r="AG232" s="32"/>
      <c r="AH232" s="30">
        <v>0</v>
      </c>
      <c r="AI232" s="14">
        <f t="shared" si="11"/>
        <v>3564</v>
      </c>
      <c r="AJ232" s="26"/>
      <c r="AK232" s="26"/>
      <c r="AL232" s="26"/>
      <c r="AM232" s="26"/>
      <c r="AN232" s="26"/>
      <c r="AO232" s="26"/>
      <c r="AP232" s="26"/>
    </row>
    <row r="233" spans="1:42">
      <c r="A233" s="28" t="s">
        <v>877</v>
      </c>
      <c r="B233" s="28" t="s">
        <v>651</v>
      </c>
      <c r="C233" s="28"/>
      <c r="D233" s="28" t="s">
        <v>1057</v>
      </c>
      <c r="E233" s="31" t="s">
        <v>1058</v>
      </c>
      <c r="F233" s="28">
        <f t="shared" si="9"/>
        <v>30</v>
      </c>
      <c r="G233" s="32"/>
      <c r="H233" s="32"/>
      <c r="I233" s="32"/>
      <c r="J233" s="32"/>
      <c r="K233" s="32">
        <v>0</v>
      </c>
      <c r="L233" s="32">
        <v>1</v>
      </c>
      <c r="M233" s="32"/>
      <c r="N233" s="32"/>
      <c r="O233" s="32"/>
      <c r="P233" s="32"/>
      <c r="Q233" s="32"/>
      <c r="R233" s="32"/>
      <c r="S233" s="32">
        <v>10</v>
      </c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4">
        <v>100</v>
      </c>
      <c r="AF233" s="18">
        <f t="shared" si="10"/>
        <v>0</v>
      </c>
      <c r="AG233" s="32"/>
      <c r="AH233" s="30">
        <v>0</v>
      </c>
      <c r="AI233" s="14">
        <f t="shared" si="11"/>
        <v>3000</v>
      </c>
      <c r="AJ233" s="26"/>
      <c r="AK233" s="26"/>
      <c r="AL233" s="26"/>
      <c r="AM233" s="26"/>
      <c r="AN233" s="26"/>
      <c r="AO233" s="26"/>
      <c r="AP233" s="26"/>
    </row>
    <row r="234" spans="1:42">
      <c r="A234" s="28" t="s">
        <v>877</v>
      </c>
      <c r="B234" s="28" t="s">
        <v>651</v>
      </c>
      <c r="C234" s="28"/>
      <c r="D234" s="28" t="s">
        <v>655</v>
      </c>
      <c r="E234" s="31" t="s">
        <v>691</v>
      </c>
      <c r="F234" s="28">
        <f t="shared" si="9"/>
        <v>20</v>
      </c>
      <c r="G234" s="32"/>
      <c r="H234" s="32"/>
      <c r="I234" s="32"/>
      <c r="J234" s="32"/>
      <c r="K234" s="32"/>
      <c r="L234" s="32">
        <v>2</v>
      </c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4">
        <v>22</v>
      </c>
      <c r="AF234" s="18">
        <f t="shared" si="10"/>
        <v>0</v>
      </c>
      <c r="AG234" s="32"/>
      <c r="AH234" s="30">
        <v>0</v>
      </c>
      <c r="AI234" s="14">
        <f t="shared" si="11"/>
        <v>440</v>
      </c>
      <c r="AJ234" s="26"/>
      <c r="AK234" s="26"/>
      <c r="AL234" s="26"/>
      <c r="AM234" s="26"/>
      <c r="AN234" s="26"/>
      <c r="AO234" s="26"/>
      <c r="AP234" s="26"/>
    </row>
    <row r="235" spans="1:42" ht="16.899999999999999" customHeight="1">
      <c r="A235" s="28" t="s">
        <v>877</v>
      </c>
      <c r="B235" s="28" t="s">
        <v>651</v>
      </c>
      <c r="C235" s="28"/>
      <c r="D235" s="28" t="s">
        <v>1069</v>
      </c>
      <c r="E235" s="31" t="s">
        <v>243</v>
      </c>
      <c r="F235" s="28">
        <f t="shared" si="9"/>
        <v>16</v>
      </c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>
        <v>8</v>
      </c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4">
        <v>11.7</v>
      </c>
      <c r="AF235" s="18">
        <f t="shared" si="10"/>
        <v>0</v>
      </c>
      <c r="AG235" s="32"/>
      <c r="AH235" s="30">
        <v>0</v>
      </c>
      <c r="AI235" s="14">
        <f t="shared" si="11"/>
        <v>187.2</v>
      </c>
      <c r="AJ235" s="26"/>
      <c r="AK235" s="26"/>
      <c r="AL235" s="26"/>
      <c r="AM235" s="26"/>
      <c r="AN235" s="26"/>
      <c r="AO235" s="26"/>
      <c r="AP235" s="26"/>
    </row>
    <row r="236" spans="1:42">
      <c r="A236" s="28" t="s">
        <v>877</v>
      </c>
      <c r="B236" s="28" t="s">
        <v>627</v>
      </c>
      <c r="C236" s="28"/>
      <c r="D236" s="28" t="s">
        <v>653</v>
      </c>
      <c r="E236" s="31" t="s">
        <v>692</v>
      </c>
      <c r="F236" s="28">
        <f t="shared" si="9"/>
        <v>13</v>
      </c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>
        <v>6</v>
      </c>
      <c r="T236" s="32">
        <v>1</v>
      </c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4">
        <v>80</v>
      </c>
      <c r="AF236" s="18">
        <f t="shared" si="10"/>
        <v>0</v>
      </c>
      <c r="AG236" s="32"/>
      <c r="AH236" s="30">
        <v>0</v>
      </c>
      <c r="AI236" s="14">
        <f t="shared" si="11"/>
        <v>1040</v>
      </c>
      <c r="AJ236" s="26"/>
      <c r="AK236" s="26"/>
      <c r="AL236" s="26"/>
      <c r="AM236" s="26"/>
      <c r="AN236" s="26"/>
      <c r="AO236" s="26"/>
      <c r="AP236" s="26"/>
    </row>
    <row r="237" spans="1:42">
      <c r="A237" s="28" t="s">
        <v>877</v>
      </c>
      <c r="B237" s="28" t="s">
        <v>627</v>
      </c>
      <c r="C237" s="28"/>
      <c r="D237" s="28" t="s">
        <v>652</v>
      </c>
      <c r="E237" s="31" t="s">
        <v>233</v>
      </c>
      <c r="F237" s="28">
        <f t="shared" si="9"/>
        <v>10</v>
      </c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>
        <v>5</v>
      </c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4">
        <v>41</v>
      </c>
      <c r="AF237" s="18">
        <f t="shared" si="10"/>
        <v>0</v>
      </c>
      <c r="AG237" s="32"/>
      <c r="AH237" s="30">
        <v>0</v>
      </c>
      <c r="AI237" s="14">
        <f t="shared" si="11"/>
        <v>410</v>
      </c>
      <c r="AJ237" s="26"/>
      <c r="AK237" s="26"/>
      <c r="AL237" s="26"/>
      <c r="AM237" s="26"/>
      <c r="AN237" s="26"/>
      <c r="AO237" s="26"/>
      <c r="AP237" s="26"/>
    </row>
    <row r="238" spans="1:42" s="26" customFormat="1">
      <c r="A238" s="28" t="s">
        <v>877</v>
      </c>
      <c r="B238" s="28" t="s">
        <v>627</v>
      </c>
      <c r="C238" s="28"/>
      <c r="D238" s="28" t="s">
        <v>1036</v>
      </c>
      <c r="E238" s="31" t="s">
        <v>111</v>
      </c>
      <c r="F238" s="28">
        <f t="shared" si="9"/>
        <v>4</v>
      </c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>
        <v>4</v>
      </c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4">
        <v>268</v>
      </c>
      <c r="AF238" s="18">
        <f t="shared" si="10"/>
        <v>0</v>
      </c>
      <c r="AG238" s="32"/>
      <c r="AH238" s="30">
        <v>0</v>
      </c>
      <c r="AI238" s="14">
        <f t="shared" si="11"/>
        <v>1072</v>
      </c>
    </row>
    <row r="239" spans="1:42" s="26" customFormat="1">
      <c r="A239" s="28" t="s">
        <v>877</v>
      </c>
      <c r="B239" s="28" t="s">
        <v>636</v>
      </c>
      <c r="C239" s="28"/>
      <c r="D239" s="28" t="s">
        <v>1182</v>
      </c>
      <c r="E239" s="31" t="s">
        <v>693</v>
      </c>
      <c r="F239" s="28">
        <f t="shared" si="9"/>
        <v>6</v>
      </c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>
        <v>3</v>
      </c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4">
        <v>140</v>
      </c>
      <c r="AF239" s="18">
        <f t="shared" si="10"/>
        <v>0</v>
      </c>
      <c r="AG239" s="32"/>
      <c r="AH239" s="30">
        <v>0</v>
      </c>
      <c r="AI239" s="14">
        <f t="shared" si="11"/>
        <v>840</v>
      </c>
    </row>
    <row r="240" spans="1:42" s="26" customFormat="1">
      <c r="A240" s="28" t="s">
        <v>877</v>
      </c>
      <c r="B240" s="28" t="s">
        <v>636</v>
      </c>
      <c r="C240" s="28"/>
      <c r="D240" s="28" t="s">
        <v>1422</v>
      </c>
      <c r="E240" s="31" t="s">
        <v>1202</v>
      </c>
      <c r="F240" s="28">
        <f t="shared" si="9"/>
        <v>4</v>
      </c>
      <c r="G240" s="32"/>
      <c r="H240" s="32"/>
      <c r="I240" s="32"/>
      <c r="J240" s="32"/>
      <c r="K240" s="32"/>
      <c r="L240" s="32"/>
      <c r="M240" s="32"/>
      <c r="N240" s="32">
        <v>0</v>
      </c>
      <c r="O240" s="32"/>
      <c r="P240" s="32">
        <v>1</v>
      </c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20">
        <v>400</v>
      </c>
      <c r="AF240" s="18">
        <f t="shared" si="10"/>
        <v>0</v>
      </c>
      <c r="AG240" s="32"/>
      <c r="AH240" s="30">
        <v>0</v>
      </c>
      <c r="AI240" s="14">
        <f t="shared" si="11"/>
        <v>1600</v>
      </c>
      <c r="AJ240"/>
      <c r="AK240"/>
      <c r="AL240"/>
      <c r="AM240"/>
      <c r="AN240"/>
      <c r="AO240"/>
      <c r="AP240"/>
    </row>
    <row r="241" spans="1:42" s="26" customFormat="1">
      <c r="A241" s="28" t="s">
        <v>877</v>
      </c>
      <c r="B241" s="28" t="s">
        <v>616</v>
      </c>
      <c r="C241" s="28"/>
      <c r="D241" s="28" t="s">
        <v>999</v>
      </c>
      <c r="E241" s="31" t="s">
        <v>141</v>
      </c>
      <c r="F241" s="28">
        <f t="shared" si="9"/>
        <v>40</v>
      </c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>
        <v>10</v>
      </c>
      <c r="T241" s="32">
        <v>20</v>
      </c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4">
        <v>36.799999999999997</v>
      </c>
      <c r="AF241" s="18">
        <f t="shared" si="10"/>
        <v>0</v>
      </c>
      <c r="AG241" s="32"/>
      <c r="AH241" s="30">
        <v>0</v>
      </c>
      <c r="AI241" s="14">
        <f t="shared" si="11"/>
        <v>1472</v>
      </c>
      <c r="AL241" s="26">
        <v>30</v>
      </c>
    </row>
    <row r="242" spans="1:42" s="26" customFormat="1">
      <c r="A242" s="28" t="s">
        <v>877</v>
      </c>
      <c r="B242" s="28" t="s">
        <v>616</v>
      </c>
      <c r="C242" s="28"/>
      <c r="D242" s="28" t="s">
        <v>1000</v>
      </c>
      <c r="E242" s="31" t="s">
        <v>145</v>
      </c>
      <c r="F242" s="28">
        <f t="shared" si="9"/>
        <v>38</v>
      </c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>
        <v>9</v>
      </c>
      <c r="T242" s="32">
        <v>20</v>
      </c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4">
        <v>36.799999999999997</v>
      </c>
      <c r="AF242" s="18">
        <f t="shared" si="10"/>
        <v>0</v>
      </c>
      <c r="AG242" s="32"/>
      <c r="AH242" s="30">
        <v>0</v>
      </c>
      <c r="AI242" s="14">
        <f t="shared" si="11"/>
        <v>1398.3999999999999</v>
      </c>
      <c r="AL242" s="26">
        <v>30</v>
      </c>
    </row>
    <row r="243" spans="1:42" s="26" customFormat="1">
      <c r="A243" s="28" t="s">
        <v>877</v>
      </c>
      <c r="B243" s="28" t="s">
        <v>616</v>
      </c>
      <c r="C243" s="28"/>
      <c r="D243" s="28" t="s">
        <v>640</v>
      </c>
      <c r="E243" s="31" t="s">
        <v>150</v>
      </c>
      <c r="F243" s="28">
        <f t="shared" si="9"/>
        <v>36</v>
      </c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>
        <v>8</v>
      </c>
      <c r="T243" s="32">
        <v>20</v>
      </c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4">
        <v>36.799999999999997</v>
      </c>
      <c r="AF243" s="18">
        <f t="shared" si="10"/>
        <v>0</v>
      </c>
      <c r="AG243" s="32"/>
      <c r="AH243" s="30">
        <v>0</v>
      </c>
      <c r="AI243" s="14">
        <f t="shared" si="11"/>
        <v>1324.8</v>
      </c>
      <c r="AL243" s="26">
        <v>30</v>
      </c>
    </row>
    <row r="244" spans="1:42">
      <c r="A244" s="28" t="s">
        <v>877</v>
      </c>
      <c r="B244" s="28" t="s">
        <v>616</v>
      </c>
      <c r="C244" s="28"/>
      <c r="D244" s="28" t="s">
        <v>934</v>
      </c>
      <c r="E244" s="31" t="s">
        <v>1230</v>
      </c>
      <c r="F244" s="28">
        <f t="shared" si="9"/>
        <v>55</v>
      </c>
      <c r="G244" s="32"/>
      <c r="H244" s="32"/>
      <c r="I244" s="32"/>
      <c r="J244" s="32">
        <v>2.25</v>
      </c>
      <c r="K244" s="32"/>
      <c r="L244" s="32"/>
      <c r="M244" s="32"/>
      <c r="N244" s="32"/>
      <c r="O244" s="32"/>
      <c r="P244" s="32">
        <v>0</v>
      </c>
      <c r="Q244" s="32"/>
      <c r="R244" s="32"/>
      <c r="S244" s="32"/>
      <c r="T244" s="32"/>
      <c r="U244" s="32">
        <v>20</v>
      </c>
      <c r="V244" s="32"/>
      <c r="W244" s="32"/>
      <c r="X244" s="32"/>
      <c r="Y244" s="32"/>
      <c r="Z244" s="32"/>
      <c r="AA244" s="32"/>
      <c r="AB244" s="32"/>
      <c r="AC244" s="32"/>
      <c r="AD244" s="32"/>
      <c r="AE244" s="34">
        <v>42.4</v>
      </c>
      <c r="AF244" s="18">
        <f t="shared" si="10"/>
        <v>0</v>
      </c>
      <c r="AG244" s="32"/>
      <c r="AH244" s="30">
        <v>0</v>
      </c>
      <c r="AI244" s="14">
        <f t="shared" si="11"/>
        <v>2332</v>
      </c>
      <c r="AJ244" s="26"/>
      <c r="AK244" s="26"/>
      <c r="AL244" s="26">
        <v>40</v>
      </c>
      <c r="AM244" s="26"/>
      <c r="AN244" s="26"/>
      <c r="AO244" s="26"/>
      <c r="AP244" s="26"/>
    </row>
    <row r="245" spans="1:42">
      <c r="A245" s="28" t="s">
        <v>877</v>
      </c>
      <c r="B245" s="28" t="s">
        <v>616</v>
      </c>
      <c r="C245" s="28"/>
      <c r="D245" s="28" t="s">
        <v>635</v>
      </c>
      <c r="E245" s="31" t="s">
        <v>698</v>
      </c>
      <c r="F245" s="28">
        <f t="shared" si="9"/>
        <v>25</v>
      </c>
      <c r="G245" s="32"/>
      <c r="H245" s="32"/>
      <c r="I245" s="32"/>
      <c r="J245" s="32"/>
      <c r="K245" s="32"/>
      <c r="L245" s="32"/>
      <c r="M245" s="32"/>
      <c r="N245" s="32">
        <v>1</v>
      </c>
      <c r="O245" s="32"/>
      <c r="P245" s="32"/>
      <c r="Q245" s="32"/>
      <c r="R245" s="32"/>
      <c r="S245" s="32">
        <v>10</v>
      </c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4">
        <v>100</v>
      </c>
      <c r="AF245" s="18">
        <f t="shared" si="10"/>
        <v>0</v>
      </c>
      <c r="AG245" s="32"/>
      <c r="AH245" s="30">
        <v>0</v>
      </c>
      <c r="AI245" s="14">
        <f t="shared" si="11"/>
        <v>2500</v>
      </c>
      <c r="AJ245" s="26"/>
      <c r="AK245" s="26"/>
      <c r="AL245" s="26"/>
      <c r="AM245" s="26"/>
      <c r="AN245" s="26"/>
      <c r="AO245" s="26"/>
      <c r="AP245" s="26"/>
    </row>
    <row r="246" spans="1:42">
      <c r="A246" s="28" t="s">
        <v>877</v>
      </c>
      <c r="B246" s="28" t="s">
        <v>616</v>
      </c>
      <c r="C246" s="28"/>
      <c r="D246" s="28" t="s">
        <v>1001</v>
      </c>
      <c r="E246" s="31" t="s">
        <v>703</v>
      </c>
      <c r="F246" s="28">
        <f t="shared" si="9"/>
        <v>24</v>
      </c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>
        <v>12</v>
      </c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4">
        <v>88</v>
      </c>
      <c r="AF246" s="18">
        <f t="shared" si="10"/>
        <v>0</v>
      </c>
      <c r="AG246" s="32"/>
      <c r="AH246" s="30">
        <v>0</v>
      </c>
      <c r="AI246" s="14">
        <f t="shared" si="11"/>
        <v>2112</v>
      </c>
      <c r="AJ246" s="26"/>
      <c r="AK246" s="26"/>
      <c r="AL246" s="26">
        <v>110</v>
      </c>
      <c r="AM246" s="26"/>
      <c r="AN246" s="26"/>
      <c r="AO246" s="26"/>
      <c r="AP246" s="26"/>
    </row>
    <row r="247" spans="1:42">
      <c r="A247" s="28" t="s">
        <v>877</v>
      </c>
      <c r="B247" s="28" t="s">
        <v>616</v>
      </c>
      <c r="C247" s="28"/>
      <c r="D247" s="28" t="s">
        <v>641</v>
      </c>
      <c r="E247" s="31" t="s">
        <v>198</v>
      </c>
      <c r="F247" s="28">
        <f t="shared" si="9"/>
        <v>47.5</v>
      </c>
      <c r="G247" s="32"/>
      <c r="H247" s="32"/>
      <c r="I247" s="32"/>
      <c r="J247" s="32">
        <v>1.25</v>
      </c>
      <c r="K247" s="32"/>
      <c r="L247" s="32">
        <v>1</v>
      </c>
      <c r="M247" s="32"/>
      <c r="N247" s="32"/>
      <c r="O247" s="32"/>
      <c r="P247" s="32"/>
      <c r="Q247" s="32"/>
      <c r="R247" s="32"/>
      <c r="S247" s="32">
        <v>2</v>
      </c>
      <c r="T247" s="32"/>
      <c r="U247" s="32">
        <v>17</v>
      </c>
      <c r="V247" s="32"/>
      <c r="W247" s="32"/>
      <c r="X247" s="32"/>
      <c r="Y247" s="32"/>
      <c r="Z247" s="32"/>
      <c r="AA247" s="32"/>
      <c r="AB247" s="32"/>
      <c r="AC247" s="32"/>
      <c r="AD247" s="32"/>
      <c r="AE247" s="34">
        <v>42.4</v>
      </c>
      <c r="AF247" s="18">
        <f t="shared" si="10"/>
        <v>0</v>
      </c>
      <c r="AG247" s="32"/>
      <c r="AH247" s="30">
        <v>0</v>
      </c>
      <c r="AI247" s="14">
        <f t="shared" si="11"/>
        <v>2014</v>
      </c>
      <c r="AJ247" s="26"/>
      <c r="AK247" s="26"/>
      <c r="AL247" s="26">
        <v>40</v>
      </c>
      <c r="AM247" s="26"/>
      <c r="AN247" s="26"/>
      <c r="AO247" s="26"/>
      <c r="AP247" s="26"/>
    </row>
    <row r="248" spans="1:42">
      <c r="A248" s="28" t="s">
        <v>877</v>
      </c>
      <c r="B248" s="28" t="s">
        <v>616</v>
      </c>
      <c r="C248" s="28"/>
      <c r="D248" s="28" t="s">
        <v>696</v>
      </c>
      <c r="E248" s="31" t="s">
        <v>694</v>
      </c>
      <c r="F248" s="28">
        <f t="shared" si="9"/>
        <v>22</v>
      </c>
      <c r="G248" s="32"/>
      <c r="H248" s="32"/>
      <c r="I248" s="32"/>
      <c r="J248" s="32"/>
      <c r="K248" s="32"/>
      <c r="L248" s="32"/>
      <c r="M248" s="32"/>
      <c r="N248" s="32">
        <v>1</v>
      </c>
      <c r="O248" s="32"/>
      <c r="P248" s="32"/>
      <c r="Q248" s="32"/>
      <c r="R248" s="32"/>
      <c r="S248" s="32">
        <v>8</v>
      </c>
      <c r="T248" s="32">
        <v>1</v>
      </c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4">
        <v>100</v>
      </c>
      <c r="AF248" s="18">
        <f t="shared" si="10"/>
        <v>0</v>
      </c>
      <c r="AG248" s="32"/>
      <c r="AH248" s="30">
        <v>0</v>
      </c>
      <c r="AI248" s="14">
        <f t="shared" si="11"/>
        <v>2200</v>
      </c>
      <c r="AJ248" s="26"/>
      <c r="AK248" s="26"/>
      <c r="AL248" s="26"/>
      <c r="AM248" s="26"/>
      <c r="AN248" s="26"/>
      <c r="AO248" s="26"/>
      <c r="AP248" s="26"/>
    </row>
    <row r="249" spans="1:42">
      <c r="A249" s="28" t="s">
        <v>877</v>
      </c>
      <c r="B249" s="28" t="s">
        <v>616</v>
      </c>
      <c r="C249" s="28"/>
      <c r="D249" s="28" t="s">
        <v>695</v>
      </c>
      <c r="E249" s="31" t="s">
        <v>697</v>
      </c>
      <c r="F249" s="28">
        <f t="shared" si="9"/>
        <v>22</v>
      </c>
      <c r="G249" s="32"/>
      <c r="H249" s="32"/>
      <c r="I249" s="32"/>
      <c r="J249" s="32"/>
      <c r="K249" s="32"/>
      <c r="L249" s="32"/>
      <c r="M249" s="32"/>
      <c r="N249" s="32">
        <v>1</v>
      </c>
      <c r="O249" s="32"/>
      <c r="P249" s="32"/>
      <c r="Q249" s="32"/>
      <c r="R249" s="32"/>
      <c r="S249" s="32">
        <v>8</v>
      </c>
      <c r="T249" s="32">
        <v>1</v>
      </c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4">
        <v>100</v>
      </c>
      <c r="AF249" s="18">
        <f t="shared" si="10"/>
        <v>0</v>
      </c>
      <c r="AG249" s="32"/>
      <c r="AH249" s="30">
        <v>0</v>
      </c>
      <c r="AI249" s="14">
        <f t="shared" si="11"/>
        <v>2200</v>
      </c>
      <c r="AJ249" s="26"/>
      <c r="AK249" s="26"/>
      <c r="AL249" s="26"/>
      <c r="AM249" s="26"/>
      <c r="AN249" s="26"/>
      <c r="AO249" s="26"/>
      <c r="AP249" s="26"/>
    </row>
    <row r="250" spans="1:42">
      <c r="A250" s="28" t="s">
        <v>877</v>
      </c>
      <c r="B250" s="28" t="s">
        <v>616</v>
      </c>
      <c r="C250" s="28"/>
      <c r="D250" s="28" t="s">
        <v>995</v>
      </c>
      <c r="E250" s="31" t="s">
        <v>1124</v>
      </c>
      <c r="F250" s="28">
        <f t="shared" si="9"/>
        <v>9</v>
      </c>
      <c r="G250" s="32"/>
      <c r="H250" s="32"/>
      <c r="I250" s="32"/>
      <c r="J250" s="32"/>
      <c r="K250" s="32"/>
      <c r="L250" s="32"/>
      <c r="M250" s="32"/>
      <c r="N250" s="32">
        <v>0.8</v>
      </c>
      <c r="O250" s="32"/>
      <c r="P250" s="32"/>
      <c r="Q250" s="32"/>
      <c r="R250" s="32"/>
      <c r="S250" s="32"/>
      <c r="T250" s="32">
        <v>5</v>
      </c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4">
        <v>300</v>
      </c>
      <c r="AF250" s="18">
        <f t="shared" si="10"/>
        <v>0</v>
      </c>
      <c r="AG250" s="32"/>
      <c r="AH250" s="30">
        <v>0</v>
      </c>
      <c r="AI250" s="14">
        <f t="shared" si="11"/>
        <v>2700</v>
      </c>
      <c r="AJ250" s="26"/>
      <c r="AK250" s="26"/>
      <c r="AL250" s="26"/>
      <c r="AM250" s="26"/>
      <c r="AN250" s="26"/>
      <c r="AO250" s="26"/>
      <c r="AP250" s="26"/>
    </row>
    <row r="251" spans="1:42">
      <c r="A251" s="28" t="s">
        <v>877</v>
      </c>
      <c r="B251" s="28" t="s">
        <v>616</v>
      </c>
      <c r="C251" s="28"/>
      <c r="D251" s="28" t="s">
        <v>938</v>
      </c>
      <c r="E251" s="31" t="s">
        <v>201</v>
      </c>
      <c r="F251" s="28">
        <f t="shared" si="9"/>
        <v>33.5</v>
      </c>
      <c r="G251" s="32"/>
      <c r="H251" s="32"/>
      <c r="I251" s="32"/>
      <c r="J251" s="32">
        <v>1.25</v>
      </c>
      <c r="K251" s="32"/>
      <c r="L251" s="32"/>
      <c r="M251" s="32"/>
      <c r="N251" s="32"/>
      <c r="O251" s="32"/>
      <c r="P251" s="32"/>
      <c r="Q251" s="32"/>
      <c r="R251" s="32"/>
      <c r="S251" s="32">
        <v>1</v>
      </c>
      <c r="T251" s="32"/>
      <c r="U251" s="32">
        <v>13</v>
      </c>
      <c r="V251" s="32"/>
      <c r="W251" s="32"/>
      <c r="X251" s="32"/>
      <c r="Y251" s="32"/>
      <c r="Z251" s="32"/>
      <c r="AA251" s="32"/>
      <c r="AB251" s="32"/>
      <c r="AC251" s="32"/>
      <c r="AD251" s="32"/>
      <c r="AE251" s="34">
        <v>42.4</v>
      </c>
      <c r="AF251" s="18">
        <f t="shared" si="10"/>
        <v>0</v>
      </c>
      <c r="AG251" s="32"/>
      <c r="AH251" s="30">
        <v>0</v>
      </c>
      <c r="AI251" s="14">
        <f t="shared" si="11"/>
        <v>1420.3999999999999</v>
      </c>
      <c r="AJ251" s="26"/>
      <c r="AK251" s="26"/>
      <c r="AL251" s="26">
        <v>40</v>
      </c>
      <c r="AM251" s="26"/>
      <c r="AN251" s="26"/>
      <c r="AO251" s="26"/>
      <c r="AP251" s="26"/>
    </row>
    <row r="252" spans="1:42">
      <c r="A252" s="28" t="s">
        <v>877</v>
      </c>
      <c r="B252" s="28" t="s">
        <v>616</v>
      </c>
      <c r="C252" s="28"/>
      <c r="D252" s="28" t="s">
        <v>997</v>
      </c>
      <c r="E252" s="31" t="s">
        <v>202</v>
      </c>
      <c r="F252" s="28">
        <f t="shared" si="9"/>
        <v>32.5</v>
      </c>
      <c r="G252" s="32"/>
      <c r="H252" s="32"/>
      <c r="I252" s="32"/>
      <c r="J252" s="32">
        <v>1.25</v>
      </c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>
        <v>15</v>
      </c>
      <c r="V252" s="32"/>
      <c r="W252" s="32"/>
      <c r="X252" s="32"/>
      <c r="Y252" s="32"/>
      <c r="Z252" s="32"/>
      <c r="AA252" s="32"/>
      <c r="AB252" s="32"/>
      <c r="AC252" s="32"/>
      <c r="AD252" s="32"/>
      <c r="AE252" s="34">
        <v>42.4</v>
      </c>
      <c r="AF252" s="18">
        <f t="shared" si="10"/>
        <v>0</v>
      </c>
      <c r="AG252" s="32"/>
      <c r="AH252" s="30">
        <v>0</v>
      </c>
      <c r="AI252" s="14">
        <f t="shared" si="11"/>
        <v>1378</v>
      </c>
      <c r="AJ252" s="26"/>
      <c r="AK252" s="26"/>
      <c r="AL252" s="26">
        <v>40</v>
      </c>
      <c r="AM252" s="26"/>
      <c r="AN252" s="26"/>
      <c r="AO252" s="26"/>
      <c r="AP252" s="26"/>
    </row>
    <row r="253" spans="1:42">
      <c r="A253" s="28" t="s">
        <v>877</v>
      </c>
      <c r="B253" s="28" t="s">
        <v>616</v>
      </c>
      <c r="C253" s="28"/>
      <c r="D253" s="28" t="s">
        <v>994</v>
      </c>
      <c r="E253" s="26" t="s">
        <v>702</v>
      </c>
      <c r="F253" s="28">
        <f t="shared" si="9"/>
        <v>5</v>
      </c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>
        <v>5</v>
      </c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4">
        <v>300</v>
      </c>
      <c r="AF253" s="18">
        <f t="shared" si="10"/>
        <v>0</v>
      </c>
      <c r="AG253" s="32"/>
      <c r="AH253" s="30">
        <v>0</v>
      </c>
      <c r="AI253" s="14">
        <f t="shared" si="11"/>
        <v>1500</v>
      </c>
      <c r="AJ253" s="26"/>
      <c r="AK253" s="26"/>
      <c r="AL253" s="26"/>
      <c r="AM253" s="26"/>
      <c r="AN253" s="26"/>
      <c r="AO253" s="26"/>
      <c r="AP253" s="26"/>
    </row>
    <row r="254" spans="1:42">
      <c r="A254" s="28" t="s">
        <v>877</v>
      </c>
      <c r="B254" s="28" t="s">
        <v>616</v>
      </c>
      <c r="C254" s="28"/>
      <c r="D254" s="28" t="s">
        <v>996</v>
      </c>
      <c r="E254" s="31" t="s">
        <v>700</v>
      </c>
      <c r="F254" s="28">
        <f t="shared" si="9"/>
        <v>5</v>
      </c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>
        <v>5</v>
      </c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4">
        <v>520</v>
      </c>
      <c r="AF254" s="18">
        <f t="shared" si="10"/>
        <v>0</v>
      </c>
      <c r="AG254" s="32"/>
      <c r="AH254" s="30">
        <v>0</v>
      </c>
      <c r="AI254" s="14">
        <f t="shared" si="11"/>
        <v>2600</v>
      </c>
      <c r="AJ254" s="26"/>
      <c r="AK254" s="26"/>
      <c r="AL254" s="26"/>
      <c r="AM254" s="26"/>
      <c r="AN254" s="26"/>
      <c r="AO254" s="26"/>
      <c r="AP254" s="26"/>
    </row>
    <row r="255" spans="1:42">
      <c r="A255" s="28" t="s">
        <v>877</v>
      </c>
      <c r="B255" s="28" t="s">
        <v>616</v>
      </c>
      <c r="C255" s="28"/>
      <c r="D255" s="28" t="s">
        <v>637</v>
      </c>
      <c r="E255" s="31" t="s">
        <v>701</v>
      </c>
      <c r="F255" s="28">
        <f t="shared" si="9"/>
        <v>5</v>
      </c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>
        <v>5</v>
      </c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4">
        <v>400</v>
      </c>
      <c r="AF255" s="18">
        <f t="shared" si="10"/>
        <v>0</v>
      </c>
      <c r="AG255" s="32"/>
      <c r="AH255" s="30">
        <v>0</v>
      </c>
      <c r="AI255" s="14">
        <f t="shared" si="11"/>
        <v>2000</v>
      </c>
      <c r="AJ255" s="26"/>
      <c r="AK255" s="26"/>
      <c r="AL255" s="26"/>
      <c r="AM255" s="26"/>
      <c r="AN255" s="26"/>
      <c r="AO255" s="26"/>
      <c r="AP255" s="26"/>
    </row>
    <row r="256" spans="1:42">
      <c r="A256" s="28" t="s">
        <v>877</v>
      </c>
      <c r="B256" s="28" t="s">
        <v>616</v>
      </c>
      <c r="C256" s="28"/>
      <c r="D256" s="28" t="s">
        <v>998</v>
      </c>
      <c r="E256" s="31" t="s">
        <v>699</v>
      </c>
      <c r="F256" s="28">
        <f t="shared" si="9"/>
        <v>5</v>
      </c>
      <c r="G256" s="32"/>
      <c r="H256" s="32"/>
      <c r="I256" s="32"/>
      <c r="J256" s="32"/>
      <c r="K256" s="32"/>
      <c r="L256" s="32"/>
      <c r="M256" s="32"/>
      <c r="N256" s="32">
        <v>1</v>
      </c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4">
        <v>110</v>
      </c>
      <c r="AF256" s="18">
        <f t="shared" si="10"/>
        <v>0</v>
      </c>
      <c r="AG256" s="32"/>
      <c r="AH256" s="30">
        <v>0</v>
      </c>
      <c r="AI256" s="14">
        <f t="shared" si="11"/>
        <v>550</v>
      </c>
      <c r="AJ256" s="26"/>
      <c r="AK256" s="26"/>
      <c r="AL256" s="26"/>
      <c r="AM256" s="26"/>
      <c r="AN256" s="26"/>
      <c r="AO256" s="26"/>
      <c r="AP256" s="26"/>
    </row>
    <row r="257" spans="1:42">
      <c r="A257" s="28" t="s">
        <v>877</v>
      </c>
      <c r="B257" s="28" t="s">
        <v>618</v>
      </c>
      <c r="C257" s="28"/>
      <c r="D257" s="28" t="s">
        <v>711</v>
      </c>
      <c r="E257" s="31" t="s">
        <v>1125</v>
      </c>
      <c r="F257" s="28">
        <f t="shared" si="9"/>
        <v>20</v>
      </c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>
        <v>10</v>
      </c>
      <c r="U257" s="32"/>
      <c r="V257" s="32">
        <v>40</v>
      </c>
      <c r="W257" s="32"/>
      <c r="X257" s="32"/>
      <c r="Y257" s="32"/>
      <c r="Z257" s="32"/>
      <c r="AA257" s="32"/>
      <c r="AB257" s="32"/>
      <c r="AC257" s="32"/>
      <c r="AD257" s="32"/>
      <c r="AE257" s="34">
        <v>70</v>
      </c>
      <c r="AF257" s="18">
        <f t="shared" si="10"/>
        <v>0</v>
      </c>
      <c r="AG257" s="32"/>
      <c r="AH257" s="30">
        <v>0</v>
      </c>
      <c r="AI257" s="14">
        <f t="shared" si="11"/>
        <v>1400</v>
      </c>
      <c r="AJ257" s="26"/>
      <c r="AK257" s="26"/>
      <c r="AL257" s="26">
        <v>70</v>
      </c>
      <c r="AM257" s="26"/>
      <c r="AN257" s="26"/>
      <c r="AO257" s="26"/>
      <c r="AP257" s="26"/>
    </row>
    <row r="258" spans="1:42">
      <c r="A258" s="28" t="s">
        <v>877</v>
      </c>
      <c r="B258" s="28" t="s">
        <v>618</v>
      </c>
      <c r="C258" s="28"/>
      <c r="D258" s="28" t="s">
        <v>642</v>
      </c>
      <c r="E258" s="31" t="s">
        <v>713</v>
      </c>
      <c r="F258" s="28">
        <f t="shared" ref="F258:F321" si="12">+$G$1*G258+$H$1*H258+$I$1*I258+$J$1*J258+$K$1*K258+$L$1*L258+$M$1*M258+$N$1*N258+$O$1*O258+$P$1*P258+$Q$1*Q258+$R$1*R258+$S$1*S258+$T$1*T258+$U$1*U258+$V$1*V258+$W$1*W258+$X$1*X258+$Y$1*Y258+$Z$1*Z258+$AA$1*AA258+$AB$1*AB258+$AC$1*AC258+$AD$1*AD258</f>
        <v>20</v>
      </c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>
        <v>10</v>
      </c>
      <c r="U258" s="32"/>
      <c r="V258" s="32">
        <v>40</v>
      </c>
      <c r="W258" s="32"/>
      <c r="X258" s="32"/>
      <c r="Y258" s="32"/>
      <c r="Z258" s="32"/>
      <c r="AA258" s="32"/>
      <c r="AB258" s="32"/>
      <c r="AC258" s="32"/>
      <c r="AD258" s="32"/>
      <c r="AE258" s="34">
        <v>70</v>
      </c>
      <c r="AF258" s="18">
        <f t="shared" ref="AF258:AF321" si="13">+$AG$1*AG258</f>
        <v>0</v>
      </c>
      <c r="AG258" s="32"/>
      <c r="AH258" s="30">
        <v>0</v>
      </c>
      <c r="AI258" s="14">
        <f t="shared" ref="AI258:AI321" si="14">+F258*AE258+AF258*AH258</f>
        <v>1400</v>
      </c>
      <c r="AJ258" s="26"/>
      <c r="AK258" s="26"/>
      <c r="AL258" s="26">
        <v>70</v>
      </c>
      <c r="AM258" s="26"/>
      <c r="AN258" s="26"/>
      <c r="AO258" s="26"/>
      <c r="AP258" s="26"/>
    </row>
    <row r="259" spans="1:42">
      <c r="A259" s="28" t="s">
        <v>877</v>
      </c>
      <c r="B259" s="28" t="s">
        <v>618</v>
      </c>
      <c r="C259" s="28"/>
      <c r="D259" s="28" t="s">
        <v>978</v>
      </c>
      <c r="E259" s="31" t="s">
        <v>714</v>
      </c>
      <c r="F259" s="28">
        <f t="shared" si="12"/>
        <v>18</v>
      </c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>
        <v>8</v>
      </c>
      <c r="U259" s="32"/>
      <c r="V259" s="32">
        <v>40</v>
      </c>
      <c r="W259" s="32"/>
      <c r="X259" s="32"/>
      <c r="Y259" s="32"/>
      <c r="Z259" s="32"/>
      <c r="AA259" s="32"/>
      <c r="AB259" s="32"/>
      <c r="AC259" s="32"/>
      <c r="AD259" s="32"/>
      <c r="AE259" s="34">
        <v>70</v>
      </c>
      <c r="AF259" s="18">
        <f t="shared" si="13"/>
        <v>0</v>
      </c>
      <c r="AG259" s="32"/>
      <c r="AH259" s="30">
        <v>0</v>
      </c>
      <c r="AI259" s="14">
        <f t="shared" si="14"/>
        <v>1260</v>
      </c>
      <c r="AJ259" s="26"/>
      <c r="AK259" s="26"/>
      <c r="AL259" s="26">
        <v>70</v>
      </c>
      <c r="AM259" s="26"/>
      <c r="AN259" s="26"/>
      <c r="AO259" s="26"/>
      <c r="AP259" s="26"/>
    </row>
    <row r="260" spans="1:42">
      <c r="A260" s="28" t="s">
        <v>877</v>
      </c>
      <c r="B260" s="28" t="s">
        <v>618</v>
      </c>
      <c r="C260" s="28"/>
      <c r="D260" s="28" t="s">
        <v>712</v>
      </c>
      <c r="E260" s="31" t="s">
        <v>710</v>
      </c>
      <c r="F260" s="28">
        <f t="shared" si="12"/>
        <v>13</v>
      </c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>
        <v>3</v>
      </c>
      <c r="U260" s="32"/>
      <c r="V260" s="32">
        <v>40</v>
      </c>
      <c r="W260" s="32"/>
      <c r="X260" s="32"/>
      <c r="Y260" s="32"/>
      <c r="Z260" s="32"/>
      <c r="AA260" s="32"/>
      <c r="AB260" s="32"/>
      <c r="AC260" s="32"/>
      <c r="AD260" s="32"/>
      <c r="AE260" s="34">
        <v>70</v>
      </c>
      <c r="AF260" s="18">
        <f t="shared" si="13"/>
        <v>0</v>
      </c>
      <c r="AG260" s="32"/>
      <c r="AH260" s="30">
        <v>0</v>
      </c>
      <c r="AI260" s="14">
        <f t="shared" si="14"/>
        <v>910</v>
      </c>
      <c r="AJ260" s="26"/>
      <c r="AK260" s="26"/>
      <c r="AL260" s="26">
        <v>70</v>
      </c>
      <c r="AM260" s="26"/>
      <c r="AN260" s="26"/>
      <c r="AO260" s="26"/>
      <c r="AP260" s="26"/>
    </row>
    <row r="261" spans="1:42">
      <c r="A261" s="28" t="s">
        <v>877</v>
      </c>
      <c r="B261" s="28" t="s">
        <v>618</v>
      </c>
      <c r="C261" s="28"/>
      <c r="D261" s="28" t="s">
        <v>1059</v>
      </c>
      <c r="E261" s="31" t="s">
        <v>1043</v>
      </c>
      <c r="F261" s="28">
        <f t="shared" si="12"/>
        <v>4.5</v>
      </c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>
        <v>9</v>
      </c>
      <c r="V261" s="32"/>
      <c r="W261" s="32"/>
      <c r="X261" s="32"/>
      <c r="Y261" s="32"/>
      <c r="Z261" s="32"/>
      <c r="AA261" s="32"/>
      <c r="AB261" s="32"/>
      <c r="AC261" s="32"/>
      <c r="AD261" s="32"/>
      <c r="AE261" s="34">
        <v>528</v>
      </c>
      <c r="AF261" s="18">
        <f t="shared" si="13"/>
        <v>0</v>
      </c>
      <c r="AG261" s="32"/>
      <c r="AH261" s="30">
        <v>0</v>
      </c>
      <c r="AI261" s="14">
        <f t="shared" si="14"/>
        <v>2376</v>
      </c>
      <c r="AJ261" s="26"/>
      <c r="AK261" s="26"/>
      <c r="AL261" s="26"/>
      <c r="AM261" s="26"/>
      <c r="AN261" s="26"/>
      <c r="AO261" s="26"/>
      <c r="AP261" s="26"/>
    </row>
    <row r="262" spans="1:42">
      <c r="A262" s="28" t="s">
        <v>877</v>
      </c>
      <c r="B262" s="28" t="s">
        <v>618</v>
      </c>
      <c r="C262" s="28"/>
      <c r="D262" s="28" t="s">
        <v>1050</v>
      </c>
      <c r="E262" s="31" t="s">
        <v>109</v>
      </c>
      <c r="F262" s="28">
        <f t="shared" si="12"/>
        <v>3</v>
      </c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>
        <v>5</v>
      </c>
      <c r="V262" s="32">
        <v>2</v>
      </c>
      <c r="W262" s="32"/>
      <c r="X262" s="32"/>
      <c r="Y262" s="32"/>
      <c r="Z262" s="32"/>
      <c r="AA262" s="32"/>
      <c r="AB262" s="32"/>
      <c r="AC262" s="32"/>
      <c r="AD262" s="32"/>
      <c r="AE262" s="34">
        <v>750</v>
      </c>
      <c r="AF262" s="18">
        <f t="shared" si="13"/>
        <v>0</v>
      </c>
      <c r="AG262" s="32"/>
      <c r="AH262" s="30">
        <v>0</v>
      </c>
      <c r="AI262" s="14">
        <f t="shared" si="14"/>
        <v>2250</v>
      </c>
      <c r="AJ262" s="26"/>
      <c r="AK262" s="26"/>
      <c r="AL262" s="26"/>
      <c r="AM262" s="26"/>
      <c r="AN262" s="26"/>
      <c r="AO262" s="26"/>
      <c r="AP262" s="26"/>
    </row>
    <row r="263" spans="1:42">
      <c r="A263" s="28" t="s">
        <v>877</v>
      </c>
      <c r="B263" s="28" t="s">
        <v>618</v>
      </c>
      <c r="C263" s="28"/>
      <c r="D263" s="28" t="s">
        <v>1174</v>
      </c>
      <c r="E263" s="31" t="s">
        <v>1045</v>
      </c>
      <c r="F263" s="28">
        <f t="shared" si="12"/>
        <v>2.5</v>
      </c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>
        <v>5</v>
      </c>
      <c r="V263" s="32"/>
      <c r="W263" s="32"/>
      <c r="X263" s="32"/>
      <c r="Y263" s="32"/>
      <c r="Z263" s="32"/>
      <c r="AA263" s="32"/>
      <c r="AB263" s="32"/>
      <c r="AC263" s="32"/>
      <c r="AD263" s="32"/>
      <c r="AE263" s="34">
        <v>528</v>
      </c>
      <c r="AF263" s="18">
        <f t="shared" si="13"/>
        <v>0</v>
      </c>
      <c r="AG263" s="32"/>
      <c r="AH263" s="30">
        <v>0</v>
      </c>
      <c r="AI263" s="14">
        <f t="shared" si="14"/>
        <v>1320</v>
      </c>
      <c r="AJ263" s="26"/>
      <c r="AK263" s="26"/>
      <c r="AL263" s="26"/>
      <c r="AM263" s="26"/>
      <c r="AN263" s="26"/>
      <c r="AO263" s="26"/>
      <c r="AP263" s="26"/>
    </row>
    <row r="264" spans="1:42">
      <c r="A264" s="28" t="s">
        <v>877</v>
      </c>
      <c r="B264" s="28" t="s">
        <v>618</v>
      </c>
      <c r="C264" s="28"/>
      <c r="D264" s="28" t="s">
        <v>1199</v>
      </c>
      <c r="E264" s="31" t="s">
        <v>1046</v>
      </c>
      <c r="F264" s="28">
        <f t="shared" si="12"/>
        <v>2</v>
      </c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>
        <v>4</v>
      </c>
      <c r="V264" s="32"/>
      <c r="W264" s="32"/>
      <c r="X264" s="32"/>
      <c r="Y264" s="32"/>
      <c r="Z264" s="32"/>
      <c r="AA264" s="32"/>
      <c r="AB264" s="32"/>
      <c r="AC264" s="32"/>
      <c r="AD264" s="32"/>
      <c r="AE264" s="34">
        <v>528</v>
      </c>
      <c r="AF264" s="18">
        <f t="shared" si="13"/>
        <v>0</v>
      </c>
      <c r="AG264" s="32"/>
      <c r="AH264" s="30">
        <v>0</v>
      </c>
      <c r="AI264" s="14">
        <f t="shared" si="14"/>
        <v>1056</v>
      </c>
      <c r="AJ264" s="26"/>
      <c r="AK264" s="26"/>
      <c r="AL264" s="26"/>
      <c r="AM264" s="26"/>
      <c r="AN264" s="26"/>
      <c r="AO264" s="26"/>
      <c r="AP264" s="26"/>
    </row>
    <row r="265" spans="1:42">
      <c r="A265" s="28" t="s">
        <v>877</v>
      </c>
      <c r="B265" s="28" t="s">
        <v>618</v>
      </c>
      <c r="C265" s="28"/>
      <c r="D265" s="28" t="s">
        <v>1044</v>
      </c>
      <c r="E265" s="31" t="s">
        <v>1047</v>
      </c>
      <c r="F265" s="28">
        <f t="shared" si="12"/>
        <v>2</v>
      </c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>
        <v>4</v>
      </c>
      <c r="V265" s="32"/>
      <c r="W265" s="32"/>
      <c r="X265" s="32"/>
      <c r="Y265" s="32"/>
      <c r="Z265" s="32"/>
      <c r="AA265" s="32"/>
      <c r="AB265" s="32"/>
      <c r="AC265" s="32"/>
      <c r="AD265" s="32"/>
      <c r="AE265" s="34">
        <v>528</v>
      </c>
      <c r="AF265" s="18">
        <f t="shared" si="13"/>
        <v>0</v>
      </c>
      <c r="AG265" s="32"/>
      <c r="AH265" s="30">
        <v>0</v>
      </c>
      <c r="AI265" s="14">
        <f t="shared" si="14"/>
        <v>1056</v>
      </c>
      <c r="AJ265" s="26"/>
      <c r="AK265" s="26"/>
      <c r="AL265" s="26"/>
      <c r="AM265" s="26"/>
      <c r="AN265" s="26"/>
      <c r="AO265" s="26"/>
      <c r="AP265" s="26"/>
    </row>
    <row r="266" spans="1:42">
      <c r="A266" s="28" t="s">
        <v>877</v>
      </c>
      <c r="B266" s="28" t="s">
        <v>618</v>
      </c>
      <c r="C266" s="28"/>
      <c r="D266" s="28" t="s">
        <v>935</v>
      </c>
      <c r="E266" s="31" t="s">
        <v>117</v>
      </c>
      <c r="F266" s="28">
        <f t="shared" si="12"/>
        <v>2</v>
      </c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>
        <v>2</v>
      </c>
      <c r="V266" s="32">
        <v>4</v>
      </c>
      <c r="W266" s="32"/>
      <c r="X266" s="32"/>
      <c r="Y266" s="32"/>
      <c r="Z266" s="32"/>
      <c r="AA266" s="32"/>
      <c r="AB266" s="32"/>
      <c r="AC266" s="32"/>
      <c r="AD266" s="32"/>
      <c r="AE266" s="34">
        <v>750</v>
      </c>
      <c r="AF266" s="18">
        <f t="shared" si="13"/>
        <v>0</v>
      </c>
      <c r="AG266" s="32"/>
      <c r="AH266" s="30">
        <v>0</v>
      </c>
      <c r="AI266" s="14">
        <f t="shared" si="14"/>
        <v>1500</v>
      </c>
      <c r="AJ266" s="26"/>
      <c r="AK266" s="26"/>
      <c r="AL266" s="26"/>
      <c r="AM266" s="26"/>
      <c r="AN266" s="26"/>
      <c r="AO266" s="26"/>
      <c r="AP266" s="26"/>
    </row>
    <row r="267" spans="1:42">
      <c r="A267" s="28" t="s">
        <v>877</v>
      </c>
      <c r="B267" s="28" t="s">
        <v>618</v>
      </c>
      <c r="C267" s="28"/>
      <c r="D267" s="28" t="s">
        <v>1002</v>
      </c>
      <c r="E267" s="31" t="s">
        <v>101</v>
      </c>
      <c r="F267" s="28">
        <f t="shared" si="12"/>
        <v>1.75</v>
      </c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>
        <v>2</v>
      </c>
      <c r="V267" s="32">
        <v>3</v>
      </c>
      <c r="W267" s="32"/>
      <c r="X267" s="32"/>
      <c r="Y267" s="32"/>
      <c r="Z267" s="32"/>
      <c r="AA267" s="32"/>
      <c r="AB267" s="32"/>
      <c r="AC267" s="32"/>
      <c r="AD267" s="32"/>
      <c r="AE267" s="34">
        <v>750</v>
      </c>
      <c r="AF267" s="18">
        <f t="shared" si="13"/>
        <v>0</v>
      </c>
      <c r="AG267" s="32"/>
      <c r="AH267" s="30">
        <v>0</v>
      </c>
      <c r="AI267" s="14">
        <f t="shared" si="14"/>
        <v>1312.5</v>
      </c>
      <c r="AJ267" s="26"/>
      <c r="AK267" s="26"/>
      <c r="AL267" s="26"/>
      <c r="AM267" s="26"/>
      <c r="AN267" s="26"/>
      <c r="AO267" s="26"/>
      <c r="AP267" s="26"/>
    </row>
    <row r="268" spans="1:42">
      <c r="A268" s="28" t="s">
        <v>877</v>
      </c>
      <c r="B268" s="28" t="s">
        <v>618</v>
      </c>
      <c r="C268" s="28"/>
      <c r="D268" s="28" t="s">
        <v>648</v>
      </c>
      <c r="E268" s="31" t="s">
        <v>138</v>
      </c>
      <c r="F268" s="28">
        <f t="shared" si="12"/>
        <v>1.5</v>
      </c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>
        <v>1</v>
      </c>
      <c r="V268" s="32">
        <v>4</v>
      </c>
      <c r="W268" s="32"/>
      <c r="X268" s="32"/>
      <c r="Y268" s="32"/>
      <c r="Z268" s="32"/>
      <c r="AA268" s="32"/>
      <c r="AB268" s="32"/>
      <c r="AC268" s="32"/>
      <c r="AD268" s="32"/>
      <c r="AE268" s="34">
        <v>750</v>
      </c>
      <c r="AF268" s="18">
        <f t="shared" si="13"/>
        <v>0</v>
      </c>
      <c r="AG268" s="32"/>
      <c r="AH268" s="30">
        <v>0</v>
      </c>
      <c r="AI268" s="14">
        <f t="shared" si="14"/>
        <v>1125</v>
      </c>
      <c r="AJ268" s="26"/>
      <c r="AK268" s="26"/>
      <c r="AL268" s="26"/>
      <c r="AM268" s="26"/>
      <c r="AN268" s="26"/>
      <c r="AO268" s="26"/>
      <c r="AP268" s="26"/>
    </row>
    <row r="269" spans="1:42" ht="30">
      <c r="A269" s="28" t="s">
        <v>877</v>
      </c>
      <c r="B269" s="28" t="s">
        <v>621</v>
      </c>
      <c r="C269" s="28"/>
      <c r="D269" s="28" t="s">
        <v>939</v>
      </c>
      <c r="E269" s="31" t="s">
        <v>1352</v>
      </c>
      <c r="F269" s="28">
        <f t="shared" si="12"/>
        <v>42.5</v>
      </c>
      <c r="G269" s="32"/>
      <c r="H269" s="32"/>
      <c r="I269" s="32"/>
      <c r="J269" s="32"/>
      <c r="K269" s="32"/>
      <c r="L269" s="32"/>
      <c r="M269" s="32"/>
      <c r="N269" s="32">
        <v>4</v>
      </c>
      <c r="O269" s="32"/>
      <c r="P269" s="32"/>
      <c r="Q269" s="32"/>
      <c r="R269" s="32">
        <v>1</v>
      </c>
      <c r="S269" s="32">
        <v>10</v>
      </c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4">
        <v>135</v>
      </c>
      <c r="AF269" s="18">
        <f t="shared" si="13"/>
        <v>0</v>
      </c>
      <c r="AG269" s="32"/>
      <c r="AH269" s="30">
        <v>0</v>
      </c>
      <c r="AI269" s="14">
        <f t="shared" si="14"/>
        <v>5737.5</v>
      </c>
      <c r="AJ269" s="26"/>
      <c r="AK269" s="26"/>
      <c r="AL269" s="26"/>
      <c r="AM269" s="26"/>
      <c r="AN269" s="26"/>
      <c r="AO269" s="26"/>
      <c r="AP269" s="26"/>
    </row>
    <row r="270" spans="1:42">
      <c r="A270" s="28" t="s">
        <v>877</v>
      </c>
      <c r="B270" s="28" t="s">
        <v>621</v>
      </c>
      <c r="C270" s="28"/>
      <c r="D270" s="28" t="s">
        <v>654</v>
      </c>
      <c r="E270" s="31" t="s">
        <v>197</v>
      </c>
      <c r="F270" s="28">
        <f t="shared" si="12"/>
        <v>40</v>
      </c>
      <c r="G270" s="32"/>
      <c r="H270" s="32"/>
      <c r="I270" s="32"/>
      <c r="J270" s="32"/>
      <c r="K270" s="32"/>
      <c r="L270" s="32">
        <v>4</v>
      </c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4">
        <v>85</v>
      </c>
      <c r="AF270" s="18">
        <f t="shared" si="13"/>
        <v>0</v>
      </c>
      <c r="AG270" s="32"/>
      <c r="AH270" s="30">
        <v>0</v>
      </c>
      <c r="AI270" s="14">
        <f t="shared" si="14"/>
        <v>3400</v>
      </c>
      <c r="AJ270" s="26"/>
      <c r="AK270" s="26"/>
      <c r="AL270" s="26"/>
      <c r="AM270" s="26"/>
      <c r="AN270" s="26"/>
      <c r="AO270" s="26"/>
      <c r="AP270" s="26"/>
    </row>
    <row r="271" spans="1:42">
      <c r="A271" s="28" t="s">
        <v>877</v>
      </c>
      <c r="B271" s="28" t="s">
        <v>621</v>
      </c>
      <c r="C271" s="28"/>
      <c r="D271" s="28" t="s">
        <v>649</v>
      </c>
      <c r="E271" s="31" t="s">
        <v>1355</v>
      </c>
      <c r="F271" s="28">
        <f t="shared" si="12"/>
        <v>21.4</v>
      </c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>
        <v>1</v>
      </c>
      <c r="R271" s="32"/>
      <c r="S271" s="32">
        <v>9</v>
      </c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4">
        <v>117</v>
      </c>
      <c r="AF271" s="18">
        <f t="shared" si="13"/>
        <v>0</v>
      </c>
      <c r="AG271" s="32"/>
      <c r="AH271" s="30">
        <v>0</v>
      </c>
      <c r="AI271" s="14">
        <f t="shared" si="14"/>
        <v>2503.7999999999997</v>
      </c>
      <c r="AJ271" s="26"/>
      <c r="AK271" s="26"/>
      <c r="AL271" s="26"/>
      <c r="AM271" s="26"/>
      <c r="AN271" s="26"/>
      <c r="AO271" s="26"/>
      <c r="AP271" s="26"/>
    </row>
    <row r="272" spans="1:42">
      <c r="A272" s="26" t="s">
        <v>877</v>
      </c>
      <c r="B272" s="26" t="s">
        <v>621</v>
      </c>
      <c r="D272" s="26" t="s">
        <v>1267</v>
      </c>
      <c r="E272" s="27" t="s">
        <v>1266</v>
      </c>
      <c r="F272" s="28">
        <f t="shared" si="12"/>
        <v>18</v>
      </c>
      <c r="S272" s="29">
        <v>9</v>
      </c>
      <c r="AE272" s="20">
        <v>52</v>
      </c>
      <c r="AF272" s="18">
        <f t="shared" si="13"/>
        <v>0</v>
      </c>
      <c r="AH272" s="30">
        <v>0</v>
      </c>
      <c r="AI272" s="14">
        <f t="shared" si="14"/>
        <v>936</v>
      </c>
    </row>
    <row r="273" spans="1:42">
      <c r="A273" s="26" t="s">
        <v>877</v>
      </c>
      <c r="B273" s="26" t="s">
        <v>621</v>
      </c>
      <c r="D273" s="26" t="s">
        <v>1305</v>
      </c>
      <c r="E273" s="27" t="s">
        <v>1243</v>
      </c>
      <c r="F273" s="28">
        <f t="shared" si="12"/>
        <v>18</v>
      </c>
      <c r="S273" s="29">
        <v>9</v>
      </c>
      <c r="AE273" s="20">
        <v>52</v>
      </c>
      <c r="AF273" s="18">
        <f t="shared" si="13"/>
        <v>0</v>
      </c>
      <c r="AH273" s="30">
        <v>0</v>
      </c>
      <c r="AI273" s="14">
        <f t="shared" si="14"/>
        <v>936</v>
      </c>
    </row>
    <row r="274" spans="1:42">
      <c r="A274" s="26" t="s">
        <v>877</v>
      </c>
      <c r="B274" s="26" t="s">
        <v>621</v>
      </c>
      <c r="D274" s="26" t="s">
        <v>1240</v>
      </c>
      <c r="E274" s="27" t="s">
        <v>1242</v>
      </c>
      <c r="F274" s="28">
        <f t="shared" si="12"/>
        <v>18</v>
      </c>
      <c r="S274" s="29">
        <v>9</v>
      </c>
      <c r="AE274" s="20">
        <v>52</v>
      </c>
      <c r="AF274" s="18">
        <f t="shared" si="13"/>
        <v>0</v>
      </c>
      <c r="AH274" s="30">
        <v>0</v>
      </c>
      <c r="AI274" s="14">
        <f t="shared" si="14"/>
        <v>936</v>
      </c>
    </row>
    <row r="275" spans="1:42">
      <c r="A275" s="26" t="s">
        <v>877</v>
      </c>
      <c r="B275" s="26" t="s">
        <v>621</v>
      </c>
      <c r="D275" s="26" t="s">
        <v>1241</v>
      </c>
      <c r="E275" s="27" t="s">
        <v>1244</v>
      </c>
      <c r="F275" s="28">
        <f t="shared" si="12"/>
        <v>18</v>
      </c>
      <c r="S275" s="29">
        <v>9</v>
      </c>
      <c r="AE275" s="20">
        <v>52</v>
      </c>
      <c r="AF275" s="18">
        <f t="shared" si="13"/>
        <v>0</v>
      </c>
      <c r="AH275" s="30">
        <v>0</v>
      </c>
      <c r="AI275" s="14">
        <f t="shared" si="14"/>
        <v>936</v>
      </c>
    </row>
    <row r="276" spans="1:42">
      <c r="A276" s="28" t="s">
        <v>877</v>
      </c>
      <c r="B276" s="28" t="s">
        <v>621</v>
      </c>
      <c r="C276" s="28"/>
      <c r="D276" s="28" t="s">
        <v>1003</v>
      </c>
      <c r="E276" s="31" t="s">
        <v>1350</v>
      </c>
      <c r="F276" s="28">
        <f t="shared" si="12"/>
        <v>18</v>
      </c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>
        <v>9</v>
      </c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4">
        <v>135</v>
      </c>
      <c r="AF276" s="18">
        <f t="shared" si="13"/>
        <v>0</v>
      </c>
      <c r="AG276" s="32"/>
      <c r="AH276" s="30">
        <v>0</v>
      </c>
      <c r="AI276" s="14">
        <f t="shared" si="14"/>
        <v>2430</v>
      </c>
      <c r="AJ276" s="26"/>
      <c r="AK276" s="26"/>
      <c r="AL276" s="26"/>
      <c r="AM276" s="26"/>
      <c r="AN276" s="26"/>
      <c r="AO276" s="26"/>
      <c r="AP276" s="26"/>
    </row>
    <row r="277" spans="1:42">
      <c r="A277" s="28" t="s">
        <v>877</v>
      </c>
      <c r="B277" s="28" t="s">
        <v>621</v>
      </c>
      <c r="C277" s="28"/>
      <c r="D277" s="28" t="s">
        <v>1051</v>
      </c>
      <c r="E277" s="31" t="s">
        <v>75</v>
      </c>
      <c r="F277" s="28">
        <f t="shared" si="12"/>
        <v>17.5</v>
      </c>
      <c r="G277" s="32"/>
      <c r="H277" s="32"/>
      <c r="I277" s="32"/>
      <c r="J277" s="32">
        <v>0</v>
      </c>
      <c r="K277" s="32">
        <v>1</v>
      </c>
      <c r="L277" s="32"/>
      <c r="M277" s="32"/>
      <c r="N277" s="32"/>
      <c r="O277" s="32"/>
      <c r="P277" s="32"/>
      <c r="Q277" s="32"/>
      <c r="R277" s="32">
        <v>1</v>
      </c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4">
        <v>86</v>
      </c>
      <c r="AF277" s="18">
        <f t="shared" si="13"/>
        <v>0</v>
      </c>
      <c r="AG277" s="32"/>
      <c r="AH277" s="30">
        <v>0</v>
      </c>
      <c r="AI277" s="14">
        <f t="shared" si="14"/>
        <v>1505</v>
      </c>
      <c r="AJ277" s="26"/>
      <c r="AK277" s="26"/>
      <c r="AL277" s="26">
        <v>86</v>
      </c>
      <c r="AM277" s="26"/>
      <c r="AN277" s="26"/>
      <c r="AO277" s="26"/>
      <c r="AP277" s="26"/>
    </row>
    <row r="278" spans="1:42">
      <c r="A278" s="28" t="s">
        <v>877</v>
      </c>
      <c r="B278" s="28" t="s">
        <v>621</v>
      </c>
      <c r="C278" s="28"/>
      <c r="D278" s="28" t="s">
        <v>936</v>
      </c>
      <c r="E278" s="31" t="s">
        <v>78</v>
      </c>
      <c r="F278" s="28">
        <f t="shared" si="12"/>
        <v>17.5</v>
      </c>
      <c r="G278" s="32"/>
      <c r="H278" s="32"/>
      <c r="I278" s="32"/>
      <c r="J278" s="32">
        <v>0</v>
      </c>
      <c r="K278" s="32">
        <v>1</v>
      </c>
      <c r="L278" s="32"/>
      <c r="M278" s="32"/>
      <c r="N278" s="32"/>
      <c r="O278" s="32"/>
      <c r="P278" s="32"/>
      <c r="Q278" s="32"/>
      <c r="R278" s="32">
        <v>1</v>
      </c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4">
        <v>115</v>
      </c>
      <c r="AF278" s="18">
        <f t="shared" si="13"/>
        <v>0</v>
      </c>
      <c r="AG278" s="32"/>
      <c r="AH278" s="30">
        <v>0</v>
      </c>
      <c r="AI278" s="14">
        <f t="shared" si="14"/>
        <v>2012.5</v>
      </c>
      <c r="AJ278" s="26"/>
      <c r="AK278" s="26"/>
      <c r="AL278" s="26">
        <v>115</v>
      </c>
      <c r="AM278" s="26"/>
      <c r="AN278" s="26"/>
      <c r="AO278" s="26"/>
      <c r="AP278" s="26"/>
    </row>
    <row r="279" spans="1:42">
      <c r="A279" s="28" t="s">
        <v>877</v>
      </c>
      <c r="B279" s="28" t="s">
        <v>621</v>
      </c>
      <c r="C279" s="28"/>
      <c r="D279" s="28" t="s">
        <v>1474</v>
      </c>
      <c r="E279" s="31" t="s">
        <v>71</v>
      </c>
      <c r="F279" s="28">
        <f t="shared" si="12"/>
        <v>15</v>
      </c>
      <c r="G279" s="32"/>
      <c r="H279" s="32"/>
      <c r="I279" s="32"/>
      <c r="J279" s="32">
        <v>0</v>
      </c>
      <c r="K279" s="32">
        <v>1</v>
      </c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4">
        <v>100</v>
      </c>
      <c r="AF279" s="18">
        <f t="shared" si="13"/>
        <v>0</v>
      </c>
      <c r="AG279" s="32"/>
      <c r="AH279" s="30">
        <v>0</v>
      </c>
      <c r="AI279" s="14">
        <f t="shared" si="14"/>
        <v>1500</v>
      </c>
      <c r="AJ279" s="26"/>
      <c r="AK279" s="26"/>
      <c r="AL279" s="26">
        <v>100</v>
      </c>
      <c r="AM279" s="26"/>
      <c r="AN279" s="26"/>
      <c r="AO279" s="26"/>
      <c r="AP279" s="26"/>
    </row>
    <row r="280" spans="1:42">
      <c r="A280" s="28" t="s">
        <v>877</v>
      </c>
      <c r="B280" s="28" t="s">
        <v>621</v>
      </c>
      <c r="C280" s="28"/>
      <c r="D280" s="28" t="s">
        <v>650</v>
      </c>
      <c r="E280" s="31" t="s">
        <v>81</v>
      </c>
      <c r="F280" s="28">
        <f t="shared" si="12"/>
        <v>15</v>
      </c>
      <c r="G280" s="32"/>
      <c r="H280" s="32"/>
      <c r="I280" s="32"/>
      <c r="J280" s="32"/>
      <c r="K280" s="32">
        <v>1</v>
      </c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4">
        <v>86</v>
      </c>
      <c r="AF280" s="18">
        <f t="shared" si="13"/>
        <v>0</v>
      </c>
      <c r="AG280" s="32"/>
      <c r="AH280" s="30">
        <v>0</v>
      </c>
      <c r="AI280" s="14">
        <f t="shared" si="14"/>
        <v>1290</v>
      </c>
      <c r="AJ280" s="26"/>
      <c r="AK280" s="26"/>
      <c r="AL280" s="26">
        <v>86</v>
      </c>
      <c r="AM280" s="26"/>
      <c r="AN280" s="26"/>
      <c r="AO280" s="26"/>
      <c r="AP280" s="26"/>
    </row>
    <row r="281" spans="1:42">
      <c r="A281" s="28" t="s">
        <v>877</v>
      </c>
      <c r="B281" s="28" t="s">
        <v>621</v>
      </c>
      <c r="C281" s="28"/>
      <c r="D281" s="28" t="s">
        <v>715</v>
      </c>
      <c r="E281" s="31" t="s">
        <v>716</v>
      </c>
      <c r="F281" s="28">
        <f t="shared" si="12"/>
        <v>14</v>
      </c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>
        <v>7</v>
      </c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4">
        <v>207</v>
      </c>
      <c r="AF281" s="18">
        <f t="shared" si="13"/>
        <v>0</v>
      </c>
      <c r="AG281" s="32"/>
      <c r="AH281" s="30">
        <v>0</v>
      </c>
      <c r="AI281" s="14">
        <f t="shared" si="14"/>
        <v>2898</v>
      </c>
      <c r="AJ281" s="26"/>
      <c r="AK281" s="26"/>
      <c r="AL281" s="26"/>
      <c r="AM281" s="26"/>
      <c r="AN281" s="26"/>
      <c r="AO281" s="26"/>
      <c r="AP281" s="26"/>
    </row>
    <row r="282" spans="1:42" s="26" customFormat="1">
      <c r="A282" s="26" t="s">
        <v>877</v>
      </c>
      <c r="B282" s="26" t="s">
        <v>621</v>
      </c>
      <c r="D282" s="26" t="s">
        <v>957</v>
      </c>
      <c r="E282" s="27" t="s">
        <v>1203</v>
      </c>
      <c r="F282" s="28">
        <f t="shared" si="12"/>
        <v>3</v>
      </c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>
        <v>3</v>
      </c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14">
        <v>1250</v>
      </c>
      <c r="AF282" s="18">
        <f t="shared" si="13"/>
        <v>0</v>
      </c>
      <c r="AG282" s="29"/>
      <c r="AH282" s="30">
        <v>0</v>
      </c>
      <c r="AI282" s="14">
        <f t="shared" si="14"/>
        <v>3750</v>
      </c>
      <c r="AJ282"/>
      <c r="AK282"/>
      <c r="AL282"/>
      <c r="AM282"/>
      <c r="AN282"/>
      <c r="AO282"/>
      <c r="AP282"/>
    </row>
    <row r="283" spans="1:42">
      <c r="A283" s="26" t="s">
        <v>877</v>
      </c>
      <c r="B283" s="26" t="s">
        <v>621</v>
      </c>
      <c r="D283" s="28" t="s">
        <v>956</v>
      </c>
      <c r="E283" s="27" t="s">
        <v>1203</v>
      </c>
      <c r="F283" s="28">
        <f t="shared" si="12"/>
        <v>3</v>
      </c>
      <c r="T283" s="29">
        <v>3</v>
      </c>
      <c r="AE283" s="14">
        <v>1250</v>
      </c>
      <c r="AF283" s="18">
        <f t="shared" si="13"/>
        <v>0</v>
      </c>
      <c r="AH283" s="30">
        <v>0</v>
      </c>
      <c r="AI283" s="14">
        <f t="shared" si="14"/>
        <v>3750</v>
      </c>
    </row>
    <row r="284" spans="1:42">
      <c r="A284" s="26" t="s">
        <v>877</v>
      </c>
      <c r="B284" s="26" t="s">
        <v>621</v>
      </c>
      <c r="D284" s="26" t="s">
        <v>1175</v>
      </c>
      <c r="E284" s="27" t="s">
        <v>1203</v>
      </c>
      <c r="F284" s="28">
        <f t="shared" si="12"/>
        <v>2</v>
      </c>
      <c r="T284" s="29">
        <v>2</v>
      </c>
      <c r="AE284" s="14">
        <v>1250</v>
      </c>
      <c r="AF284" s="18">
        <f t="shared" si="13"/>
        <v>0</v>
      </c>
      <c r="AH284" s="30">
        <v>0</v>
      </c>
      <c r="AI284" s="14">
        <f t="shared" si="14"/>
        <v>2500</v>
      </c>
    </row>
    <row r="285" spans="1:42">
      <c r="A285" s="26" t="s">
        <v>877</v>
      </c>
      <c r="B285" s="26" t="s">
        <v>621</v>
      </c>
      <c r="D285" s="26" t="s">
        <v>958</v>
      </c>
      <c r="E285" s="27" t="s">
        <v>1203</v>
      </c>
      <c r="F285" s="28">
        <f t="shared" si="12"/>
        <v>2</v>
      </c>
      <c r="T285" s="29">
        <v>2</v>
      </c>
      <c r="AE285" s="14">
        <v>1250</v>
      </c>
      <c r="AF285" s="18">
        <f t="shared" si="13"/>
        <v>0</v>
      </c>
      <c r="AH285" s="30">
        <v>0</v>
      </c>
      <c r="AI285" s="14">
        <f t="shared" si="14"/>
        <v>2500</v>
      </c>
    </row>
    <row r="286" spans="1:42">
      <c r="A286" s="28" t="s">
        <v>877</v>
      </c>
      <c r="B286" s="28" t="s">
        <v>621</v>
      </c>
      <c r="C286" s="28"/>
      <c r="D286" s="28" t="s">
        <v>1285</v>
      </c>
      <c r="E286" s="31" t="s">
        <v>1264</v>
      </c>
      <c r="F286" s="28">
        <f t="shared" si="12"/>
        <v>1</v>
      </c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>
        <v>1</v>
      </c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4">
        <v>710</v>
      </c>
      <c r="AF286" s="18">
        <f t="shared" si="13"/>
        <v>0</v>
      </c>
      <c r="AG286" s="32"/>
      <c r="AH286" s="30">
        <v>0</v>
      </c>
      <c r="AI286" s="14">
        <f t="shared" si="14"/>
        <v>710</v>
      </c>
      <c r="AJ286" s="26"/>
      <c r="AK286" s="26"/>
      <c r="AL286" s="26"/>
      <c r="AM286" s="26"/>
      <c r="AN286" s="26"/>
    </row>
    <row r="287" spans="1:42">
      <c r="A287" s="28" t="s">
        <v>877</v>
      </c>
      <c r="B287" s="28" t="s">
        <v>621</v>
      </c>
      <c r="C287" s="28"/>
      <c r="D287" s="28" t="s">
        <v>1253</v>
      </c>
      <c r="E287" s="31" t="s">
        <v>1264</v>
      </c>
      <c r="F287" s="28">
        <f t="shared" si="12"/>
        <v>1</v>
      </c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>
        <v>1</v>
      </c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4">
        <v>755</v>
      </c>
      <c r="AF287" s="18">
        <f t="shared" si="13"/>
        <v>0</v>
      </c>
      <c r="AG287" s="32"/>
      <c r="AH287" s="30">
        <v>0</v>
      </c>
      <c r="AI287" s="14">
        <f t="shared" si="14"/>
        <v>755</v>
      </c>
      <c r="AJ287" s="26"/>
      <c r="AK287" s="26"/>
      <c r="AL287" s="26"/>
      <c r="AM287" s="26"/>
      <c r="AN287" s="26"/>
    </row>
    <row r="288" spans="1:42">
      <c r="A288" s="28" t="s">
        <v>877</v>
      </c>
      <c r="B288" s="28" t="s">
        <v>621</v>
      </c>
      <c r="C288" s="28"/>
      <c r="D288" s="28" t="s">
        <v>1254</v>
      </c>
      <c r="E288" s="31" t="s">
        <v>1264</v>
      </c>
      <c r="F288" s="28">
        <f t="shared" si="12"/>
        <v>1</v>
      </c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>
        <v>1</v>
      </c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4">
        <v>695</v>
      </c>
      <c r="AF288" s="18">
        <f t="shared" si="13"/>
        <v>0</v>
      </c>
      <c r="AG288" s="32"/>
      <c r="AH288" s="30">
        <v>0</v>
      </c>
      <c r="AI288" s="14">
        <f t="shared" si="14"/>
        <v>695</v>
      </c>
      <c r="AJ288" s="26"/>
      <c r="AK288" s="26"/>
      <c r="AL288" s="26"/>
      <c r="AM288" s="26"/>
      <c r="AN288" s="26"/>
    </row>
    <row r="289" spans="1:42">
      <c r="A289" s="28" t="s">
        <v>877</v>
      </c>
      <c r="B289" s="28" t="s">
        <v>621</v>
      </c>
      <c r="C289" s="28"/>
      <c r="D289" s="28" t="s">
        <v>1261</v>
      </c>
      <c r="E289" s="31" t="s">
        <v>1264</v>
      </c>
      <c r="F289" s="28">
        <f t="shared" si="12"/>
        <v>1</v>
      </c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>
        <v>1</v>
      </c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4">
        <v>730</v>
      </c>
      <c r="AF289" s="18">
        <f t="shared" si="13"/>
        <v>0</v>
      </c>
      <c r="AG289" s="32"/>
      <c r="AH289" s="30">
        <v>0</v>
      </c>
      <c r="AI289" s="14">
        <f t="shared" si="14"/>
        <v>730</v>
      </c>
      <c r="AJ289" s="26"/>
      <c r="AK289" s="26"/>
      <c r="AL289" s="26"/>
      <c r="AM289" s="26"/>
      <c r="AN289" s="26"/>
    </row>
    <row r="290" spans="1:42">
      <c r="A290" s="28" t="s">
        <v>877</v>
      </c>
      <c r="B290" s="28" t="s">
        <v>621</v>
      </c>
      <c r="C290" s="28"/>
      <c r="D290" s="28" t="s">
        <v>1259</v>
      </c>
      <c r="E290" s="31" t="s">
        <v>1264</v>
      </c>
      <c r="F290" s="28">
        <f t="shared" si="12"/>
        <v>1</v>
      </c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>
        <v>1</v>
      </c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4">
        <v>775</v>
      </c>
      <c r="AF290" s="18">
        <f t="shared" si="13"/>
        <v>0</v>
      </c>
      <c r="AG290" s="32"/>
      <c r="AH290" s="30">
        <v>0</v>
      </c>
      <c r="AI290" s="14">
        <f t="shared" si="14"/>
        <v>775</v>
      </c>
      <c r="AJ290" s="26"/>
      <c r="AK290" s="26"/>
      <c r="AL290" s="26"/>
      <c r="AM290" s="26"/>
      <c r="AN290" s="26"/>
    </row>
    <row r="291" spans="1:42">
      <c r="A291" s="28" t="s">
        <v>877</v>
      </c>
      <c r="B291" s="28" t="s">
        <v>621</v>
      </c>
      <c r="C291" s="28"/>
      <c r="D291" s="28" t="s">
        <v>1262</v>
      </c>
      <c r="E291" s="31" t="s">
        <v>1264</v>
      </c>
      <c r="F291" s="28">
        <f t="shared" si="12"/>
        <v>1</v>
      </c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>
        <v>1</v>
      </c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4">
        <v>710</v>
      </c>
      <c r="AF291" s="18">
        <f t="shared" si="13"/>
        <v>0</v>
      </c>
      <c r="AG291" s="32"/>
      <c r="AH291" s="30">
        <v>0</v>
      </c>
      <c r="AI291" s="14">
        <f t="shared" si="14"/>
        <v>710</v>
      </c>
      <c r="AJ291" s="26"/>
      <c r="AK291" s="26"/>
      <c r="AL291" s="26"/>
      <c r="AM291" s="26"/>
      <c r="AN291" s="26"/>
    </row>
    <row r="292" spans="1:42">
      <c r="A292" s="28" t="s">
        <v>877</v>
      </c>
      <c r="B292" s="28" t="s">
        <v>621</v>
      </c>
      <c r="C292" s="28"/>
      <c r="D292" s="28" t="s">
        <v>1289</v>
      </c>
      <c r="E292" s="31" t="s">
        <v>1264</v>
      </c>
      <c r="F292" s="28">
        <f t="shared" si="12"/>
        <v>1</v>
      </c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>
        <v>1</v>
      </c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4">
        <v>740</v>
      </c>
      <c r="AF292" s="18">
        <f t="shared" si="13"/>
        <v>0</v>
      </c>
      <c r="AG292" s="32"/>
      <c r="AH292" s="30">
        <v>0</v>
      </c>
      <c r="AI292" s="14">
        <f t="shared" si="14"/>
        <v>740</v>
      </c>
      <c r="AJ292" s="26"/>
      <c r="AK292" s="26"/>
      <c r="AL292" s="26"/>
      <c r="AM292" s="26"/>
      <c r="AN292" s="26"/>
    </row>
    <row r="293" spans="1:42">
      <c r="A293" s="28" t="s">
        <v>877</v>
      </c>
      <c r="B293" s="28" t="s">
        <v>621</v>
      </c>
      <c r="C293" s="28"/>
      <c r="D293" s="28" t="s">
        <v>1255</v>
      </c>
      <c r="E293" s="31" t="s">
        <v>1264</v>
      </c>
      <c r="F293" s="28">
        <f t="shared" si="12"/>
        <v>1</v>
      </c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>
        <v>1</v>
      </c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4">
        <v>710</v>
      </c>
      <c r="AF293" s="18">
        <f t="shared" si="13"/>
        <v>0</v>
      </c>
      <c r="AG293" s="32"/>
      <c r="AH293" s="30">
        <v>0</v>
      </c>
      <c r="AI293" s="14">
        <f t="shared" si="14"/>
        <v>710</v>
      </c>
      <c r="AJ293" s="26"/>
      <c r="AK293" s="26"/>
      <c r="AL293" s="26"/>
      <c r="AM293" s="26"/>
      <c r="AN293" s="26"/>
    </row>
    <row r="294" spans="1:42">
      <c r="A294" s="28" t="s">
        <v>877</v>
      </c>
      <c r="B294" s="28" t="s">
        <v>621</v>
      </c>
      <c r="C294" s="28"/>
      <c r="D294" s="28" t="s">
        <v>1257</v>
      </c>
      <c r="E294" s="31" t="s">
        <v>1264</v>
      </c>
      <c r="F294" s="28">
        <f t="shared" si="12"/>
        <v>1</v>
      </c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>
        <v>1</v>
      </c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4">
        <v>705</v>
      </c>
      <c r="AF294" s="18">
        <f t="shared" si="13"/>
        <v>0</v>
      </c>
      <c r="AG294" s="32"/>
      <c r="AH294" s="30">
        <v>0</v>
      </c>
      <c r="AI294" s="14">
        <f t="shared" si="14"/>
        <v>705</v>
      </c>
      <c r="AJ294" s="26"/>
      <c r="AK294" s="26"/>
      <c r="AL294" s="26"/>
      <c r="AM294" s="26"/>
      <c r="AN294" s="26"/>
    </row>
    <row r="295" spans="1:42">
      <c r="A295" s="28" t="s">
        <v>877</v>
      </c>
      <c r="B295" s="28" t="s">
        <v>621</v>
      </c>
      <c r="C295" s="28"/>
      <c r="D295" s="28" t="s">
        <v>1256</v>
      </c>
      <c r="E295" s="31" t="s">
        <v>1264</v>
      </c>
      <c r="F295" s="28">
        <f t="shared" si="12"/>
        <v>1</v>
      </c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>
        <v>1</v>
      </c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4">
        <v>755</v>
      </c>
      <c r="AF295" s="18">
        <f t="shared" si="13"/>
        <v>0</v>
      </c>
      <c r="AG295" s="32"/>
      <c r="AH295" s="30">
        <v>0</v>
      </c>
      <c r="AI295" s="14">
        <f t="shared" si="14"/>
        <v>755</v>
      </c>
      <c r="AJ295" s="26"/>
      <c r="AK295" s="26"/>
      <c r="AL295" s="26"/>
      <c r="AM295" s="26"/>
      <c r="AN295" s="26"/>
    </row>
    <row r="296" spans="1:42">
      <c r="A296" s="28" t="s">
        <v>877</v>
      </c>
      <c r="B296" s="28" t="s">
        <v>621</v>
      </c>
      <c r="C296" s="28"/>
      <c r="D296" s="28" t="s">
        <v>1258</v>
      </c>
      <c r="E296" s="31" t="s">
        <v>1264</v>
      </c>
      <c r="F296" s="28">
        <f t="shared" si="12"/>
        <v>1</v>
      </c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>
        <v>1</v>
      </c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4">
        <v>695</v>
      </c>
      <c r="AF296" s="18">
        <f t="shared" si="13"/>
        <v>0</v>
      </c>
      <c r="AG296" s="32"/>
      <c r="AH296" s="30">
        <v>0</v>
      </c>
      <c r="AI296" s="14">
        <f t="shared" si="14"/>
        <v>695</v>
      </c>
      <c r="AJ296" s="26"/>
      <c r="AK296" s="26"/>
      <c r="AL296" s="26"/>
      <c r="AM296" s="26"/>
      <c r="AN296" s="26"/>
    </row>
    <row r="297" spans="1:42">
      <c r="A297" s="28" t="s">
        <v>877</v>
      </c>
      <c r="B297" s="28" t="s">
        <v>621</v>
      </c>
      <c r="C297" s="28"/>
      <c r="D297" s="28" t="s">
        <v>1286</v>
      </c>
      <c r="E297" s="31" t="s">
        <v>1264</v>
      </c>
      <c r="F297" s="28">
        <f t="shared" si="12"/>
        <v>1</v>
      </c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>
        <v>1</v>
      </c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4">
        <v>945</v>
      </c>
      <c r="AF297" s="18">
        <f t="shared" si="13"/>
        <v>0</v>
      </c>
      <c r="AG297" s="32"/>
      <c r="AH297" s="30">
        <v>0</v>
      </c>
      <c r="AI297" s="14">
        <f t="shared" si="14"/>
        <v>945</v>
      </c>
      <c r="AJ297" s="26"/>
      <c r="AK297" s="26"/>
      <c r="AL297" s="26"/>
      <c r="AM297" s="26"/>
      <c r="AN297" s="26"/>
    </row>
    <row r="298" spans="1:42">
      <c r="A298" s="28" t="s">
        <v>877</v>
      </c>
      <c r="B298" s="28" t="s">
        <v>621</v>
      </c>
      <c r="C298" s="28"/>
      <c r="D298" s="28" t="s">
        <v>1291</v>
      </c>
      <c r="E298" s="31" t="s">
        <v>1264</v>
      </c>
      <c r="F298" s="28">
        <f t="shared" si="12"/>
        <v>1</v>
      </c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>
        <v>1</v>
      </c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4">
        <v>850</v>
      </c>
      <c r="AF298" s="18">
        <f t="shared" si="13"/>
        <v>0</v>
      </c>
      <c r="AG298" s="32"/>
      <c r="AH298" s="30">
        <v>0</v>
      </c>
      <c r="AI298" s="14">
        <f t="shared" si="14"/>
        <v>850</v>
      </c>
      <c r="AJ298" s="26"/>
      <c r="AK298" s="26"/>
      <c r="AL298" s="26"/>
      <c r="AM298" s="26"/>
      <c r="AN298" s="26"/>
    </row>
    <row r="299" spans="1:42">
      <c r="A299" s="28" t="s">
        <v>877</v>
      </c>
      <c r="B299" s="28" t="s">
        <v>621</v>
      </c>
      <c r="C299" s="28"/>
      <c r="D299" s="28" t="s">
        <v>1287</v>
      </c>
      <c r="E299" s="31" t="s">
        <v>1264</v>
      </c>
      <c r="F299" s="28">
        <f t="shared" si="12"/>
        <v>1</v>
      </c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>
        <v>1</v>
      </c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4">
        <v>975</v>
      </c>
      <c r="AF299" s="18">
        <f t="shared" si="13"/>
        <v>0</v>
      </c>
      <c r="AG299" s="32"/>
      <c r="AH299" s="30">
        <v>0</v>
      </c>
      <c r="AI299" s="14">
        <f t="shared" si="14"/>
        <v>975</v>
      </c>
      <c r="AJ299" s="26"/>
      <c r="AK299" s="26"/>
      <c r="AL299" s="26"/>
      <c r="AM299" s="26"/>
      <c r="AN299" s="26"/>
    </row>
    <row r="300" spans="1:42">
      <c r="A300" s="28" t="s">
        <v>877</v>
      </c>
      <c r="B300" s="28" t="s">
        <v>621</v>
      </c>
      <c r="C300" s="28"/>
      <c r="D300" s="28" t="s">
        <v>1288</v>
      </c>
      <c r="E300" s="31" t="s">
        <v>1264</v>
      </c>
      <c r="F300" s="28">
        <f t="shared" si="12"/>
        <v>1</v>
      </c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>
        <v>1</v>
      </c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4">
        <v>705</v>
      </c>
      <c r="AF300" s="18">
        <f t="shared" si="13"/>
        <v>0</v>
      </c>
      <c r="AG300" s="32"/>
      <c r="AH300" s="30">
        <v>0</v>
      </c>
      <c r="AI300" s="14">
        <f t="shared" si="14"/>
        <v>705</v>
      </c>
      <c r="AJ300" s="26"/>
      <c r="AK300" s="26"/>
      <c r="AL300" s="26"/>
      <c r="AM300" s="26"/>
      <c r="AN300" s="26"/>
    </row>
    <row r="301" spans="1:42">
      <c r="A301" s="28" t="s">
        <v>877</v>
      </c>
      <c r="B301" s="28" t="s">
        <v>621</v>
      </c>
      <c r="C301" s="28"/>
      <c r="D301" s="28" t="s">
        <v>1290</v>
      </c>
      <c r="E301" s="31" t="s">
        <v>1264</v>
      </c>
      <c r="F301" s="28">
        <f t="shared" si="12"/>
        <v>1</v>
      </c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>
        <v>1</v>
      </c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4">
        <v>3200</v>
      </c>
      <c r="AF301" s="18">
        <f t="shared" si="13"/>
        <v>0</v>
      </c>
      <c r="AG301" s="32"/>
      <c r="AH301" s="30">
        <v>0</v>
      </c>
      <c r="AI301" s="14">
        <f t="shared" si="14"/>
        <v>3200</v>
      </c>
      <c r="AJ301" s="26"/>
      <c r="AK301" s="26"/>
      <c r="AL301" s="26"/>
      <c r="AM301" s="26"/>
      <c r="AN301" s="26"/>
    </row>
    <row r="302" spans="1:42">
      <c r="A302" s="28" t="s">
        <v>877</v>
      </c>
      <c r="B302" s="28" t="s">
        <v>621</v>
      </c>
      <c r="C302" s="28"/>
      <c r="D302" s="28" t="s">
        <v>1260</v>
      </c>
      <c r="E302" s="31" t="s">
        <v>1264</v>
      </c>
      <c r="F302" s="28">
        <f t="shared" si="12"/>
        <v>1</v>
      </c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>
        <v>1</v>
      </c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4">
        <v>730</v>
      </c>
      <c r="AF302" s="18">
        <f t="shared" si="13"/>
        <v>0</v>
      </c>
      <c r="AG302" s="32"/>
      <c r="AH302" s="30">
        <v>0</v>
      </c>
      <c r="AI302" s="14">
        <f t="shared" si="14"/>
        <v>730</v>
      </c>
      <c r="AJ302" s="26"/>
      <c r="AK302" s="26"/>
      <c r="AL302" s="26"/>
      <c r="AM302" s="26"/>
      <c r="AN302" s="26"/>
    </row>
    <row r="303" spans="1:42">
      <c r="A303" s="28" t="s">
        <v>877</v>
      </c>
      <c r="B303" s="28" t="s">
        <v>621</v>
      </c>
      <c r="C303" s="28"/>
      <c r="D303" s="28" t="s">
        <v>1263</v>
      </c>
      <c r="E303" s="31" t="s">
        <v>1264</v>
      </c>
      <c r="F303" s="28">
        <f t="shared" si="12"/>
        <v>1</v>
      </c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>
        <v>1</v>
      </c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4">
        <v>610</v>
      </c>
      <c r="AF303" s="18">
        <f t="shared" si="13"/>
        <v>0</v>
      </c>
      <c r="AG303" s="32"/>
      <c r="AH303" s="30">
        <v>0</v>
      </c>
      <c r="AI303" s="14">
        <f t="shared" si="14"/>
        <v>610</v>
      </c>
      <c r="AJ303" s="26"/>
      <c r="AK303" s="26"/>
      <c r="AL303" s="26"/>
      <c r="AM303" s="26"/>
      <c r="AN303" s="26"/>
    </row>
    <row r="304" spans="1:42">
      <c r="A304" s="28" t="s">
        <v>877</v>
      </c>
      <c r="B304" s="28" t="s">
        <v>622</v>
      </c>
      <c r="C304" s="28"/>
      <c r="D304" s="28" t="s">
        <v>644</v>
      </c>
      <c r="E304" s="31" t="s">
        <v>717</v>
      </c>
      <c r="F304" s="28">
        <f t="shared" si="12"/>
        <v>72</v>
      </c>
      <c r="G304" s="32"/>
      <c r="H304" s="32"/>
      <c r="I304" s="32"/>
      <c r="J304" s="32"/>
      <c r="K304" s="32"/>
      <c r="L304" s="32">
        <v>7</v>
      </c>
      <c r="M304" s="32"/>
      <c r="N304" s="32"/>
      <c r="O304" s="32"/>
      <c r="P304" s="32"/>
      <c r="Q304" s="32"/>
      <c r="R304" s="32"/>
      <c r="S304" s="32"/>
      <c r="T304" s="32">
        <v>2</v>
      </c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4">
        <v>17</v>
      </c>
      <c r="AF304" s="18">
        <f t="shared" si="13"/>
        <v>0</v>
      </c>
      <c r="AG304" s="32"/>
      <c r="AH304" s="30">
        <v>0</v>
      </c>
      <c r="AI304" s="14">
        <f t="shared" si="14"/>
        <v>1224</v>
      </c>
      <c r="AJ304" s="26"/>
      <c r="AK304" s="26"/>
      <c r="AL304" s="26">
        <v>17</v>
      </c>
      <c r="AM304" s="26"/>
      <c r="AN304" s="26"/>
      <c r="AO304" s="26"/>
      <c r="AP304" s="26"/>
    </row>
    <row r="305" spans="1:42">
      <c r="A305" s="28" t="s">
        <v>877</v>
      </c>
      <c r="B305" s="28" t="s">
        <v>622</v>
      </c>
      <c r="C305" s="28"/>
      <c r="D305" s="28" t="s">
        <v>643</v>
      </c>
      <c r="E305" s="31" t="s">
        <v>718</v>
      </c>
      <c r="F305" s="28">
        <f t="shared" si="12"/>
        <v>71</v>
      </c>
      <c r="G305" s="32"/>
      <c r="H305" s="32"/>
      <c r="I305" s="32"/>
      <c r="J305" s="32"/>
      <c r="K305" s="32"/>
      <c r="L305" s="32">
        <v>7</v>
      </c>
      <c r="M305" s="32"/>
      <c r="N305" s="32"/>
      <c r="O305" s="32"/>
      <c r="P305" s="32"/>
      <c r="Q305" s="32"/>
      <c r="R305" s="32"/>
      <c r="S305" s="32"/>
      <c r="T305" s="32">
        <v>1</v>
      </c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4">
        <v>17</v>
      </c>
      <c r="AF305" s="18">
        <f t="shared" si="13"/>
        <v>0</v>
      </c>
      <c r="AG305" s="32"/>
      <c r="AH305" s="30">
        <v>0</v>
      </c>
      <c r="AI305" s="14">
        <f t="shared" si="14"/>
        <v>1207</v>
      </c>
      <c r="AJ305" s="26"/>
      <c r="AK305" s="26"/>
      <c r="AL305" s="26">
        <v>17</v>
      </c>
      <c r="AM305" s="26"/>
      <c r="AN305" s="26"/>
      <c r="AO305" s="26"/>
      <c r="AP305" s="26"/>
    </row>
    <row r="306" spans="1:42">
      <c r="A306" s="28" t="s">
        <v>877</v>
      </c>
      <c r="B306" s="28" t="s">
        <v>620</v>
      </c>
      <c r="C306" s="28"/>
      <c r="D306" s="28" t="s">
        <v>720</v>
      </c>
      <c r="E306" s="31" t="s">
        <v>966</v>
      </c>
      <c r="F306" s="28">
        <f t="shared" si="12"/>
        <v>10.25</v>
      </c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>
        <v>3</v>
      </c>
      <c r="U306" s="32"/>
      <c r="V306" s="32">
        <v>29</v>
      </c>
      <c r="W306" s="32"/>
      <c r="X306" s="32"/>
      <c r="Y306" s="32"/>
      <c r="Z306" s="32"/>
      <c r="AA306" s="32"/>
      <c r="AB306" s="32"/>
      <c r="AC306" s="32"/>
      <c r="AD306" s="32"/>
      <c r="AE306" s="34">
        <v>95.2</v>
      </c>
      <c r="AF306" s="18">
        <f t="shared" si="13"/>
        <v>0</v>
      </c>
      <c r="AG306" s="32"/>
      <c r="AH306" s="30">
        <v>0</v>
      </c>
      <c r="AI306" s="14">
        <f t="shared" si="14"/>
        <v>975.80000000000007</v>
      </c>
      <c r="AJ306" s="26"/>
      <c r="AK306" s="26"/>
      <c r="AL306" s="26"/>
      <c r="AM306" s="26"/>
      <c r="AN306" s="26"/>
      <c r="AO306" s="26"/>
      <c r="AP306" s="26"/>
    </row>
    <row r="307" spans="1:42">
      <c r="A307" s="28" t="s">
        <v>877</v>
      </c>
      <c r="B307" s="28" t="s">
        <v>620</v>
      </c>
      <c r="C307" s="28"/>
      <c r="D307" s="28" t="s">
        <v>721</v>
      </c>
      <c r="E307" s="31" t="s">
        <v>965</v>
      </c>
      <c r="F307" s="28">
        <f t="shared" si="12"/>
        <v>10.25</v>
      </c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>
        <v>3</v>
      </c>
      <c r="U307" s="32"/>
      <c r="V307" s="32">
        <v>29</v>
      </c>
      <c r="W307" s="32"/>
      <c r="X307" s="32"/>
      <c r="Y307" s="32"/>
      <c r="Z307" s="32"/>
      <c r="AA307" s="32"/>
      <c r="AB307" s="32"/>
      <c r="AC307" s="32"/>
      <c r="AD307" s="32"/>
      <c r="AE307" s="34">
        <v>95.2</v>
      </c>
      <c r="AF307" s="18">
        <f t="shared" si="13"/>
        <v>0</v>
      </c>
      <c r="AG307" s="32"/>
      <c r="AH307" s="30">
        <v>0</v>
      </c>
      <c r="AI307" s="14">
        <f t="shared" si="14"/>
        <v>975.80000000000007</v>
      </c>
      <c r="AJ307" s="26"/>
      <c r="AK307" s="26"/>
      <c r="AL307" s="26"/>
      <c r="AM307" s="26"/>
      <c r="AN307" s="26"/>
      <c r="AO307" s="26"/>
      <c r="AP307" s="26"/>
    </row>
    <row r="308" spans="1:42">
      <c r="A308" s="28" t="s">
        <v>877</v>
      </c>
      <c r="B308" s="28" t="s">
        <v>620</v>
      </c>
      <c r="C308" s="28"/>
      <c r="D308" s="28" t="s">
        <v>963</v>
      </c>
      <c r="E308" s="31" t="s">
        <v>725</v>
      </c>
      <c r="F308" s="28">
        <f t="shared" si="12"/>
        <v>10</v>
      </c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>
        <v>3</v>
      </c>
      <c r="U308" s="32"/>
      <c r="V308" s="32">
        <v>28</v>
      </c>
      <c r="W308" s="32"/>
      <c r="X308" s="32"/>
      <c r="Y308" s="32"/>
      <c r="Z308" s="32"/>
      <c r="AA308" s="32"/>
      <c r="AB308" s="32"/>
      <c r="AC308" s="32"/>
      <c r="AD308" s="32"/>
      <c r="AE308" s="34">
        <v>95.2</v>
      </c>
      <c r="AF308" s="18">
        <f t="shared" si="13"/>
        <v>0</v>
      </c>
      <c r="AG308" s="32"/>
      <c r="AH308" s="30">
        <v>0</v>
      </c>
      <c r="AI308" s="14">
        <f t="shared" si="14"/>
        <v>952</v>
      </c>
      <c r="AJ308" s="26"/>
      <c r="AK308" s="26"/>
      <c r="AL308" s="26"/>
      <c r="AM308" s="26"/>
      <c r="AN308" s="26"/>
      <c r="AO308" s="26"/>
      <c r="AP308" s="26"/>
    </row>
    <row r="309" spans="1:42">
      <c r="A309" s="28" t="s">
        <v>877</v>
      </c>
      <c r="B309" s="28" t="s">
        <v>620</v>
      </c>
      <c r="C309" s="28"/>
      <c r="D309" s="28" t="s">
        <v>726</v>
      </c>
      <c r="E309" s="31" t="s">
        <v>727</v>
      </c>
      <c r="F309" s="28">
        <f t="shared" si="12"/>
        <v>10</v>
      </c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>
        <v>3</v>
      </c>
      <c r="U309" s="32"/>
      <c r="V309" s="32">
        <v>28</v>
      </c>
      <c r="W309" s="32"/>
      <c r="X309" s="32"/>
      <c r="Y309" s="32"/>
      <c r="Z309" s="32"/>
      <c r="AA309" s="32"/>
      <c r="AB309" s="32"/>
      <c r="AC309" s="32"/>
      <c r="AD309" s="32"/>
      <c r="AE309" s="34">
        <v>95.2</v>
      </c>
      <c r="AF309" s="18">
        <f t="shared" si="13"/>
        <v>0</v>
      </c>
      <c r="AG309" s="32"/>
      <c r="AH309" s="30">
        <v>0</v>
      </c>
      <c r="AI309" s="14">
        <f t="shared" si="14"/>
        <v>952</v>
      </c>
      <c r="AJ309" s="26"/>
      <c r="AK309" s="26"/>
      <c r="AL309" s="26"/>
      <c r="AM309" s="26"/>
      <c r="AN309" s="26"/>
      <c r="AO309" s="26"/>
      <c r="AP309" s="26"/>
    </row>
    <row r="310" spans="1:42" s="26" customFormat="1">
      <c r="A310" s="28" t="s">
        <v>877</v>
      </c>
      <c r="B310" s="28" t="s">
        <v>620</v>
      </c>
      <c r="C310" s="28"/>
      <c r="D310" s="28" t="s">
        <v>722</v>
      </c>
      <c r="E310" s="31" t="s">
        <v>723</v>
      </c>
      <c r="F310" s="28">
        <f t="shared" si="12"/>
        <v>10</v>
      </c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>
        <v>3</v>
      </c>
      <c r="U310" s="32"/>
      <c r="V310" s="32">
        <v>28</v>
      </c>
      <c r="W310" s="32"/>
      <c r="X310" s="32"/>
      <c r="Y310" s="32"/>
      <c r="Z310" s="32"/>
      <c r="AA310" s="32"/>
      <c r="AB310" s="32"/>
      <c r="AC310" s="32"/>
      <c r="AD310" s="32"/>
      <c r="AE310" s="34">
        <v>95.2</v>
      </c>
      <c r="AF310" s="18">
        <f t="shared" si="13"/>
        <v>0</v>
      </c>
      <c r="AG310" s="32"/>
      <c r="AH310" s="30">
        <v>0</v>
      </c>
      <c r="AI310" s="14">
        <f t="shared" si="14"/>
        <v>952</v>
      </c>
    </row>
    <row r="311" spans="1:42" s="26" customFormat="1">
      <c r="A311" s="28" t="s">
        <v>877</v>
      </c>
      <c r="B311" s="28" t="s">
        <v>620</v>
      </c>
      <c r="C311" s="28"/>
      <c r="D311" s="28" t="s">
        <v>638</v>
      </c>
      <c r="E311" s="31" t="s">
        <v>724</v>
      </c>
      <c r="F311" s="28">
        <f t="shared" si="12"/>
        <v>10</v>
      </c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>
        <v>3</v>
      </c>
      <c r="U311" s="32"/>
      <c r="V311" s="32">
        <v>28</v>
      </c>
      <c r="W311" s="32"/>
      <c r="X311" s="32"/>
      <c r="Y311" s="32"/>
      <c r="Z311" s="32"/>
      <c r="AA311" s="32"/>
      <c r="AB311" s="32"/>
      <c r="AC311" s="32"/>
      <c r="AD311" s="32"/>
      <c r="AE311" s="34">
        <v>95.2</v>
      </c>
      <c r="AF311" s="18">
        <f t="shared" si="13"/>
        <v>0</v>
      </c>
      <c r="AG311" s="32"/>
      <c r="AH311" s="30">
        <v>0</v>
      </c>
      <c r="AI311" s="14">
        <f t="shared" si="14"/>
        <v>952</v>
      </c>
    </row>
    <row r="312" spans="1:42" s="26" customFormat="1">
      <c r="A312" s="28" t="s">
        <v>877</v>
      </c>
      <c r="B312" s="28" t="s">
        <v>620</v>
      </c>
      <c r="C312" s="28"/>
      <c r="D312" s="28" t="s">
        <v>719</v>
      </c>
      <c r="E312" s="31" t="s">
        <v>964</v>
      </c>
      <c r="F312" s="28">
        <f t="shared" si="12"/>
        <v>9.5</v>
      </c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>
        <v>3</v>
      </c>
      <c r="U312" s="32"/>
      <c r="V312" s="32">
        <v>26</v>
      </c>
      <c r="W312" s="32"/>
      <c r="X312" s="32"/>
      <c r="Y312" s="32"/>
      <c r="Z312" s="32"/>
      <c r="AA312" s="32"/>
      <c r="AB312" s="32"/>
      <c r="AC312" s="32"/>
      <c r="AD312" s="32"/>
      <c r="AE312" s="34">
        <v>95.2</v>
      </c>
      <c r="AF312" s="18">
        <f t="shared" si="13"/>
        <v>0</v>
      </c>
      <c r="AG312" s="32"/>
      <c r="AH312" s="30">
        <v>0</v>
      </c>
      <c r="AI312" s="14">
        <f t="shared" si="14"/>
        <v>904.4</v>
      </c>
    </row>
    <row r="313" spans="1:42" s="26" customFormat="1">
      <c r="A313" s="28" t="s">
        <v>877</v>
      </c>
      <c r="B313" s="28" t="s">
        <v>620</v>
      </c>
      <c r="C313" s="28"/>
      <c r="D313" s="28" t="s">
        <v>639</v>
      </c>
      <c r="E313" s="31" t="s">
        <v>865</v>
      </c>
      <c r="F313" s="28">
        <f t="shared" si="12"/>
        <v>9.5</v>
      </c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>
        <v>3</v>
      </c>
      <c r="U313" s="32"/>
      <c r="V313" s="32">
        <v>26</v>
      </c>
      <c r="W313" s="32"/>
      <c r="X313" s="32"/>
      <c r="Y313" s="32"/>
      <c r="Z313" s="32"/>
      <c r="AA313" s="32"/>
      <c r="AB313" s="32"/>
      <c r="AC313" s="32"/>
      <c r="AD313" s="32"/>
      <c r="AE313" s="34">
        <v>95.2</v>
      </c>
      <c r="AF313" s="18">
        <f t="shared" si="13"/>
        <v>0</v>
      </c>
      <c r="AG313" s="32"/>
      <c r="AH313" s="30">
        <v>0</v>
      </c>
      <c r="AI313" s="14">
        <f t="shared" si="14"/>
        <v>904.4</v>
      </c>
    </row>
    <row r="314" spans="1:42">
      <c r="A314" s="28" t="s">
        <v>1338</v>
      </c>
      <c r="B314" s="28" t="s">
        <v>627</v>
      </c>
      <c r="C314" s="28"/>
      <c r="D314" s="28" t="s">
        <v>1439</v>
      </c>
      <c r="E314" s="31" t="s">
        <v>1438</v>
      </c>
      <c r="F314" s="28">
        <f t="shared" si="12"/>
        <v>150</v>
      </c>
      <c r="G314" s="32"/>
      <c r="H314" s="32"/>
      <c r="I314" s="32"/>
      <c r="J314" s="32"/>
      <c r="K314" s="32"/>
      <c r="L314" s="32">
        <v>4</v>
      </c>
      <c r="M314" s="32"/>
      <c r="N314" s="32">
        <v>10</v>
      </c>
      <c r="O314" s="32"/>
      <c r="P314" s="32"/>
      <c r="Q314" s="32"/>
      <c r="R314" s="32"/>
      <c r="S314" s="32">
        <v>30</v>
      </c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20">
        <v>40</v>
      </c>
      <c r="AF314" s="18">
        <f t="shared" si="13"/>
        <v>0</v>
      </c>
      <c r="AG314" s="32"/>
      <c r="AH314" s="30">
        <v>0</v>
      </c>
      <c r="AI314" s="14">
        <f t="shared" si="14"/>
        <v>6000</v>
      </c>
      <c r="AJ314" s="26"/>
      <c r="AK314" s="26"/>
      <c r="AL314" s="26"/>
      <c r="AM314" s="26"/>
      <c r="AN314" s="26"/>
    </row>
    <row r="315" spans="1:42">
      <c r="A315" s="28" t="s">
        <v>1338</v>
      </c>
      <c r="B315" s="26" t="s">
        <v>651</v>
      </c>
      <c r="D315" s="26" t="s">
        <v>1453</v>
      </c>
      <c r="E315" s="27" t="s">
        <v>1454</v>
      </c>
      <c r="F315" s="28">
        <f t="shared" si="12"/>
        <v>10</v>
      </c>
      <c r="L315" s="29">
        <v>1</v>
      </c>
      <c r="AE315" s="20">
        <v>190</v>
      </c>
      <c r="AF315" s="18">
        <f t="shared" si="13"/>
        <v>0</v>
      </c>
      <c r="AH315" s="30">
        <v>0</v>
      </c>
      <c r="AI315" s="14">
        <f t="shared" si="14"/>
        <v>1900</v>
      </c>
    </row>
    <row r="316" spans="1:42">
      <c r="A316" s="28" t="s">
        <v>663</v>
      </c>
      <c r="B316" s="26" t="s">
        <v>621</v>
      </c>
      <c r="D316" s="26" t="s">
        <v>1455</v>
      </c>
      <c r="E316" s="27" t="s">
        <v>1456</v>
      </c>
      <c r="F316" s="28">
        <f t="shared" si="12"/>
        <v>0.75</v>
      </c>
      <c r="V316" s="29">
        <v>3</v>
      </c>
      <c r="AE316" s="20">
        <v>131</v>
      </c>
      <c r="AF316" s="18">
        <f t="shared" si="13"/>
        <v>0</v>
      </c>
      <c r="AH316" s="30">
        <v>0</v>
      </c>
      <c r="AI316" s="14">
        <f t="shared" si="14"/>
        <v>98.25</v>
      </c>
    </row>
    <row r="317" spans="1:42">
      <c r="A317" s="28" t="s">
        <v>663</v>
      </c>
      <c r="B317" s="26" t="s">
        <v>618</v>
      </c>
      <c r="D317" s="26" t="s">
        <v>1458</v>
      </c>
      <c r="E317" s="27" t="s">
        <v>1459</v>
      </c>
      <c r="F317" s="28">
        <f t="shared" si="12"/>
        <v>1</v>
      </c>
      <c r="T317" s="29">
        <v>1</v>
      </c>
      <c r="AE317" s="20">
        <v>342</v>
      </c>
      <c r="AF317" s="18">
        <f t="shared" si="13"/>
        <v>0</v>
      </c>
      <c r="AH317" s="30">
        <v>0</v>
      </c>
      <c r="AI317" s="14">
        <f t="shared" si="14"/>
        <v>342</v>
      </c>
    </row>
    <row r="318" spans="1:42">
      <c r="A318" s="28" t="s">
        <v>1338</v>
      </c>
      <c r="B318" s="26" t="s">
        <v>636</v>
      </c>
      <c r="D318" s="26" t="s">
        <v>1460</v>
      </c>
      <c r="E318" s="27" t="s">
        <v>1461</v>
      </c>
      <c r="F318" s="28">
        <f t="shared" si="12"/>
        <v>5</v>
      </c>
      <c r="T318" s="29">
        <v>2</v>
      </c>
      <c r="V318" s="29">
        <v>12</v>
      </c>
      <c r="AE318" s="20">
        <v>300</v>
      </c>
      <c r="AF318" s="18">
        <f t="shared" si="13"/>
        <v>0</v>
      </c>
      <c r="AH318" s="30">
        <v>0</v>
      </c>
      <c r="AI318" s="14">
        <f t="shared" si="14"/>
        <v>1500</v>
      </c>
    </row>
    <row r="319" spans="1:42">
      <c r="A319" s="28" t="s">
        <v>1338</v>
      </c>
      <c r="B319" s="26" t="s">
        <v>636</v>
      </c>
      <c r="D319" s="26" t="s">
        <v>1467</v>
      </c>
      <c r="E319" s="27" t="s">
        <v>1468</v>
      </c>
      <c r="F319" s="28">
        <f t="shared" si="12"/>
        <v>1</v>
      </c>
      <c r="V319" s="29">
        <v>4</v>
      </c>
      <c r="AE319" s="20">
        <v>1242</v>
      </c>
      <c r="AF319" s="18">
        <f t="shared" si="13"/>
        <v>0</v>
      </c>
      <c r="AH319" s="30">
        <v>0</v>
      </c>
      <c r="AI319" s="14">
        <f t="shared" si="14"/>
        <v>1242</v>
      </c>
    </row>
    <row r="320" spans="1:42">
      <c r="A320" s="28" t="s">
        <v>1338</v>
      </c>
      <c r="B320" s="26" t="s">
        <v>1470</v>
      </c>
      <c r="D320" s="26" t="s">
        <v>1469</v>
      </c>
      <c r="E320" s="27" t="s">
        <v>1472</v>
      </c>
      <c r="F320" s="28">
        <f t="shared" si="12"/>
        <v>5</v>
      </c>
      <c r="N320" s="29">
        <v>1</v>
      </c>
      <c r="AE320" s="20">
        <v>580</v>
      </c>
      <c r="AF320" s="18">
        <f t="shared" si="13"/>
        <v>0</v>
      </c>
      <c r="AH320" s="30">
        <v>0</v>
      </c>
      <c r="AI320" s="14">
        <f t="shared" si="14"/>
        <v>2900</v>
      </c>
    </row>
    <row r="321" spans="1:35">
      <c r="A321" s="28" t="s">
        <v>1338</v>
      </c>
      <c r="B321" s="26" t="s">
        <v>1470</v>
      </c>
      <c r="D321" s="26" t="s">
        <v>1471</v>
      </c>
      <c r="E321" s="27" t="s">
        <v>1473</v>
      </c>
      <c r="F321" s="28">
        <f t="shared" si="12"/>
        <v>10</v>
      </c>
      <c r="L321" s="29">
        <v>1</v>
      </c>
      <c r="M321" s="29">
        <v>0</v>
      </c>
      <c r="AE321" s="20">
        <v>146.4</v>
      </c>
      <c r="AF321" s="18">
        <f t="shared" si="13"/>
        <v>0</v>
      </c>
      <c r="AH321" s="30">
        <v>0</v>
      </c>
      <c r="AI321" s="14">
        <f t="shared" si="14"/>
        <v>1464</v>
      </c>
    </row>
    <row r="322" spans="1:35">
      <c r="A322" s="28" t="s">
        <v>879</v>
      </c>
      <c r="B322" s="26" t="s">
        <v>651</v>
      </c>
      <c r="D322" s="26" t="s">
        <v>1479</v>
      </c>
      <c r="E322" s="27" t="s">
        <v>1480</v>
      </c>
      <c r="F322" s="28">
        <f t="shared" ref="F322:F366" si="15">+$G$1*G322+$H$1*H322+$I$1*I322+$J$1*J322+$K$1*K322+$L$1*L322+$M$1*M322+$N$1*N322+$O$1*O322+$P$1*P322+$Q$1*Q322+$R$1*R322+$S$1*S322+$T$1*T322+$U$1*U322+$V$1*V322+$W$1*W322+$X$1*X322+$Y$1*Y322+$Z$1*Z322+$AA$1*AA322+$AB$1*AB322+$AC$1*AC322+$AD$1*AD322</f>
        <v>0</v>
      </c>
      <c r="AF322" s="18">
        <f t="shared" ref="AF322:AF366" si="16">+$AG$1*AG322</f>
        <v>200</v>
      </c>
      <c r="AG322" s="29">
        <v>2</v>
      </c>
      <c r="AH322" s="30">
        <v>2.7</v>
      </c>
      <c r="AI322" s="14">
        <f t="shared" ref="AI322:AI366" si="17">+F322*AE322+AF322*AH322</f>
        <v>540</v>
      </c>
    </row>
    <row r="323" spans="1:35">
      <c r="A323" s="28"/>
      <c r="F323" s="28">
        <f t="shared" si="15"/>
        <v>0</v>
      </c>
      <c r="AF323" s="18">
        <f t="shared" si="16"/>
        <v>0</v>
      </c>
      <c r="AH323" s="30">
        <v>0</v>
      </c>
      <c r="AI323" s="14">
        <f t="shared" si="17"/>
        <v>0</v>
      </c>
    </row>
    <row r="324" spans="1:35">
      <c r="A324" s="28"/>
      <c r="F324" s="28">
        <f t="shared" si="15"/>
        <v>0</v>
      </c>
      <c r="AF324" s="18">
        <f t="shared" si="16"/>
        <v>0</v>
      </c>
      <c r="AH324" s="30">
        <v>0</v>
      </c>
      <c r="AI324" s="14">
        <f t="shared" si="17"/>
        <v>0</v>
      </c>
    </row>
    <row r="325" spans="1:35">
      <c r="A325" s="28"/>
      <c r="F325" s="28">
        <f t="shared" si="15"/>
        <v>0</v>
      </c>
      <c r="AF325" s="18">
        <f t="shared" si="16"/>
        <v>0</v>
      </c>
      <c r="AH325" s="30">
        <v>0</v>
      </c>
      <c r="AI325" s="14">
        <f t="shared" si="17"/>
        <v>0</v>
      </c>
    </row>
    <row r="326" spans="1:35">
      <c r="A326" s="28"/>
      <c r="F326" s="28">
        <f t="shared" si="15"/>
        <v>0</v>
      </c>
      <c r="AF326" s="18">
        <f t="shared" si="16"/>
        <v>0</v>
      </c>
      <c r="AH326" s="30">
        <v>0</v>
      </c>
      <c r="AI326" s="14">
        <f t="shared" si="17"/>
        <v>0</v>
      </c>
    </row>
    <row r="327" spans="1:35">
      <c r="A327" s="28"/>
      <c r="F327" s="28">
        <f t="shared" si="15"/>
        <v>0</v>
      </c>
      <c r="AF327" s="18">
        <f t="shared" si="16"/>
        <v>0</v>
      </c>
      <c r="AH327" s="30">
        <v>0</v>
      </c>
      <c r="AI327" s="14">
        <f t="shared" si="17"/>
        <v>0</v>
      </c>
    </row>
    <row r="328" spans="1:35">
      <c r="A328" s="28"/>
      <c r="F328" s="28">
        <f t="shared" si="15"/>
        <v>0</v>
      </c>
      <c r="AF328" s="18">
        <f t="shared" si="16"/>
        <v>0</v>
      </c>
      <c r="AH328" s="30">
        <v>0</v>
      </c>
      <c r="AI328" s="14">
        <f t="shared" si="17"/>
        <v>0</v>
      </c>
    </row>
    <row r="329" spans="1:35">
      <c r="A329" s="28"/>
      <c r="F329" s="28">
        <f t="shared" si="15"/>
        <v>0</v>
      </c>
      <c r="AF329" s="18">
        <f t="shared" si="16"/>
        <v>0</v>
      </c>
      <c r="AH329" s="30">
        <v>0</v>
      </c>
      <c r="AI329" s="14">
        <f t="shared" si="17"/>
        <v>0</v>
      </c>
    </row>
    <row r="330" spans="1:35">
      <c r="A330" s="28"/>
      <c r="F330" s="28">
        <f t="shared" si="15"/>
        <v>0</v>
      </c>
      <c r="AF330" s="18">
        <f t="shared" si="16"/>
        <v>0</v>
      </c>
      <c r="AH330" s="30">
        <v>0</v>
      </c>
      <c r="AI330" s="14">
        <f t="shared" si="17"/>
        <v>0</v>
      </c>
    </row>
    <row r="331" spans="1:35">
      <c r="A331" s="28"/>
      <c r="F331" s="28">
        <f t="shared" si="15"/>
        <v>0</v>
      </c>
      <c r="AF331" s="18">
        <f t="shared" si="16"/>
        <v>0</v>
      </c>
      <c r="AH331" s="30">
        <v>0</v>
      </c>
      <c r="AI331" s="14">
        <f t="shared" si="17"/>
        <v>0</v>
      </c>
    </row>
    <row r="332" spans="1:35">
      <c r="A332" s="28"/>
      <c r="F332" s="28">
        <f t="shared" si="15"/>
        <v>0</v>
      </c>
      <c r="AF332" s="18">
        <f t="shared" si="16"/>
        <v>0</v>
      </c>
      <c r="AH332" s="30">
        <v>0</v>
      </c>
      <c r="AI332" s="14">
        <f t="shared" si="17"/>
        <v>0</v>
      </c>
    </row>
    <row r="333" spans="1:35">
      <c r="A333" s="28"/>
      <c r="F333" s="28">
        <f t="shared" si="15"/>
        <v>0</v>
      </c>
      <c r="AF333" s="18">
        <f t="shared" si="16"/>
        <v>0</v>
      </c>
      <c r="AH333" s="30">
        <v>0</v>
      </c>
      <c r="AI333" s="14">
        <f t="shared" si="17"/>
        <v>0</v>
      </c>
    </row>
    <row r="334" spans="1:35">
      <c r="A334" s="28"/>
      <c r="F334" s="28">
        <f t="shared" si="15"/>
        <v>0</v>
      </c>
      <c r="AF334" s="18">
        <f t="shared" si="16"/>
        <v>0</v>
      </c>
      <c r="AH334" s="30">
        <v>0</v>
      </c>
      <c r="AI334" s="14">
        <f t="shared" si="17"/>
        <v>0</v>
      </c>
    </row>
    <row r="335" spans="1:35">
      <c r="A335" s="28"/>
      <c r="F335" s="28">
        <f t="shared" si="15"/>
        <v>0</v>
      </c>
      <c r="AF335" s="18">
        <f t="shared" si="16"/>
        <v>0</v>
      </c>
      <c r="AH335" s="30">
        <v>0</v>
      </c>
      <c r="AI335" s="14">
        <f t="shared" si="17"/>
        <v>0</v>
      </c>
    </row>
    <row r="336" spans="1:35">
      <c r="A336" s="28"/>
      <c r="F336" s="28">
        <f t="shared" si="15"/>
        <v>0</v>
      </c>
      <c r="AF336" s="18">
        <f t="shared" si="16"/>
        <v>0</v>
      </c>
      <c r="AH336" s="30">
        <v>0</v>
      </c>
      <c r="AI336" s="14">
        <f t="shared" si="17"/>
        <v>0</v>
      </c>
    </row>
    <row r="337" spans="1:35">
      <c r="A337" s="28"/>
      <c r="F337" s="28">
        <f t="shared" si="15"/>
        <v>0</v>
      </c>
      <c r="AF337" s="18">
        <f t="shared" si="16"/>
        <v>0</v>
      </c>
      <c r="AH337" s="30">
        <v>0</v>
      </c>
      <c r="AI337" s="14">
        <f t="shared" si="17"/>
        <v>0</v>
      </c>
    </row>
    <row r="338" spans="1:35">
      <c r="A338" s="28"/>
      <c r="F338" s="28">
        <f t="shared" si="15"/>
        <v>0</v>
      </c>
      <c r="AF338" s="18">
        <f t="shared" si="16"/>
        <v>0</v>
      </c>
      <c r="AH338" s="30">
        <v>0</v>
      </c>
      <c r="AI338" s="14">
        <f t="shared" si="17"/>
        <v>0</v>
      </c>
    </row>
    <row r="339" spans="1:35">
      <c r="A339" s="28"/>
      <c r="F339" s="28">
        <f t="shared" si="15"/>
        <v>0</v>
      </c>
      <c r="AF339" s="18">
        <f t="shared" si="16"/>
        <v>0</v>
      </c>
      <c r="AH339" s="30">
        <v>0</v>
      </c>
      <c r="AI339" s="14">
        <f t="shared" si="17"/>
        <v>0</v>
      </c>
    </row>
    <row r="340" spans="1:35">
      <c r="A340" s="28"/>
      <c r="F340" s="28">
        <f t="shared" si="15"/>
        <v>0</v>
      </c>
      <c r="AF340" s="18">
        <f t="shared" si="16"/>
        <v>0</v>
      </c>
      <c r="AH340" s="30">
        <v>0</v>
      </c>
      <c r="AI340" s="14">
        <f t="shared" si="17"/>
        <v>0</v>
      </c>
    </row>
    <row r="341" spans="1:35">
      <c r="A341" s="28"/>
      <c r="F341" s="28">
        <f t="shared" si="15"/>
        <v>0</v>
      </c>
      <c r="AF341" s="18">
        <f t="shared" si="16"/>
        <v>0</v>
      </c>
      <c r="AH341" s="30">
        <v>0</v>
      </c>
      <c r="AI341" s="14">
        <f t="shared" si="17"/>
        <v>0</v>
      </c>
    </row>
    <row r="342" spans="1:35">
      <c r="A342" s="28"/>
      <c r="F342" s="28">
        <f t="shared" si="15"/>
        <v>0</v>
      </c>
      <c r="AF342" s="18">
        <f t="shared" si="16"/>
        <v>0</v>
      </c>
      <c r="AH342" s="30">
        <v>0</v>
      </c>
      <c r="AI342" s="14">
        <f t="shared" si="17"/>
        <v>0</v>
      </c>
    </row>
    <row r="343" spans="1:35">
      <c r="A343" s="28"/>
      <c r="F343" s="28">
        <f t="shared" si="15"/>
        <v>0</v>
      </c>
      <c r="AF343" s="18">
        <f t="shared" si="16"/>
        <v>0</v>
      </c>
      <c r="AH343" s="30">
        <v>0</v>
      </c>
      <c r="AI343" s="14">
        <f t="shared" si="17"/>
        <v>0</v>
      </c>
    </row>
    <row r="344" spans="1:35">
      <c r="A344" s="28"/>
      <c r="F344" s="28">
        <f t="shared" si="15"/>
        <v>0</v>
      </c>
      <c r="AF344" s="18">
        <f t="shared" si="16"/>
        <v>0</v>
      </c>
      <c r="AH344" s="30">
        <v>0</v>
      </c>
      <c r="AI344" s="14">
        <f t="shared" si="17"/>
        <v>0</v>
      </c>
    </row>
    <row r="345" spans="1:35">
      <c r="A345" s="28"/>
      <c r="F345" s="28">
        <f t="shared" si="15"/>
        <v>0</v>
      </c>
      <c r="AF345" s="18">
        <f t="shared" si="16"/>
        <v>0</v>
      </c>
      <c r="AH345" s="30">
        <v>0</v>
      </c>
      <c r="AI345" s="14">
        <f t="shared" si="17"/>
        <v>0</v>
      </c>
    </row>
    <row r="346" spans="1:35">
      <c r="A346" s="28"/>
      <c r="F346" s="28">
        <f t="shared" si="15"/>
        <v>0</v>
      </c>
      <c r="AF346" s="18">
        <f t="shared" si="16"/>
        <v>0</v>
      </c>
      <c r="AH346" s="30">
        <v>0</v>
      </c>
      <c r="AI346" s="14">
        <f t="shared" si="17"/>
        <v>0</v>
      </c>
    </row>
    <row r="347" spans="1:35">
      <c r="A347" s="28"/>
      <c r="F347" s="28">
        <f t="shared" si="15"/>
        <v>0</v>
      </c>
      <c r="AF347" s="18">
        <f t="shared" si="16"/>
        <v>0</v>
      </c>
      <c r="AH347" s="30">
        <v>0</v>
      </c>
      <c r="AI347" s="14">
        <f t="shared" si="17"/>
        <v>0</v>
      </c>
    </row>
    <row r="348" spans="1:35">
      <c r="A348" s="28"/>
      <c r="F348" s="28">
        <f t="shared" si="15"/>
        <v>0</v>
      </c>
      <c r="AF348" s="18">
        <f t="shared" si="16"/>
        <v>0</v>
      </c>
      <c r="AH348" s="30">
        <v>0</v>
      </c>
      <c r="AI348" s="14">
        <f t="shared" si="17"/>
        <v>0</v>
      </c>
    </row>
    <row r="349" spans="1:35">
      <c r="A349" s="28"/>
      <c r="F349" s="28">
        <f t="shared" si="15"/>
        <v>0</v>
      </c>
      <c r="AF349" s="18">
        <f t="shared" si="16"/>
        <v>0</v>
      </c>
      <c r="AH349" s="30">
        <v>0</v>
      </c>
      <c r="AI349" s="14">
        <f t="shared" si="17"/>
        <v>0</v>
      </c>
    </row>
    <row r="350" spans="1:35">
      <c r="A350" s="28"/>
      <c r="F350" s="28">
        <f t="shared" si="15"/>
        <v>0</v>
      </c>
      <c r="AF350" s="18">
        <f t="shared" si="16"/>
        <v>0</v>
      </c>
      <c r="AH350" s="30">
        <v>0</v>
      </c>
      <c r="AI350" s="14">
        <f t="shared" si="17"/>
        <v>0</v>
      </c>
    </row>
    <row r="351" spans="1:35">
      <c r="A351" s="28"/>
      <c r="F351" s="28">
        <f t="shared" si="15"/>
        <v>0</v>
      </c>
      <c r="AF351" s="18">
        <f t="shared" si="16"/>
        <v>0</v>
      </c>
      <c r="AH351" s="30">
        <v>0</v>
      </c>
      <c r="AI351" s="14">
        <f t="shared" si="17"/>
        <v>0</v>
      </c>
    </row>
    <row r="352" spans="1:35">
      <c r="A352" s="28"/>
      <c r="F352" s="28">
        <f t="shared" si="15"/>
        <v>0</v>
      </c>
      <c r="AF352" s="18">
        <f t="shared" si="16"/>
        <v>0</v>
      </c>
      <c r="AH352" s="30">
        <v>0</v>
      </c>
      <c r="AI352" s="14">
        <f t="shared" si="17"/>
        <v>0</v>
      </c>
    </row>
    <row r="353" spans="1:35">
      <c r="A353" s="28"/>
      <c r="F353" s="28">
        <f t="shared" si="15"/>
        <v>0</v>
      </c>
      <c r="AF353" s="18">
        <f t="shared" si="16"/>
        <v>0</v>
      </c>
      <c r="AH353" s="30">
        <v>0</v>
      </c>
      <c r="AI353" s="14">
        <f t="shared" si="17"/>
        <v>0</v>
      </c>
    </row>
    <row r="354" spans="1:35">
      <c r="A354" s="28"/>
      <c r="F354" s="28">
        <f t="shared" si="15"/>
        <v>0</v>
      </c>
      <c r="AF354" s="18">
        <f t="shared" si="16"/>
        <v>0</v>
      </c>
      <c r="AH354" s="30">
        <v>0</v>
      </c>
      <c r="AI354" s="14">
        <f t="shared" si="17"/>
        <v>0</v>
      </c>
    </row>
    <row r="355" spans="1:35">
      <c r="A355" s="28"/>
      <c r="F355" s="28">
        <f t="shared" si="15"/>
        <v>0</v>
      </c>
      <c r="AF355" s="18">
        <f t="shared" si="16"/>
        <v>0</v>
      </c>
      <c r="AH355" s="30">
        <v>0</v>
      </c>
      <c r="AI355" s="14">
        <f t="shared" si="17"/>
        <v>0</v>
      </c>
    </row>
    <row r="356" spans="1:35">
      <c r="A356" s="28"/>
      <c r="F356" s="28">
        <f t="shared" si="15"/>
        <v>0</v>
      </c>
      <c r="AF356" s="18">
        <f t="shared" si="16"/>
        <v>0</v>
      </c>
      <c r="AH356" s="30">
        <v>0</v>
      </c>
      <c r="AI356" s="14">
        <f t="shared" si="17"/>
        <v>0</v>
      </c>
    </row>
    <row r="357" spans="1:35">
      <c r="A357" s="28"/>
      <c r="F357" s="28">
        <f t="shared" si="15"/>
        <v>0</v>
      </c>
      <c r="AF357" s="18">
        <f t="shared" si="16"/>
        <v>0</v>
      </c>
      <c r="AH357" s="30">
        <v>0</v>
      </c>
      <c r="AI357" s="14">
        <f t="shared" si="17"/>
        <v>0</v>
      </c>
    </row>
    <row r="358" spans="1:35">
      <c r="A358" s="28"/>
      <c r="F358" s="28">
        <f t="shared" si="15"/>
        <v>0</v>
      </c>
      <c r="AF358" s="18">
        <f t="shared" si="16"/>
        <v>0</v>
      </c>
      <c r="AH358" s="30">
        <v>0</v>
      </c>
      <c r="AI358" s="14">
        <f t="shared" si="17"/>
        <v>0</v>
      </c>
    </row>
    <row r="359" spans="1:35">
      <c r="A359" s="28"/>
      <c r="F359" s="28">
        <f t="shared" si="15"/>
        <v>0</v>
      </c>
      <c r="AF359" s="18">
        <f t="shared" si="16"/>
        <v>0</v>
      </c>
      <c r="AH359" s="30">
        <v>0</v>
      </c>
      <c r="AI359" s="14">
        <f t="shared" si="17"/>
        <v>0</v>
      </c>
    </row>
    <row r="360" spans="1:35">
      <c r="A360" s="28"/>
      <c r="F360" s="28">
        <f t="shared" si="15"/>
        <v>0</v>
      </c>
      <c r="AF360" s="18">
        <f t="shared" si="16"/>
        <v>0</v>
      </c>
      <c r="AH360" s="30">
        <v>0</v>
      </c>
      <c r="AI360" s="14">
        <f t="shared" si="17"/>
        <v>0</v>
      </c>
    </row>
    <row r="361" spans="1:35">
      <c r="A361" s="28"/>
      <c r="F361" s="28">
        <f t="shared" si="15"/>
        <v>0</v>
      </c>
      <c r="AF361" s="18">
        <f t="shared" si="16"/>
        <v>0</v>
      </c>
      <c r="AH361" s="30">
        <v>0</v>
      </c>
      <c r="AI361" s="14">
        <f t="shared" si="17"/>
        <v>0</v>
      </c>
    </row>
    <row r="362" spans="1:35">
      <c r="A362" s="28"/>
      <c r="F362" s="28">
        <f t="shared" si="15"/>
        <v>0</v>
      </c>
      <c r="AF362" s="18">
        <f t="shared" si="16"/>
        <v>0</v>
      </c>
      <c r="AH362" s="30">
        <v>0</v>
      </c>
      <c r="AI362" s="14">
        <f t="shared" si="17"/>
        <v>0</v>
      </c>
    </row>
    <row r="363" spans="1:35">
      <c r="A363" s="28"/>
      <c r="F363" s="28">
        <f t="shared" si="15"/>
        <v>0</v>
      </c>
      <c r="AF363" s="18">
        <f t="shared" si="16"/>
        <v>0</v>
      </c>
      <c r="AH363" s="30">
        <v>0</v>
      </c>
      <c r="AI363" s="14">
        <f t="shared" si="17"/>
        <v>0</v>
      </c>
    </row>
    <row r="364" spans="1:35">
      <c r="A364" s="28"/>
      <c r="F364" s="28">
        <f t="shared" si="15"/>
        <v>0</v>
      </c>
      <c r="AF364" s="18">
        <f t="shared" si="16"/>
        <v>0</v>
      </c>
      <c r="AH364" s="30">
        <v>0</v>
      </c>
      <c r="AI364" s="14">
        <f t="shared" si="17"/>
        <v>0</v>
      </c>
    </row>
    <row r="365" spans="1:35">
      <c r="A365" s="28"/>
      <c r="F365" s="28">
        <f t="shared" si="15"/>
        <v>0</v>
      </c>
      <c r="AF365" s="18">
        <f t="shared" si="16"/>
        <v>0</v>
      </c>
      <c r="AH365" s="30">
        <v>0</v>
      </c>
      <c r="AI365" s="14">
        <f t="shared" si="17"/>
        <v>0</v>
      </c>
    </row>
    <row r="366" spans="1:35">
      <c r="A366" s="28"/>
      <c r="F366" s="28">
        <f t="shared" si="15"/>
        <v>0</v>
      </c>
      <c r="AF366" s="18">
        <f t="shared" si="16"/>
        <v>0</v>
      </c>
      <c r="AH366" s="30">
        <v>0</v>
      </c>
      <c r="AI366" s="14">
        <f t="shared" si="17"/>
        <v>0</v>
      </c>
    </row>
    <row r="367" spans="1:35">
      <c r="A367" s="28"/>
      <c r="AH367" s="30">
        <v>0</v>
      </c>
    </row>
    <row r="368" spans="1:35">
      <c r="A368" s="28"/>
      <c r="AH368" s="30">
        <v>0</v>
      </c>
    </row>
    <row r="369" spans="1:34">
      <c r="A369" s="28"/>
      <c r="AH369" s="30">
        <v>0</v>
      </c>
    </row>
    <row r="370" spans="1:34">
      <c r="A370" s="28"/>
      <c r="AH370" s="30">
        <v>0</v>
      </c>
    </row>
    <row r="371" spans="1:34">
      <c r="A371" s="28"/>
      <c r="AH371" s="30">
        <v>0</v>
      </c>
    </row>
    <row r="372" spans="1:34">
      <c r="A372" s="28"/>
      <c r="AH372" s="30">
        <v>0</v>
      </c>
    </row>
    <row r="373" spans="1:34">
      <c r="A373" s="28"/>
      <c r="AH373" s="30">
        <v>0</v>
      </c>
    </row>
    <row r="374" spans="1:34">
      <c r="A374" s="28"/>
      <c r="AH374" s="30">
        <v>0</v>
      </c>
    </row>
    <row r="375" spans="1:34">
      <c r="A375" s="28"/>
      <c r="AH375" s="30">
        <v>0</v>
      </c>
    </row>
    <row r="376" spans="1:34">
      <c r="A376" s="28"/>
      <c r="AH376" s="30">
        <v>0</v>
      </c>
    </row>
    <row r="377" spans="1:34">
      <c r="A377" s="28"/>
      <c r="AH377" s="30">
        <v>0</v>
      </c>
    </row>
    <row r="378" spans="1:34">
      <c r="A378" s="28"/>
      <c r="AH378" s="30">
        <v>0</v>
      </c>
    </row>
    <row r="379" spans="1:34">
      <c r="A379" s="28"/>
      <c r="AH379" s="30">
        <v>0</v>
      </c>
    </row>
    <row r="380" spans="1:34">
      <c r="A380" s="28"/>
      <c r="AH380" s="30">
        <v>0</v>
      </c>
    </row>
    <row r="381" spans="1:34">
      <c r="A381" s="28"/>
      <c r="AH381" s="30">
        <v>0</v>
      </c>
    </row>
    <row r="382" spans="1:34">
      <c r="A382" s="28"/>
      <c r="AH382" s="30">
        <v>0</v>
      </c>
    </row>
    <row r="383" spans="1:34">
      <c r="A383" s="28"/>
      <c r="AH383" s="30">
        <v>0</v>
      </c>
    </row>
    <row r="384" spans="1:34">
      <c r="A384" s="28"/>
      <c r="AH384" s="30">
        <v>0</v>
      </c>
    </row>
    <row r="385" spans="1:34">
      <c r="A385" s="28"/>
      <c r="AH385" s="30">
        <v>0</v>
      </c>
    </row>
    <row r="386" spans="1:34">
      <c r="A386" s="28"/>
      <c r="AH386" s="30">
        <v>0</v>
      </c>
    </row>
    <row r="387" spans="1:34">
      <c r="A387" s="28"/>
      <c r="AH387" s="30">
        <v>0</v>
      </c>
    </row>
    <row r="388" spans="1:34">
      <c r="A388" s="28"/>
      <c r="AH388" s="30">
        <v>0</v>
      </c>
    </row>
    <row r="389" spans="1:34">
      <c r="A389" s="28"/>
      <c r="AH389" s="30">
        <v>0</v>
      </c>
    </row>
    <row r="390" spans="1:34">
      <c r="A390" s="28"/>
      <c r="AH390" s="30">
        <v>0</v>
      </c>
    </row>
    <row r="391" spans="1:34">
      <c r="A391" s="28"/>
      <c r="AH391" s="30">
        <v>0</v>
      </c>
    </row>
    <row r="392" spans="1:34">
      <c r="A392" s="28"/>
      <c r="AH392" s="30">
        <v>0</v>
      </c>
    </row>
    <row r="393" spans="1:34">
      <c r="A393" s="28"/>
      <c r="AH393" s="30">
        <v>0</v>
      </c>
    </row>
    <row r="394" spans="1:34">
      <c r="A394" s="28"/>
      <c r="AH394" s="30">
        <v>0</v>
      </c>
    </row>
    <row r="395" spans="1:34">
      <c r="A395" s="28"/>
      <c r="AH395" s="30">
        <v>0</v>
      </c>
    </row>
    <row r="396" spans="1:34">
      <c r="A396" s="28"/>
      <c r="AH396" s="30">
        <v>0</v>
      </c>
    </row>
    <row r="397" spans="1:34">
      <c r="A397" s="28"/>
      <c r="AH397" s="30">
        <v>0</v>
      </c>
    </row>
    <row r="398" spans="1:34">
      <c r="A398" s="28"/>
      <c r="AH398" s="30">
        <v>0</v>
      </c>
    </row>
    <row r="399" spans="1:34">
      <c r="A399" s="28"/>
      <c r="AH399" s="30">
        <v>0</v>
      </c>
    </row>
    <row r="400" spans="1:34">
      <c r="A400" s="28"/>
      <c r="AH400" s="30">
        <v>0</v>
      </c>
    </row>
    <row r="401" spans="1:34">
      <c r="A401" s="28"/>
      <c r="AH401" s="30">
        <v>0</v>
      </c>
    </row>
    <row r="402" spans="1:34">
      <c r="A402" s="28"/>
      <c r="AH402" s="30">
        <v>0</v>
      </c>
    </row>
    <row r="403" spans="1:34">
      <c r="A403" s="28"/>
      <c r="AH403" s="30">
        <v>0</v>
      </c>
    </row>
    <row r="413" spans="1:34">
      <c r="V413" s="29" cm="1">
        <f t="array" aca="1" ref="V413" ca="1">U411:V413</f>
        <v>0</v>
      </c>
    </row>
  </sheetData>
  <sheetProtection algorithmName="SHA-512" hashValue="AdTYU1pO8o0vVdyJrOtcBFc4FMG9oDtAHB4GPt4/DX4E3D5OxHvox/XDfnyYsss+1K1yhS0zsQTldMRxMBcbsw==" saltValue="MJaK4lPfP3D0a1YmwXSfoA==" spinCount="100000" sheet="1" objects="1" scenarios="1" autoFilter="0"/>
  <autoFilter ref="A1:AP403" xr:uid="{CB281A76-6D30-4EDD-BD12-14E966D5106D}">
    <sortState xmlns:xlrd2="http://schemas.microsoft.com/office/spreadsheetml/2017/richdata2" ref="A2:AP403">
      <sortCondition descending="1" ref="A2:A403"/>
      <sortCondition ref="B2:B403"/>
    </sortState>
  </autoFilter>
  <sortState xmlns:xlrd2="http://schemas.microsoft.com/office/spreadsheetml/2017/richdata2" ref="A2:AP313">
    <sortCondition ref="A2:A313"/>
    <sortCondition ref="B2:B313"/>
  </sortState>
  <phoneticPr fontId="6" type="noConversion"/>
  <conditionalFormatting sqref="A1:AO1048576">
    <cfRule type="expression" dxfId="54" priority="1">
      <formula>OR(CELL("col")=COLUMN(), CELL("row")=ROW())</formula>
    </cfRule>
  </conditionalFormatting>
  <conditionalFormatting sqref="A1:AI1048576">
    <cfRule type="expression" dxfId="53" priority="43">
      <formula>OR($B1="S5", $B1="D5")</formula>
    </cfRule>
  </conditionalFormatting>
  <conditionalFormatting sqref="A1:AN1048576">
    <cfRule type="expression" dxfId="52" priority="44">
      <formula>AND(ROW()&lt;&gt;1,MOD(ROW(), 2)=1, NOT(ISBLANK($A1)))</formula>
    </cfRule>
    <cfRule type="expression" dxfId="51" priority="45">
      <formula>OR($B1="S1", $B1="D1")</formula>
    </cfRule>
    <cfRule type="expression" dxfId="50" priority="46">
      <formula>OR($B1="S3", $B1="D3")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853C81-6F15-4680-89D9-B5CC2BD1BA37}">
          <x14:formula1>
            <xm:f>Data!$A$1:$A$23</xm:f>
          </x14:formula1>
          <xm:sqref>A2:A366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3E716-ACD2-46A7-82CB-E01DFEABC119}">
  <sheetPr codeName="Sheet3">
    <tabColor rgb="FF00B0F0"/>
  </sheetPr>
  <dimension ref="A1:T161"/>
  <sheetViews>
    <sheetView zoomScale="85" zoomScaleNormal="85" workbookViewId="0">
      <pane xSplit="6" ySplit="1" topLeftCell="G41" activePane="bottomRight" state="frozen"/>
      <selection pane="topRight" activeCell="G1" sqref="G1"/>
      <selection pane="bottomLeft" activeCell="A2" sqref="A2"/>
      <selection pane="bottomRight" activeCell="F9" sqref="F9"/>
    </sheetView>
  </sheetViews>
  <sheetFormatPr defaultColWidth="9.140625" defaultRowHeight="15"/>
  <cols>
    <col min="1" max="1" width="11.42578125" bestFit="1" customWidth="1"/>
    <col min="2" max="2" width="10.42578125" bestFit="1" customWidth="1"/>
    <col min="3" max="3" width="20.5703125" hidden="1" customWidth="1"/>
    <col min="4" max="4" width="44.140625" customWidth="1"/>
    <col min="5" max="5" width="21.42578125" style="44" bestFit="1" customWidth="1"/>
    <col min="6" max="6" width="11.5703125" bestFit="1" customWidth="1"/>
    <col min="7" max="7" width="15.5703125" style="45" bestFit="1" customWidth="1"/>
    <col min="8" max="12" width="13.42578125" style="45" bestFit="1" customWidth="1"/>
    <col min="13" max="13" width="20" style="13" bestFit="1" customWidth="1"/>
    <col min="14" max="14" width="12" style="13" bestFit="1" customWidth="1"/>
    <col min="15" max="15" width="18.42578125" bestFit="1" customWidth="1"/>
    <col min="16" max="16" width="17.42578125" bestFit="1" customWidth="1"/>
    <col min="17" max="17" width="17.42578125" customWidth="1"/>
    <col min="18" max="18" width="18" bestFit="1" customWidth="1"/>
    <col min="20" max="20" width="15.28515625" bestFit="1" customWidth="1"/>
  </cols>
  <sheetData>
    <row r="1" spans="1:20">
      <c r="A1" s="40" t="s">
        <v>664</v>
      </c>
      <c r="B1" s="40" t="s">
        <v>6</v>
      </c>
      <c r="C1" s="41" t="s">
        <v>0</v>
      </c>
      <c r="D1" s="41" t="s">
        <v>754</v>
      </c>
      <c r="E1" s="42" t="s">
        <v>755</v>
      </c>
      <c r="F1" s="3" t="s">
        <v>707</v>
      </c>
      <c r="G1" s="43">
        <v>1000</v>
      </c>
      <c r="H1" s="43">
        <v>100</v>
      </c>
      <c r="I1" s="43">
        <v>50</v>
      </c>
      <c r="J1" s="43">
        <v>20</v>
      </c>
      <c r="K1" s="43">
        <v>10</v>
      </c>
      <c r="L1" s="43">
        <v>1</v>
      </c>
      <c r="M1" s="11" t="s">
        <v>330</v>
      </c>
      <c r="N1" s="11" t="s">
        <v>287</v>
      </c>
      <c r="O1" s="9" t="s">
        <v>599</v>
      </c>
      <c r="P1" s="9" t="s">
        <v>600</v>
      </c>
      <c r="Q1" s="9" t="s">
        <v>601</v>
      </c>
      <c r="R1" s="9" t="s">
        <v>603</v>
      </c>
      <c r="S1" t="s">
        <v>287</v>
      </c>
      <c r="T1" s="8">
        <f>+SUM(N:N)</f>
        <v>303076</v>
      </c>
    </row>
    <row r="2" spans="1:20">
      <c r="A2" t="s">
        <v>663</v>
      </c>
      <c r="B2" t="s">
        <v>621</v>
      </c>
      <c r="D2" t="s">
        <v>1236</v>
      </c>
      <c r="E2" s="44" t="s">
        <v>1237</v>
      </c>
      <c r="F2" s="26">
        <f t="shared" ref="F2:F65" si="0">+$G$1*G2+$H$1*H2+$I$1*I2+$J$1*J2+$K$1*K2+$L$1*L2</f>
        <v>100</v>
      </c>
      <c r="H2" s="45">
        <v>1</v>
      </c>
      <c r="M2" s="13">
        <v>140</v>
      </c>
      <c r="N2" s="14">
        <f t="shared" ref="N2:N65" si="1">+F2*M2</f>
        <v>14000</v>
      </c>
    </row>
    <row r="3" spans="1:20">
      <c r="A3" t="s">
        <v>663</v>
      </c>
      <c r="B3" t="s">
        <v>621</v>
      </c>
      <c r="D3" t="s">
        <v>1273</v>
      </c>
      <c r="E3" s="44" t="s">
        <v>812</v>
      </c>
      <c r="F3" s="26">
        <f>+$G$1*G3+$H$1*H3+$I$1*I3+$J$1*J3+$K$1*K3+$L$1*L3</f>
        <v>0</v>
      </c>
      <c r="N3" s="14">
        <f>+F3*M3</f>
        <v>0</v>
      </c>
    </row>
    <row r="4" spans="1:20">
      <c r="A4" t="s">
        <v>663</v>
      </c>
      <c r="B4" t="s">
        <v>621</v>
      </c>
      <c r="D4" t="s">
        <v>1274</v>
      </c>
      <c r="E4" s="44" t="s">
        <v>812</v>
      </c>
      <c r="F4" s="26">
        <f t="shared" si="0"/>
        <v>0</v>
      </c>
      <c r="N4" s="14">
        <f t="shared" si="1"/>
        <v>0</v>
      </c>
    </row>
    <row r="5" spans="1:20">
      <c r="A5" t="s">
        <v>663</v>
      </c>
      <c r="B5" t="s">
        <v>621</v>
      </c>
      <c r="D5" t="s">
        <v>1275</v>
      </c>
      <c r="E5" s="44" t="s">
        <v>812</v>
      </c>
      <c r="F5" s="26">
        <f t="shared" si="0"/>
        <v>0</v>
      </c>
      <c r="N5" s="14">
        <f t="shared" si="1"/>
        <v>0</v>
      </c>
    </row>
    <row r="6" spans="1:20">
      <c r="A6" t="s">
        <v>663</v>
      </c>
      <c r="B6" t="s">
        <v>621</v>
      </c>
      <c r="D6" t="s">
        <v>1276</v>
      </c>
      <c r="E6" s="44" t="s">
        <v>812</v>
      </c>
      <c r="F6" s="26">
        <f t="shared" si="0"/>
        <v>0</v>
      </c>
      <c r="N6" s="14">
        <f t="shared" si="1"/>
        <v>0</v>
      </c>
    </row>
    <row r="7" spans="1:20">
      <c r="A7" t="s">
        <v>663</v>
      </c>
      <c r="B7" t="s">
        <v>621</v>
      </c>
      <c r="D7" t="s">
        <v>1408</v>
      </c>
      <c r="E7" s="44" t="s">
        <v>812</v>
      </c>
      <c r="F7" s="26">
        <f t="shared" si="0"/>
        <v>10</v>
      </c>
      <c r="K7" s="45">
        <v>1</v>
      </c>
      <c r="N7" s="14">
        <f t="shared" si="1"/>
        <v>0</v>
      </c>
    </row>
    <row r="8" spans="1:20">
      <c r="A8" t="s">
        <v>663</v>
      </c>
      <c r="B8" t="s">
        <v>621</v>
      </c>
      <c r="D8" t="s">
        <v>1420</v>
      </c>
      <c r="E8" s="44" t="s">
        <v>812</v>
      </c>
      <c r="F8" s="26">
        <f t="shared" si="0"/>
        <v>5</v>
      </c>
      <c r="K8" s="45">
        <v>0.5</v>
      </c>
      <c r="N8" s="14">
        <f t="shared" si="1"/>
        <v>0</v>
      </c>
    </row>
    <row r="9" spans="1:20">
      <c r="A9" t="s">
        <v>663</v>
      </c>
      <c r="B9" t="s">
        <v>621</v>
      </c>
      <c r="D9" t="s">
        <v>1277</v>
      </c>
      <c r="E9" s="44" t="s">
        <v>812</v>
      </c>
      <c r="F9" s="26">
        <f t="shared" si="0"/>
        <v>0</v>
      </c>
      <c r="N9" s="14">
        <f t="shared" si="1"/>
        <v>0</v>
      </c>
    </row>
    <row r="10" spans="1:20">
      <c r="A10" s="28" t="s">
        <v>876</v>
      </c>
      <c r="B10" s="28" t="s">
        <v>763</v>
      </c>
      <c r="C10" s="26" t="s">
        <v>388</v>
      </c>
      <c r="D10" s="26" t="s">
        <v>387</v>
      </c>
      <c r="E10" s="27" t="s">
        <v>756</v>
      </c>
      <c r="F10" s="26">
        <f>+$G$1*G10+$H$1*H10+$I$1*I10+$J$1*J10+$K$1*K10+$L$1*L10</f>
        <v>3000</v>
      </c>
      <c r="G10" s="32">
        <v>3</v>
      </c>
      <c r="H10" s="32"/>
      <c r="I10" s="32"/>
      <c r="J10" s="32"/>
      <c r="K10" s="32"/>
      <c r="L10" s="32"/>
      <c r="M10" s="34">
        <v>12</v>
      </c>
      <c r="N10" s="14">
        <f t="shared" si="1"/>
        <v>36000</v>
      </c>
      <c r="O10" s="26"/>
      <c r="P10" s="26"/>
      <c r="Q10" s="26"/>
      <c r="R10" s="26"/>
    </row>
    <row r="11" spans="1:20">
      <c r="A11" s="28" t="s">
        <v>876</v>
      </c>
      <c r="B11" s="28" t="s">
        <v>763</v>
      </c>
      <c r="C11" s="26" t="s">
        <v>389</v>
      </c>
      <c r="D11" s="26" t="s">
        <v>341</v>
      </c>
      <c r="E11" s="27" t="s">
        <v>762</v>
      </c>
      <c r="F11" s="26">
        <f t="shared" si="0"/>
        <v>2000</v>
      </c>
      <c r="G11" s="32">
        <v>2</v>
      </c>
      <c r="H11" s="32"/>
      <c r="I11" s="32"/>
      <c r="J11" s="32"/>
      <c r="K11" s="32"/>
      <c r="L11" s="32"/>
      <c r="M11" s="34">
        <v>18</v>
      </c>
      <c r="N11" s="14">
        <f t="shared" si="1"/>
        <v>36000</v>
      </c>
      <c r="O11" s="26"/>
      <c r="P11" s="26"/>
      <c r="Q11" s="26"/>
      <c r="R11" s="26"/>
    </row>
    <row r="12" spans="1:20">
      <c r="A12" s="28" t="s">
        <v>876</v>
      </c>
      <c r="B12" s="28" t="s">
        <v>763</v>
      </c>
      <c r="C12" s="26" t="s">
        <v>491</v>
      </c>
      <c r="D12" s="26" t="s">
        <v>493</v>
      </c>
      <c r="E12" s="27" t="s">
        <v>757</v>
      </c>
      <c r="F12" s="26">
        <f t="shared" si="0"/>
        <v>20</v>
      </c>
      <c r="G12" s="32"/>
      <c r="H12" s="32"/>
      <c r="I12" s="32"/>
      <c r="J12" s="32">
        <v>1</v>
      </c>
      <c r="K12" s="32"/>
      <c r="L12" s="32"/>
      <c r="M12" s="34">
        <v>26</v>
      </c>
      <c r="N12" s="14">
        <f t="shared" si="1"/>
        <v>520</v>
      </c>
      <c r="O12" s="26"/>
      <c r="P12" s="26"/>
      <c r="Q12" s="26"/>
      <c r="R12" s="26"/>
    </row>
    <row r="13" spans="1:20">
      <c r="A13" s="28" t="s">
        <v>876</v>
      </c>
      <c r="B13" s="28" t="s">
        <v>763</v>
      </c>
      <c r="C13" s="26" t="s">
        <v>492</v>
      </c>
      <c r="D13" s="26" t="s">
        <v>494</v>
      </c>
      <c r="E13" s="27" t="s">
        <v>758</v>
      </c>
      <c r="F13" s="26">
        <f t="shared" si="0"/>
        <v>10</v>
      </c>
      <c r="G13" s="32"/>
      <c r="H13" s="32"/>
      <c r="I13" s="32"/>
      <c r="J13" s="32"/>
      <c r="K13" s="32">
        <v>1</v>
      </c>
      <c r="L13" s="32"/>
      <c r="M13" s="34">
        <v>34</v>
      </c>
      <c r="N13" s="14">
        <f t="shared" si="1"/>
        <v>340</v>
      </c>
      <c r="O13" s="26"/>
      <c r="P13" s="26"/>
      <c r="Q13" s="26"/>
      <c r="R13" s="26"/>
    </row>
    <row r="14" spans="1:20">
      <c r="A14" s="28" t="s">
        <v>876</v>
      </c>
      <c r="B14" s="26" t="s">
        <v>764</v>
      </c>
      <c r="C14" s="26"/>
      <c r="D14" s="26" t="s">
        <v>805</v>
      </c>
      <c r="E14" s="27" t="s">
        <v>766</v>
      </c>
      <c r="F14" s="26">
        <f t="shared" si="0"/>
        <v>100</v>
      </c>
      <c r="G14" s="29"/>
      <c r="H14" s="29">
        <v>1</v>
      </c>
      <c r="I14" s="29"/>
      <c r="J14" s="29"/>
      <c r="K14" s="29"/>
      <c r="L14" s="29"/>
      <c r="M14" s="34">
        <v>167.2</v>
      </c>
      <c r="N14" s="14">
        <f t="shared" si="1"/>
        <v>16720</v>
      </c>
      <c r="O14" s="26"/>
      <c r="P14" s="26"/>
      <c r="Q14" s="26"/>
      <c r="R14" s="26"/>
    </row>
    <row r="15" spans="1:20">
      <c r="A15" s="28" t="s">
        <v>876</v>
      </c>
      <c r="B15" s="26" t="s">
        <v>764</v>
      </c>
      <c r="C15" s="26"/>
      <c r="D15" s="26" t="s">
        <v>765</v>
      </c>
      <c r="E15" s="27" t="s">
        <v>760</v>
      </c>
      <c r="F15" s="26">
        <f>+$G$1*G15+$H$1*H15+$I$1*I15+$J$1*J15+$K$1*K15+$L$1*L15</f>
        <v>60</v>
      </c>
      <c r="G15" s="29"/>
      <c r="H15" s="29"/>
      <c r="I15" s="29"/>
      <c r="J15" s="29">
        <v>3</v>
      </c>
      <c r="K15" s="29"/>
      <c r="L15" s="29"/>
      <c r="M15" s="34">
        <v>210</v>
      </c>
      <c r="N15" s="14">
        <f t="shared" si="1"/>
        <v>12600</v>
      </c>
      <c r="O15" s="26"/>
      <c r="P15" s="26"/>
      <c r="Q15" s="26"/>
      <c r="R15" s="26"/>
    </row>
    <row r="16" spans="1:20">
      <c r="A16" s="28" t="s">
        <v>876</v>
      </c>
      <c r="B16" s="28" t="s">
        <v>764</v>
      </c>
      <c r="D16" s="26" t="s">
        <v>1270</v>
      </c>
      <c r="E16" s="44" t="s">
        <v>760</v>
      </c>
      <c r="F16" s="26">
        <f t="shared" si="0"/>
        <v>10</v>
      </c>
      <c r="K16" s="45">
        <v>1</v>
      </c>
      <c r="M16" s="13">
        <v>150</v>
      </c>
      <c r="N16" s="14">
        <f t="shared" si="1"/>
        <v>1500</v>
      </c>
    </row>
    <row r="17" spans="1:18">
      <c r="A17" s="28" t="s">
        <v>876</v>
      </c>
      <c r="B17" t="s">
        <v>764</v>
      </c>
      <c r="D17" s="26" t="s">
        <v>946</v>
      </c>
      <c r="E17" s="44" t="s">
        <v>760</v>
      </c>
      <c r="F17" s="26">
        <f t="shared" si="0"/>
        <v>10</v>
      </c>
      <c r="K17" s="45">
        <v>1</v>
      </c>
      <c r="M17" s="14">
        <v>142</v>
      </c>
      <c r="N17" s="14">
        <f t="shared" si="1"/>
        <v>1420</v>
      </c>
    </row>
    <row r="18" spans="1:18">
      <c r="A18" s="28" t="s">
        <v>876</v>
      </c>
      <c r="B18" s="26" t="s">
        <v>764</v>
      </c>
      <c r="C18" s="26"/>
      <c r="D18" s="26" t="s">
        <v>785</v>
      </c>
      <c r="E18" s="27" t="s">
        <v>760</v>
      </c>
      <c r="F18" s="26">
        <f t="shared" si="0"/>
        <v>5</v>
      </c>
      <c r="G18" s="29"/>
      <c r="H18" s="29"/>
      <c r="I18" s="29"/>
      <c r="J18" s="29"/>
      <c r="K18" s="29">
        <v>0.5</v>
      </c>
      <c r="L18" s="29"/>
      <c r="M18" s="34">
        <v>280</v>
      </c>
      <c r="N18" s="14">
        <f t="shared" si="1"/>
        <v>1400</v>
      </c>
      <c r="O18" s="26"/>
      <c r="P18" s="26"/>
      <c r="Q18" s="26"/>
      <c r="R18" s="26"/>
    </row>
    <row r="19" spans="1:18">
      <c r="A19" s="28" t="s">
        <v>876</v>
      </c>
      <c r="B19" s="28" t="s">
        <v>764</v>
      </c>
      <c r="C19" s="26"/>
      <c r="D19" s="26" t="s">
        <v>810</v>
      </c>
      <c r="E19" s="27" t="s">
        <v>811</v>
      </c>
      <c r="F19" s="26">
        <f t="shared" si="0"/>
        <v>1</v>
      </c>
      <c r="G19" s="29"/>
      <c r="H19" s="29"/>
      <c r="I19" s="29"/>
      <c r="J19" s="29"/>
      <c r="K19" s="29"/>
      <c r="L19" s="29">
        <v>1</v>
      </c>
      <c r="M19" s="34">
        <v>800</v>
      </c>
      <c r="N19" s="14">
        <f t="shared" si="1"/>
        <v>800</v>
      </c>
      <c r="O19" s="26"/>
      <c r="P19" s="26"/>
      <c r="Q19" s="26"/>
      <c r="R19" s="26"/>
    </row>
    <row r="20" spans="1:18">
      <c r="A20" s="28" t="s">
        <v>876</v>
      </c>
      <c r="B20" s="26" t="s">
        <v>764</v>
      </c>
      <c r="C20" s="26"/>
      <c r="D20" s="26" t="s">
        <v>782</v>
      </c>
      <c r="E20" s="27" t="s">
        <v>760</v>
      </c>
      <c r="F20" s="26">
        <f t="shared" si="0"/>
        <v>20</v>
      </c>
      <c r="G20" s="29"/>
      <c r="H20" s="29"/>
      <c r="I20" s="29"/>
      <c r="J20" s="29">
        <v>1</v>
      </c>
      <c r="K20" s="29"/>
      <c r="L20" s="29"/>
      <c r="M20" s="34">
        <v>37</v>
      </c>
      <c r="N20" s="14">
        <f t="shared" si="1"/>
        <v>740</v>
      </c>
      <c r="O20" s="26"/>
      <c r="P20" s="26"/>
      <c r="Q20" s="26"/>
      <c r="R20" s="26"/>
    </row>
    <row r="21" spans="1:18">
      <c r="A21" s="28" t="s">
        <v>876</v>
      </c>
      <c r="B21" s="26" t="s">
        <v>764</v>
      </c>
      <c r="C21" s="26"/>
      <c r="D21" s="26" t="s">
        <v>1075</v>
      </c>
      <c r="E21" s="27" t="s">
        <v>760</v>
      </c>
      <c r="F21" s="26">
        <f t="shared" si="0"/>
        <v>50</v>
      </c>
      <c r="G21" s="29"/>
      <c r="H21" s="29"/>
      <c r="I21" s="29">
        <v>1</v>
      </c>
      <c r="J21" s="29"/>
      <c r="K21" s="29"/>
      <c r="L21" s="29"/>
      <c r="M21" s="34">
        <v>14</v>
      </c>
      <c r="N21" s="14">
        <f t="shared" si="1"/>
        <v>700</v>
      </c>
      <c r="O21" s="26"/>
      <c r="P21" s="26"/>
      <c r="Q21" s="26"/>
      <c r="R21" s="26"/>
    </row>
    <row r="22" spans="1:18">
      <c r="A22" s="28" t="s">
        <v>876</v>
      </c>
      <c r="B22" s="28" t="s">
        <v>764</v>
      </c>
      <c r="C22" s="26" t="s">
        <v>453</v>
      </c>
      <c r="D22" s="26" t="s">
        <v>454</v>
      </c>
      <c r="E22" s="27"/>
      <c r="F22" s="26">
        <f t="shared" si="0"/>
        <v>5</v>
      </c>
      <c r="G22" s="32"/>
      <c r="H22" s="32"/>
      <c r="I22" s="32"/>
      <c r="J22" s="32"/>
      <c r="K22" s="32">
        <v>0.5</v>
      </c>
      <c r="L22" s="32"/>
      <c r="M22" s="34">
        <v>102</v>
      </c>
      <c r="N22" s="14">
        <f t="shared" si="1"/>
        <v>510</v>
      </c>
      <c r="O22" s="26"/>
      <c r="P22" s="26"/>
      <c r="Q22" s="26"/>
      <c r="R22" s="26"/>
    </row>
    <row r="23" spans="1:18">
      <c r="A23" s="28" t="s">
        <v>876</v>
      </c>
      <c r="B23" s="28" t="s">
        <v>764</v>
      </c>
      <c r="D23" s="26" t="s">
        <v>1271</v>
      </c>
      <c r="E23" s="44" t="s">
        <v>760</v>
      </c>
      <c r="F23" s="26">
        <f t="shared" si="0"/>
        <v>1</v>
      </c>
      <c r="L23" s="45">
        <v>1</v>
      </c>
      <c r="M23" s="13">
        <v>450</v>
      </c>
      <c r="N23" s="14">
        <f t="shared" si="1"/>
        <v>450</v>
      </c>
    </row>
    <row r="24" spans="1:18">
      <c r="A24" t="s">
        <v>876</v>
      </c>
      <c r="B24" t="s">
        <v>764</v>
      </c>
      <c r="D24" t="s">
        <v>1272</v>
      </c>
      <c r="E24" s="44" t="s">
        <v>760</v>
      </c>
      <c r="F24" s="26">
        <f t="shared" si="0"/>
        <v>1</v>
      </c>
      <c r="L24" s="45">
        <v>1</v>
      </c>
      <c r="M24" s="13">
        <v>450</v>
      </c>
      <c r="N24" s="14">
        <f t="shared" si="1"/>
        <v>450</v>
      </c>
    </row>
    <row r="25" spans="1:18">
      <c r="A25" s="28" t="s">
        <v>876</v>
      </c>
      <c r="B25" s="28" t="s">
        <v>764</v>
      </c>
      <c r="C25" s="26"/>
      <c r="D25" s="26" t="s">
        <v>499</v>
      </c>
      <c r="E25" s="27" t="s">
        <v>828</v>
      </c>
      <c r="F25" s="26">
        <f t="shared" si="0"/>
        <v>2</v>
      </c>
      <c r="G25" s="32"/>
      <c r="H25" s="32"/>
      <c r="I25" s="32"/>
      <c r="J25" s="32"/>
      <c r="K25" s="32"/>
      <c r="L25" s="32">
        <v>2</v>
      </c>
      <c r="M25" s="34">
        <v>212</v>
      </c>
      <c r="N25" s="14">
        <f t="shared" si="1"/>
        <v>424</v>
      </c>
      <c r="O25" s="26"/>
      <c r="P25" s="26"/>
      <c r="Q25" s="26"/>
      <c r="R25" s="26"/>
    </row>
    <row r="26" spans="1:18">
      <c r="A26" s="28" t="s">
        <v>876</v>
      </c>
      <c r="B26" s="26" t="s">
        <v>764</v>
      </c>
      <c r="C26" s="26"/>
      <c r="D26" s="26" t="s">
        <v>783</v>
      </c>
      <c r="E26" s="27" t="s">
        <v>760</v>
      </c>
      <c r="F26" s="26">
        <f t="shared" si="0"/>
        <v>10</v>
      </c>
      <c r="G26" s="29"/>
      <c r="H26" s="29"/>
      <c r="I26" s="29"/>
      <c r="J26" s="29"/>
      <c r="K26" s="29">
        <v>1</v>
      </c>
      <c r="L26" s="29"/>
      <c r="M26" s="34">
        <v>37</v>
      </c>
      <c r="N26" s="14">
        <f t="shared" si="1"/>
        <v>370</v>
      </c>
      <c r="O26" s="26"/>
      <c r="P26" s="26"/>
      <c r="Q26" s="26"/>
      <c r="R26" s="26"/>
    </row>
    <row r="27" spans="1:18">
      <c r="A27" s="28" t="s">
        <v>876</v>
      </c>
      <c r="B27" s="28" t="s">
        <v>764</v>
      </c>
      <c r="C27" s="26"/>
      <c r="D27" s="26" t="s">
        <v>500</v>
      </c>
      <c r="E27" s="27" t="s">
        <v>827</v>
      </c>
      <c r="F27" s="26">
        <f t="shared" si="0"/>
        <v>2</v>
      </c>
      <c r="G27" s="32"/>
      <c r="H27" s="32"/>
      <c r="I27" s="32"/>
      <c r="J27" s="32"/>
      <c r="K27" s="32"/>
      <c r="L27" s="32">
        <v>2</v>
      </c>
      <c r="M27" s="34">
        <v>165</v>
      </c>
      <c r="N27" s="14">
        <f t="shared" si="1"/>
        <v>330</v>
      </c>
      <c r="O27" s="26"/>
      <c r="P27" s="26"/>
      <c r="Q27" s="26"/>
      <c r="R27" s="26"/>
    </row>
    <row r="28" spans="1:18">
      <c r="A28" s="28" t="s">
        <v>876</v>
      </c>
      <c r="B28" s="28" t="s">
        <v>764</v>
      </c>
      <c r="C28" s="26"/>
      <c r="D28" s="26" t="s">
        <v>501</v>
      </c>
      <c r="E28" s="27" t="s">
        <v>829</v>
      </c>
      <c r="F28" s="26">
        <f t="shared" si="0"/>
        <v>2</v>
      </c>
      <c r="G28" s="32"/>
      <c r="H28" s="32"/>
      <c r="I28" s="32"/>
      <c r="J28" s="32"/>
      <c r="K28" s="32"/>
      <c r="L28" s="32">
        <v>2</v>
      </c>
      <c r="M28" s="34">
        <v>165</v>
      </c>
      <c r="N28" s="14">
        <f t="shared" si="1"/>
        <v>330</v>
      </c>
      <c r="O28" s="26"/>
      <c r="P28" s="26"/>
      <c r="Q28" s="26"/>
      <c r="R28" s="26"/>
    </row>
    <row r="29" spans="1:18">
      <c r="A29" s="28" t="s">
        <v>876</v>
      </c>
      <c r="B29" s="26" t="s">
        <v>764</v>
      </c>
      <c r="C29" s="26"/>
      <c r="D29" s="26" t="s">
        <v>866</v>
      </c>
      <c r="E29" s="27" t="s">
        <v>867</v>
      </c>
      <c r="F29" s="26">
        <f t="shared" si="0"/>
        <v>1</v>
      </c>
      <c r="G29" s="29"/>
      <c r="H29" s="29"/>
      <c r="I29" s="29"/>
      <c r="J29" s="29"/>
      <c r="K29" s="29"/>
      <c r="L29" s="29">
        <v>1</v>
      </c>
      <c r="M29" s="34">
        <v>265</v>
      </c>
      <c r="N29" s="14">
        <f t="shared" si="1"/>
        <v>265</v>
      </c>
      <c r="O29" s="26"/>
      <c r="P29" s="26"/>
      <c r="Q29" s="26"/>
      <c r="R29" s="26"/>
    </row>
    <row r="30" spans="1:18">
      <c r="A30" s="28" t="s">
        <v>876</v>
      </c>
      <c r="B30" s="26" t="s">
        <v>764</v>
      </c>
      <c r="C30" s="26"/>
      <c r="D30" s="26" t="s">
        <v>820</v>
      </c>
      <c r="E30" s="27" t="s">
        <v>760</v>
      </c>
      <c r="F30" s="26">
        <f t="shared" si="0"/>
        <v>5</v>
      </c>
      <c r="G30" s="29"/>
      <c r="H30" s="29"/>
      <c r="I30" s="29"/>
      <c r="J30" s="29"/>
      <c r="K30" s="29"/>
      <c r="L30" s="29">
        <v>5</v>
      </c>
      <c r="M30" s="34"/>
      <c r="N30" s="14">
        <f t="shared" si="1"/>
        <v>0</v>
      </c>
      <c r="O30" s="26"/>
      <c r="P30" s="26"/>
      <c r="Q30" s="26"/>
      <c r="R30" s="26"/>
    </row>
    <row r="31" spans="1:18">
      <c r="A31" s="28" t="s">
        <v>876</v>
      </c>
      <c r="B31" s="28" t="s">
        <v>764</v>
      </c>
      <c r="C31" s="26"/>
      <c r="D31" s="26" t="s">
        <v>806</v>
      </c>
      <c r="E31" s="27" t="s">
        <v>807</v>
      </c>
      <c r="F31" s="26">
        <f t="shared" si="0"/>
        <v>5</v>
      </c>
      <c r="G31" s="29"/>
      <c r="H31" s="29"/>
      <c r="I31" s="29"/>
      <c r="J31" s="29"/>
      <c r="K31" s="29"/>
      <c r="L31" s="29">
        <v>5</v>
      </c>
      <c r="M31" s="34"/>
      <c r="N31" s="14">
        <f t="shared" si="1"/>
        <v>0</v>
      </c>
      <c r="O31" s="26"/>
      <c r="P31" s="26"/>
      <c r="Q31" s="26"/>
      <c r="R31" s="26"/>
    </row>
    <row r="32" spans="1:18">
      <c r="A32" s="28" t="s">
        <v>876</v>
      </c>
      <c r="B32" s="28" t="s">
        <v>764</v>
      </c>
      <c r="D32" s="26" t="s">
        <v>982</v>
      </c>
      <c r="E32" s="44" t="s">
        <v>760</v>
      </c>
      <c r="F32" s="26">
        <f t="shared" si="0"/>
        <v>0</v>
      </c>
      <c r="M32" s="14">
        <v>120</v>
      </c>
      <c r="N32" s="14">
        <f t="shared" si="1"/>
        <v>0</v>
      </c>
    </row>
    <row r="33" spans="1:18">
      <c r="A33" s="28" t="s">
        <v>876</v>
      </c>
      <c r="B33" s="28" t="s">
        <v>764</v>
      </c>
      <c r="C33" s="26"/>
      <c r="D33" s="26" t="s">
        <v>498</v>
      </c>
      <c r="E33" s="27"/>
      <c r="F33" s="26">
        <f t="shared" si="0"/>
        <v>0</v>
      </c>
      <c r="G33" s="32"/>
      <c r="H33" s="32"/>
      <c r="I33" s="32"/>
      <c r="J33" s="32"/>
      <c r="K33" s="32"/>
      <c r="L33" s="32"/>
      <c r="M33" s="34">
        <v>212</v>
      </c>
      <c r="N33" s="14">
        <f t="shared" si="1"/>
        <v>0</v>
      </c>
      <c r="O33" s="26"/>
      <c r="P33" s="26"/>
      <c r="Q33" s="26"/>
      <c r="R33" s="26"/>
    </row>
    <row r="34" spans="1:18">
      <c r="A34" s="28" t="s">
        <v>876</v>
      </c>
      <c r="B34" s="28" t="s">
        <v>764</v>
      </c>
      <c r="C34" s="26"/>
      <c r="D34" s="26" t="s">
        <v>823</v>
      </c>
      <c r="E34" s="27" t="s">
        <v>760</v>
      </c>
      <c r="F34" s="26">
        <f t="shared" si="0"/>
        <v>2</v>
      </c>
      <c r="G34" s="29"/>
      <c r="H34" s="29"/>
      <c r="I34" s="29"/>
      <c r="J34" s="29"/>
      <c r="K34" s="29"/>
      <c r="L34" s="29">
        <v>2</v>
      </c>
      <c r="M34" s="34"/>
      <c r="N34" s="14">
        <f t="shared" si="1"/>
        <v>0</v>
      </c>
      <c r="O34" s="26"/>
      <c r="P34" s="26"/>
      <c r="Q34" s="26"/>
      <c r="R34" s="26"/>
    </row>
    <row r="35" spans="1:18">
      <c r="A35" s="28" t="s">
        <v>876</v>
      </c>
      <c r="B35" t="s">
        <v>764</v>
      </c>
      <c r="D35" s="26" t="s">
        <v>980</v>
      </c>
      <c r="E35" s="44" t="s">
        <v>760</v>
      </c>
      <c r="F35" s="26">
        <f t="shared" si="0"/>
        <v>0</v>
      </c>
      <c r="M35" s="14">
        <v>210</v>
      </c>
      <c r="N35" s="14">
        <f t="shared" si="1"/>
        <v>0</v>
      </c>
    </row>
    <row r="36" spans="1:18">
      <c r="A36" s="28" t="s">
        <v>876</v>
      </c>
      <c r="B36" s="28" t="s">
        <v>764</v>
      </c>
      <c r="C36" s="26"/>
      <c r="D36" s="26" t="s">
        <v>824</v>
      </c>
      <c r="E36" s="27" t="s">
        <v>760</v>
      </c>
      <c r="F36" s="26">
        <f t="shared" si="0"/>
        <v>2</v>
      </c>
      <c r="G36" s="29"/>
      <c r="H36" s="29"/>
      <c r="I36" s="29"/>
      <c r="J36" s="29"/>
      <c r="K36" s="29"/>
      <c r="L36" s="29">
        <v>2</v>
      </c>
      <c r="M36" s="34"/>
      <c r="N36" s="14">
        <f t="shared" si="1"/>
        <v>0</v>
      </c>
      <c r="O36" s="26"/>
      <c r="P36" s="26"/>
      <c r="Q36" s="26"/>
      <c r="R36" s="26"/>
    </row>
    <row r="37" spans="1:18">
      <c r="A37" s="28" t="s">
        <v>876</v>
      </c>
      <c r="B37" s="28" t="s">
        <v>764</v>
      </c>
      <c r="C37" s="26" t="s">
        <v>565</v>
      </c>
      <c r="D37" s="26" t="s">
        <v>566</v>
      </c>
      <c r="E37" s="27"/>
      <c r="F37" s="26">
        <f t="shared" si="0"/>
        <v>0</v>
      </c>
      <c r="G37" s="32"/>
      <c r="H37" s="32"/>
      <c r="I37" s="32"/>
      <c r="J37" s="32"/>
      <c r="K37" s="32"/>
      <c r="L37" s="32"/>
      <c r="M37" s="34">
        <v>240</v>
      </c>
      <c r="N37" s="14">
        <f t="shared" si="1"/>
        <v>0</v>
      </c>
      <c r="O37" s="26"/>
      <c r="P37" s="26"/>
      <c r="Q37" s="26"/>
      <c r="R37" s="26"/>
    </row>
    <row r="38" spans="1:18">
      <c r="A38" s="28" t="s">
        <v>876</v>
      </c>
      <c r="B38" s="28" t="s">
        <v>764</v>
      </c>
      <c r="C38" s="26" t="s">
        <v>455</v>
      </c>
      <c r="D38" s="26" t="s">
        <v>457</v>
      </c>
      <c r="E38" s="27"/>
      <c r="F38" s="26">
        <f t="shared" si="0"/>
        <v>0</v>
      </c>
      <c r="G38" s="32"/>
      <c r="H38" s="32"/>
      <c r="I38" s="32"/>
      <c r="J38" s="32"/>
      <c r="K38" s="32"/>
      <c r="L38" s="32"/>
      <c r="M38" s="34">
        <v>102</v>
      </c>
      <c r="N38" s="14">
        <f t="shared" si="1"/>
        <v>0</v>
      </c>
      <c r="O38" s="26"/>
      <c r="P38" s="26"/>
      <c r="Q38" s="26"/>
      <c r="R38" s="26"/>
    </row>
    <row r="39" spans="1:18">
      <c r="A39" s="28" t="s">
        <v>876</v>
      </c>
      <c r="B39" s="26" t="s">
        <v>764</v>
      </c>
      <c r="C39" s="26"/>
      <c r="D39" s="26" t="s">
        <v>821</v>
      </c>
      <c r="E39" s="27" t="s">
        <v>760</v>
      </c>
      <c r="F39" s="26">
        <f t="shared" si="0"/>
        <v>5</v>
      </c>
      <c r="G39" s="29"/>
      <c r="H39" s="29"/>
      <c r="I39" s="29"/>
      <c r="J39" s="29"/>
      <c r="K39" s="29"/>
      <c r="L39" s="29">
        <v>5</v>
      </c>
      <c r="M39" s="34"/>
      <c r="N39" s="14">
        <f t="shared" si="1"/>
        <v>0</v>
      </c>
      <c r="O39" s="26"/>
      <c r="P39" s="26"/>
      <c r="Q39" s="26"/>
      <c r="R39" s="26"/>
    </row>
    <row r="40" spans="1:18">
      <c r="A40" s="28" t="s">
        <v>876</v>
      </c>
      <c r="B40" s="26" t="s">
        <v>764</v>
      </c>
      <c r="C40" s="26"/>
      <c r="D40" s="26" t="s">
        <v>822</v>
      </c>
      <c r="E40" s="27" t="s">
        <v>760</v>
      </c>
      <c r="F40" s="26">
        <f t="shared" si="0"/>
        <v>5</v>
      </c>
      <c r="G40" s="29"/>
      <c r="H40" s="29"/>
      <c r="I40" s="29"/>
      <c r="J40" s="29"/>
      <c r="K40" s="29"/>
      <c r="L40" s="29">
        <v>5</v>
      </c>
      <c r="M40" s="34"/>
      <c r="N40" s="14">
        <f t="shared" si="1"/>
        <v>0</v>
      </c>
      <c r="O40" s="26"/>
      <c r="P40" s="26"/>
      <c r="Q40" s="26"/>
      <c r="R40" s="26"/>
    </row>
    <row r="41" spans="1:18">
      <c r="A41" s="28" t="s">
        <v>876</v>
      </c>
      <c r="B41" s="28" t="s">
        <v>764</v>
      </c>
      <c r="C41" s="26"/>
      <c r="D41" s="26" t="s">
        <v>804</v>
      </c>
      <c r="E41" s="27">
        <v>43860</v>
      </c>
      <c r="F41" s="26">
        <f t="shared" si="0"/>
        <v>2</v>
      </c>
      <c r="G41" s="29"/>
      <c r="H41" s="29"/>
      <c r="I41" s="29"/>
      <c r="J41" s="29"/>
      <c r="K41" s="29"/>
      <c r="L41" s="29">
        <v>2</v>
      </c>
      <c r="M41" s="34"/>
      <c r="N41" s="14">
        <f t="shared" si="1"/>
        <v>0</v>
      </c>
      <c r="O41" s="26"/>
      <c r="P41" s="26"/>
      <c r="Q41" s="26"/>
      <c r="R41" s="26"/>
    </row>
    <row r="42" spans="1:18">
      <c r="A42" s="28" t="s">
        <v>876</v>
      </c>
      <c r="B42" s="26" t="s">
        <v>832</v>
      </c>
      <c r="C42" s="26"/>
      <c r="D42" s="26" t="s">
        <v>761</v>
      </c>
      <c r="E42" s="27" t="s">
        <v>760</v>
      </c>
      <c r="F42" s="26">
        <f t="shared" si="0"/>
        <v>100</v>
      </c>
      <c r="G42" s="29"/>
      <c r="H42" s="29">
        <v>1</v>
      </c>
      <c r="I42" s="29"/>
      <c r="J42" s="29"/>
      <c r="K42" s="29"/>
      <c r="L42" s="29"/>
      <c r="M42" s="34">
        <v>164</v>
      </c>
      <c r="N42" s="14">
        <f t="shared" si="1"/>
        <v>16400</v>
      </c>
      <c r="O42" s="26"/>
      <c r="P42" s="26"/>
      <c r="Q42" s="26"/>
      <c r="R42" s="26"/>
    </row>
    <row r="43" spans="1:18">
      <c r="A43" s="28" t="s">
        <v>876</v>
      </c>
      <c r="B43" t="s">
        <v>832</v>
      </c>
      <c r="D43" s="26" t="s">
        <v>959</v>
      </c>
      <c r="E43" s="44" t="s">
        <v>960</v>
      </c>
      <c r="F43" s="26">
        <f t="shared" si="0"/>
        <v>50</v>
      </c>
      <c r="I43" s="45">
        <v>1</v>
      </c>
      <c r="M43" s="14">
        <v>145</v>
      </c>
      <c r="N43" s="14">
        <f t="shared" si="1"/>
        <v>7250</v>
      </c>
    </row>
    <row r="44" spans="1:18">
      <c r="A44" s="28" t="s">
        <v>876</v>
      </c>
      <c r="B44" s="28" t="s">
        <v>832</v>
      </c>
      <c r="C44" s="26"/>
      <c r="D44" s="26" t="s">
        <v>830</v>
      </c>
      <c r="E44" s="27" t="s">
        <v>831</v>
      </c>
      <c r="F44" s="26">
        <f t="shared" si="0"/>
        <v>10</v>
      </c>
      <c r="G44" s="29"/>
      <c r="H44" s="29"/>
      <c r="I44" s="29"/>
      <c r="J44" s="29"/>
      <c r="K44" s="29"/>
      <c r="L44" s="29">
        <v>10</v>
      </c>
      <c r="M44" s="34">
        <v>492.7</v>
      </c>
      <c r="N44" s="14">
        <f t="shared" si="1"/>
        <v>4927</v>
      </c>
      <c r="O44" s="26"/>
      <c r="P44" s="26"/>
      <c r="Q44" s="26"/>
      <c r="R44" s="26"/>
    </row>
    <row r="45" spans="1:18">
      <c r="A45" s="28" t="s">
        <v>876</v>
      </c>
      <c r="B45" s="28" t="s">
        <v>832</v>
      </c>
      <c r="C45" s="26"/>
      <c r="D45" s="26" t="s">
        <v>826</v>
      </c>
      <c r="E45" s="27" t="s">
        <v>760</v>
      </c>
      <c r="F45" s="26">
        <f t="shared" si="0"/>
        <v>5</v>
      </c>
      <c r="G45" s="29"/>
      <c r="H45" s="29"/>
      <c r="I45" s="29"/>
      <c r="J45" s="29"/>
      <c r="K45" s="29"/>
      <c r="L45" s="29">
        <v>5</v>
      </c>
      <c r="M45" s="34">
        <v>248</v>
      </c>
      <c r="N45" s="14">
        <f t="shared" si="1"/>
        <v>1240</v>
      </c>
      <c r="O45" s="26"/>
      <c r="P45" s="26"/>
      <c r="Q45" s="26"/>
      <c r="R45" s="26"/>
    </row>
    <row r="46" spans="1:18">
      <c r="A46" s="28" t="s">
        <v>876</v>
      </c>
      <c r="B46" s="28" t="s">
        <v>832</v>
      </c>
      <c r="C46" s="26"/>
      <c r="D46" s="26" t="s">
        <v>496</v>
      </c>
      <c r="E46" s="27" t="s">
        <v>1111</v>
      </c>
      <c r="F46" s="26">
        <f t="shared" si="0"/>
        <v>5</v>
      </c>
      <c r="G46" s="32"/>
      <c r="H46" s="32"/>
      <c r="I46" s="32"/>
      <c r="J46" s="32"/>
      <c r="K46" s="32"/>
      <c r="L46" s="32">
        <v>5</v>
      </c>
      <c r="M46" s="34">
        <v>185</v>
      </c>
      <c r="N46" s="14">
        <f t="shared" si="1"/>
        <v>925</v>
      </c>
      <c r="O46" s="26"/>
      <c r="P46" s="26"/>
      <c r="Q46" s="26"/>
      <c r="R46" s="26"/>
    </row>
    <row r="47" spans="1:18">
      <c r="A47" s="28" t="s">
        <v>876</v>
      </c>
      <c r="B47" s="28" t="s">
        <v>832</v>
      </c>
      <c r="C47" s="26"/>
      <c r="D47" s="26" t="s">
        <v>808</v>
      </c>
      <c r="E47" s="27" t="s">
        <v>809</v>
      </c>
      <c r="F47" s="26">
        <f t="shared" si="0"/>
        <v>24</v>
      </c>
      <c r="G47" s="29"/>
      <c r="H47" s="29"/>
      <c r="I47" s="29"/>
      <c r="J47" s="29"/>
      <c r="K47" s="29">
        <v>2</v>
      </c>
      <c r="L47" s="29">
        <v>4</v>
      </c>
      <c r="M47" s="34">
        <v>85</v>
      </c>
      <c r="N47" s="14">
        <f t="shared" si="1"/>
        <v>2040</v>
      </c>
      <c r="O47" s="26"/>
      <c r="P47" s="26"/>
      <c r="Q47" s="26"/>
      <c r="R47" s="26"/>
    </row>
    <row r="48" spans="1:18">
      <c r="A48" s="28" t="s">
        <v>876</v>
      </c>
      <c r="B48" s="28" t="s">
        <v>832</v>
      </c>
      <c r="C48" s="26"/>
      <c r="D48" s="26" t="s">
        <v>497</v>
      </c>
      <c r="E48" s="27"/>
      <c r="F48" s="26">
        <f t="shared" si="0"/>
        <v>0</v>
      </c>
      <c r="G48" s="32"/>
      <c r="H48" s="32"/>
      <c r="I48" s="32"/>
      <c r="J48" s="32"/>
      <c r="K48" s="32"/>
      <c r="L48" s="32"/>
      <c r="M48" s="34">
        <v>185</v>
      </c>
      <c r="N48" s="14">
        <f t="shared" si="1"/>
        <v>0</v>
      </c>
      <c r="O48" s="26"/>
      <c r="P48" s="26"/>
      <c r="Q48" s="26"/>
      <c r="R48" s="26"/>
    </row>
    <row r="49" spans="1:18">
      <c r="A49" s="28" t="s">
        <v>876</v>
      </c>
      <c r="B49" s="28" t="s">
        <v>832</v>
      </c>
      <c r="C49" s="26"/>
      <c r="D49" s="26" t="s">
        <v>818</v>
      </c>
      <c r="E49" s="27" t="s">
        <v>760</v>
      </c>
      <c r="F49" s="26">
        <f t="shared" si="0"/>
        <v>10</v>
      </c>
      <c r="G49" s="29"/>
      <c r="H49" s="29"/>
      <c r="I49" s="29"/>
      <c r="J49" s="29"/>
      <c r="K49" s="29">
        <v>1</v>
      </c>
      <c r="L49" s="29"/>
      <c r="M49" s="34"/>
      <c r="N49" s="14">
        <f t="shared" si="1"/>
        <v>0</v>
      </c>
      <c r="O49" s="26"/>
      <c r="P49" s="26"/>
      <c r="Q49" s="26"/>
      <c r="R49" s="26"/>
    </row>
    <row r="50" spans="1:18">
      <c r="A50" s="28" t="s">
        <v>876</v>
      </c>
      <c r="B50" s="26" t="s">
        <v>832</v>
      </c>
      <c r="C50" s="26"/>
      <c r="D50" s="26" t="s">
        <v>759</v>
      </c>
      <c r="E50" s="27" t="s">
        <v>760</v>
      </c>
      <c r="F50" s="26">
        <f t="shared" si="0"/>
        <v>478</v>
      </c>
      <c r="G50" s="29"/>
      <c r="H50" s="29">
        <v>4.76</v>
      </c>
      <c r="I50" s="29"/>
      <c r="J50" s="29"/>
      <c r="K50" s="29"/>
      <c r="L50" s="29">
        <v>2</v>
      </c>
      <c r="M50" s="34"/>
      <c r="N50" s="14">
        <f t="shared" si="1"/>
        <v>0</v>
      </c>
      <c r="O50" s="26"/>
      <c r="P50" s="26"/>
      <c r="Q50" s="26"/>
      <c r="R50" s="26"/>
    </row>
    <row r="51" spans="1:18">
      <c r="A51" s="28" t="s">
        <v>876</v>
      </c>
      <c r="B51" s="28" t="s">
        <v>832</v>
      </c>
      <c r="C51" s="26"/>
      <c r="D51" s="26" t="s">
        <v>1282</v>
      </c>
      <c r="E51" s="27" t="s">
        <v>760</v>
      </c>
      <c r="F51" s="26">
        <f t="shared" si="0"/>
        <v>2</v>
      </c>
      <c r="G51" s="32"/>
      <c r="H51" s="32"/>
      <c r="I51" s="32"/>
      <c r="J51" s="32"/>
      <c r="K51" s="32"/>
      <c r="L51" s="32">
        <v>2</v>
      </c>
      <c r="M51" s="34"/>
      <c r="N51" s="14">
        <f t="shared" si="1"/>
        <v>0</v>
      </c>
      <c r="O51" s="26"/>
      <c r="P51" s="26"/>
      <c r="Q51" s="26"/>
      <c r="R51" s="26"/>
    </row>
    <row r="52" spans="1:18">
      <c r="A52" s="28" t="s">
        <v>876</v>
      </c>
      <c r="B52" s="28" t="s">
        <v>832</v>
      </c>
      <c r="C52" s="26" t="s">
        <v>808</v>
      </c>
      <c r="D52" s="27" t="s">
        <v>1308</v>
      </c>
      <c r="E52" s="26" t="s">
        <v>760</v>
      </c>
      <c r="F52" s="26">
        <f t="shared" si="0"/>
        <v>3</v>
      </c>
      <c r="G52" s="29"/>
      <c r="H52" s="29"/>
      <c r="I52" s="29"/>
      <c r="J52" s="29"/>
      <c r="K52" s="29"/>
      <c r="L52" s="46">
        <v>3</v>
      </c>
      <c r="M52" s="14"/>
      <c r="N52" s="14">
        <f t="shared" si="1"/>
        <v>0</v>
      </c>
      <c r="O52" s="26"/>
      <c r="P52" s="26"/>
      <c r="Q52" s="26"/>
    </row>
    <row r="53" spans="1:18">
      <c r="A53" s="28" t="s">
        <v>876</v>
      </c>
      <c r="B53" s="28" t="s">
        <v>1112</v>
      </c>
      <c r="D53" s="26" t="s">
        <v>1116</v>
      </c>
      <c r="E53" s="44" t="s">
        <v>812</v>
      </c>
      <c r="F53" s="26">
        <f t="shared" si="0"/>
        <v>100</v>
      </c>
      <c r="I53" s="45">
        <v>2</v>
      </c>
      <c r="M53" s="13">
        <v>350</v>
      </c>
      <c r="N53" s="14">
        <f t="shared" si="1"/>
        <v>35000</v>
      </c>
    </row>
    <row r="54" spans="1:18">
      <c r="A54" s="28" t="s">
        <v>876</v>
      </c>
      <c r="B54" s="28" t="s">
        <v>1112</v>
      </c>
      <c r="C54" s="26" t="s">
        <v>309</v>
      </c>
      <c r="D54" s="26" t="s">
        <v>1113</v>
      </c>
      <c r="E54" s="27" t="s">
        <v>812</v>
      </c>
      <c r="F54" s="26">
        <f t="shared" si="0"/>
        <v>50</v>
      </c>
      <c r="G54" s="32"/>
      <c r="H54" s="32"/>
      <c r="I54" s="32">
        <v>1</v>
      </c>
      <c r="J54" s="32"/>
      <c r="K54" s="32"/>
      <c r="L54" s="32"/>
      <c r="M54" s="34">
        <v>455</v>
      </c>
      <c r="N54" s="14">
        <f t="shared" si="1"/>
        <v>22750</v>
      </c>
      <c r="O54" s="26"/>
      <c r="P54" s="26"/>
      <c r="Q54" s="26"/>
      <c r="R54" s="26"/>
    </row>
    <row r="55" spans="1:18">
      <c r="A55" s="28" t="s">
        <v>876</v>
      </c>
      <c r="B55" s="28" t="s">
        <v>1112</v>
      </c>
      <c r="C55" s="26"/>
      <c r="D55" s="26" t="s">
        <v>1078</v>
      </c>
      <c r="E55" s="47" t="s">
        <v>868</v>
      </c>
      <c r="F55" s="26">
        <f t="shared" si="0"/>
        <v>30</v>
      </c>
      <c r="G55" s="29"/>
      <c r="H55" s="29"/>
      <c r="I55" s="29"/>
      <c r="J55" s="29">
        <v>1.5</v>
      </c>
      <c r="K55" s="29"/>
      <c r="L55" s="29"/>
      <c r="M55" s="34">
        <v>350</v>
      </c>
      <c r="N55" s="14">
        <f t="shared" si="1"/>
        <v>10500</v>
      </c>
      <c r="O55" s="26"/>
      <c r="P55" s="26"/>
      <c r="Q55" s="26"/>
      <c r="R55" s="26"/>
    </row>
    <row r="56" spans="1:18">
      <c r="A56" s="28" t="s">
        <v>876</v>
      </c>
      <c r="B56" s="28" t="s">
        <v>1112</v>
      </c>
      <c r="C56" s="26"/>
      <c r="D56" s="26" t="s">
        <v>1079</v>
      </c>
      <c r="E56" s="27" t="s">
        <v>760</v>
      </c>
      <c r="F56" s="26">
        <f t="shared" si="0"/>
        <v>10</v>
      </c>
      <c r="G56" s="29"/>
      <c r="H56" s="29"/>
      <c r="I56" s="29"/>
      <c r="J56" s="29"/>
      <c r="K56" s="29">
        <v>1</v>
      </c>
      <c r="L56" s="29"/>
      <c r="M56" s="34">
        <v>420</v>
      </c>
      <c r="N56" s="14">
        <f t="shared" si="1"/>
        <v>4200</v>
      </c>
      <c r="O56" s="26"/>
      <c r="P56" s="26"/>
      <c r="Q56" s="26"/>
      <c r="R56" s="26"/>
    </row>
    <row r="57" spans="1:18">
      <c r="A57" s="28" t="s">
        <v>876</v>
      </c>
      <c r="B57" s="28" t="s">
        <v>1112</v>
      </c>
      <c r="C57" s="26" t="s">
        <v>309</v>
      </c>
      <c r="D57" s="26" t="s">
        <v>1078</v>
      </c>
      <c r="E57" s="27" t="s">
        <v>868</v>
      </c>
      <c r="F57" s="26">
        <f t="shared" si="0"/>
        <v>16</v>
      </c>
      <c r="G57" s="32"/>
      <c r="H57" s="32"/>
      <c r="I57" s="32"/>
      <c r="J57" s="32"/>
      <c r="K57" s="32">
        <v>1</v>
      </c>
      <c r="L57" s="32">
        <v>6</v>
      </c>
      <c r="M57" s="34">
        <v>200</v>
      </c>
      <c r="N57" s="14">
        <f t="shared" si="1"/>
        <v>3200</v>
      </c>
      <c r="O57" s="26"/>
      <c r="P57" s="26"/>
      <c r="Q57" s="26"/>
      <c r="R57" s="26"/>
    </row>
    <row r="58" spans="1:18">
      <c r="A58" s="28" t="s">
        <v>876</v>
      </c>
      <c r="B58" s="28" t="s">
        <v>1112</v>
      </c>
      <c r="C58" s="26"/>
      <c r="D58" s="26" t="s">
        <v>1080</v>
      </c>
      <c r="E58" s="27" t="s">
        <v>760</v>
      </c>
      <c r="F58" s="26">
        <f t="shared" si="0"/>
        <v>5</v>
      </c>
      <c r="G58" s="29"/>
      <c r="H58" s="29"/>
      <c r="I58" s="29"/>
      <c r="J58" s="29"/>
      <c r="K58" s="29"/>
      <c r="L58" s="29">
        <v>5</v>
      </c>
      <c r="M58" s="34">
        <v>420</v>
      </c>
      <c r="N58" s="14">
        <f t="shared" si="1"/>
        <v>2100</v>
      </c>
      <c r="O58" s="26"/>
      <c r="P58" s="26"/>
      <c r="Q58" s="26"/>
      <c r="R58" s="26"/>
    </row>
    <row r="59" spans="1:18">
      <c r="A59" s="28" t="s">
        <v>876</v>
      </c>
      <c r="B59" s="28" t="s">
        <v>1112</v>
      </c>
      <c r="D59" s="26" t="s">
        <v>1114</v>
      </c>
      <c r="E59" s="44" t="s">
        <v>1115</v>
      </c>
      <c r="F59" s="26">
        <f t="shared" si="0"/>
        <v>0.5</v>
      </c>
      <c r="L59" s="45">
        <v>0.5</v>
      </c>
      <c r="M59" s="13">
        <v>0</v>
      </c>
      <c r="N59" s="14">
        <f t="shared" si="1"/>
        <v>0</v>
      </c>
    </row>
    <row r="60" spans="1:18">
      <c r="A60" s="28" t="s">
        <v>876</v>
      </c>
      <c r="B60" s="28" t="s">
        <v>767</v>
      </c>
      <c r="C60" s="26" t="s">
        <v>571</v>
      </c>
      <c r="D60" s="26" t="s">
        <v>575</v>
      </c>
      <c r="E60" s="27" t="s">
        <v>791</v>
      </c>
      <c r="F60" s="26">
        <f t="shared" si="0"/>
        <v>120</v>
      </c>
      <c r="G60" s="32"/>
      <c r="H60" s="32">
        <v>1</v>
      </c>
      <c r="I60" s="32"/>
      <c r="J60" s="32">
        <v>1</v>
      </c>
      <c r="K60" s="32"/>
      <c r="L60" s="32"/>
      <c r="M60" s="34">
        <v>36</v>
      </c>
      <c r="N60" s="14">
        <f t="shared" si="1"/>
        <v>4320</v>
      </c>
      <c r="O60" s="26"/>
      <c r="P60" s="26"/>
      <c r="Q60" s="26"/>
      <c r="R60" s="26"/>
    </row>
    <row r="61" spans="1:18">
      <c r="A61" s="28" t="s">
        <v>876</v>
      </c>
      <c r="B61" s="28" t="s">
        <v>767</v>
      </c>
      <c r="C61" s="26" t="s">
        <v>570</v>
      </c>
      <c r="D61" s="26" t="s">
        <v>574</v>
      </c>
      <c r="E61" s="27" t="s">
        <v>790</v>
      </c>
      <c r="F61" s="26">
        <f t="shared" si="0"/>
        <v>120</v>
      </c>
      <c r="G61" s="32"/>
      <c r="H61" s="32">
        <v>1</v>
      </c>
      <c r="I61" s="32"/>
      <c r="J61" s="32">
        <v>1</v>
      </c>
      <c r="K61" s="32"/>
      <c r="L61" s="32"/>
      <c r="M61" s="34">
        <v>36</v>
      </c>
      <c r="N61" s="14">
        <f t="shared" si="1"/>
        <v>4320</v>
      </c>
      <c r="O61" s="26"/>
      <c r="P61" s="26"/>
      <c r="Q61" s="26"/>
      <c r="R61" s="26"/>
    </row>
    <row r="62" spans="1:18">
      <c r="A62" s="28" t="s">
        <v>876</v>
      </c>
      <c r="B62" s="28" t="s">
        <v>767</v>
      </c>
      <c r="C62" s="26" t="s">
        <v>572</v>
      </c>
      <c r="D62" s="26" t="s">
        <v>576</v>
      </c>
      <c r="E62" s="27" t="s">
        <v>792</v>
      </c>
      <c r="F62" s="26">
        <f t="shared" si="0"/>
        <v>120</v>
      </c>
      <c r="G62" s="32"/>
      <c r="H62" s="32">
        <v>1</v>
      </c>
      <c r="I62" s="32"/>
      <c r="J62" s="32">
        <v>1</v>
      </c>
      <c r="K62" s="32"/>
      <c r="L62" s="32"/>
      <c r="M62" s="34">
        <v>36</v>
      </c>
      <c r="N62" s="14">
        <f t="shared" si="1"/>
        <v>4320</v>
      </c>
      <c r="O62" s="26"/>
      <c r="P62" s="26"/>
      <c r="Q62" s="26"/>
      <c r="R62" s="26"/>
    </row>
    <row r="63" spans="1:18">
      <c r="A63" s="28" t="s">
        <v>876</v>
      </c>
      <c r="B63" s="28" t="s">
        <v>767</v>
      </c>
      <c r="C63" s="26" t="s">
        <v>569</v>
      </c>
      <c r="D63" s="26" t="s">
        <v>573</v>
      </c>
      <c r="E63" s="27"/>
      <c r="F63" s="26">
        <f t="shared" si="0"/>
        <v>100</v>
      </c>
      <c r="G63" s="32"/>
      <c r="H63" s="32">
        <v>1</v>
      </c>
      <c r="I63" s="32"/>
      <c r="J63" s="32"/>
      <c r="K63" s="32"/>
      <c r="L63" s="32"/>
      <c r="M63" s="34">
        <v>36</v>
      </c>
      <c r="N63" s="14">
        <f t="shared" si="1"/>
        <v>3600</v>
      </c>
      <c r="O63" s="26"/>
      <c r="P63" s="26"/>
      <c r="Q63" s="26"/>
      <c r="R63" s="26"/>
    </row>
    <row r="64" spans="1:18">
      <c r="A64" s="28" t="s">
        <v>876</v>
      </c>
      <c r="B64" s="26" t="s">
        <v>767</v>
      </c>
      <c r="C64" s="26" t="s">
        <v>768</v>
      </c>
      <c r="D64" s="26" t="s">
        <v>772</v>
      </c>
      <c r="E64" s="27" t="s">
        <v>777</v>
      </c>
      <c r="F64" s="26">
        <f t="shared" si="0"/>
        <v>100</v>
      </c>
      <c r="G64" s="29"/>
      <c r="H64" s="29">
        <v>1</v>
      </c>
      <c r="I64" s="29"/>
      <c r="J64" s="29"/>
      <c r="K64" s="29"/>
      <c r="L64" s="29"/>
      <c r="M64" s="34">
        <v>24</v>
      </c>
      <c r="N64" s="14">
        <f t="shared" si="1"/>
        <v>2400</v>
      </c>
      <c r="O64" s="26"/>
      <c r="P64" s="26"/>
      <c r="Q64" s="26"/>
      <c r="R64" s="26"/>
    </row>
    <row r="65" spans="1:18">
      <c r="A65" s="28" t="s">
        <v>876</v>
      </c>
      <c r="B65" s="26" t="s">
        <v>767</v>
      </c>
      <c r="C65" s="26" t="s">
        <v>769</v>
      </c>
      <c r="D65" s="26" t="s">
        <v>773</v>
      </c>
      <c r="E65" s="27" t="s">
        <v>776</v>
      </c>
      <c r="F65" s="26">
        <f t="shared" si="0"/>
        <v>100</v>
      </c>
      <c r="G65" s="29"/>
      <c r="H65" s="29">
        <v>1</v>
      </c>
      <c r="I65" s="29"/>
      <c r="J65" s="29"/>
      <c r="K65" s="29"/>
      <c r="L65" s="29"/>
      <c r="M65" s="34">
        <v>24</v>
      </c>
      <c r="N65" s="14">
        <f t="shared" si="1"/>
        <v>2400</v>
      </c>
      <c r="O65" s="26"/>
      <c r="P65" s="26"/>
      <c r="Q65" s="26"/>
      <c r="R65" s="26"/>
    </row>
    <row r="66" spans="1:18">
      <c r="A66" t="s">
        <v>876</v>
      </c>
      <c r="B66" t="s">
        <v>767</v>
      </c>
      <c r="D66" t="s">
        <v>775</v>
      </c>
      <c r="E66" s="44" t="s">
        <v>760</v>
      </c>
      <c r="F66" s="26">
        <f t="shared" ref="F66:F129" si="2">+$G$1*G66+$H$1*H66+$I$1*I66+$J$1*J66+$K$1*K66+$L$1*L66</f>
        <v>100</v>
      </c>
      <c r="H66" s="45">
        <v>1</v>
      </c>
      <c r="M66" s="13">
        <v>22</v>
      </c>
      <c r="N66" s="14">
        <f t="shared" ref="N66:N129" si="3">+F66*M66</f>
        <v>2200</v>
      </c>
    </row>
    <row r="67" spans="1:18">
      <c r="A67" s="28" t="s">
        <v>876</v>
      </c>
      <c r="B67" s="26" t="s">
        <v>767</v>
      </c>
      <c r="C67" s="26" t="s">
        <v>771</v>
      </c>
      <c r="D67" s="26" t="s">
        <v>775</v>
      </c>
      <c r="E67" s="27" t="s">
        <v>778</v>
      </c>
      <c r="F67" s="26">
        <f t="shared" si="2"/>
        <v>90</v>
      </c>
      <c r="G67" s="29"/>
      <c r="H67" s="29">
        <v>0.9</v>
      </c>
      <c r="I67" s="29"/>
      <c r="J67" s="29"/>
      <c r="K67" s="29"/>
      <c r="L67" s="29"/>
      <c r="M67" s="34">
        <v>24</v>
      </c>
      <c r="N67" s="14">
        <f t="shared" si="3"/>
        <v>2160</v>
      </c>
      <c r="O67" s="26"/>
      <c r="P67" s="26"/>
      <c r="Q67" s="26"/>
      <c r="R67" s="26"/>
    </row>
    <row r="68" spans="1:18">
      <c r="A68" s="28" t="s">
        <v>876</v>
      </c>
      <c r="B68" s="28" t="s">
        <v>767</v>
      </c>
      <c r="C68" s="26" t="s">
        <v>519</v>
      </c>
      <c r="D68" s="26" t="s">
        <v>520</v>
      </c>
      <c r="E68" s="27" t="s">
        <v>789</v>
      </c>
      <c r="F68" s="26">
        <f t="shared" si="2"/>
        <v>20</v>
      </c>
      <c r="G68" s="32"/>
      <c r="H68" s="32"/>
      <c r="I68" s="32"/>
      <c r="J68" s="32">
        <v>1</v>
      </c>
      <c r="K68" s="32"/>
      <c r="L68" s="32"/>
      <c r="M68" s="34">
        <v>29</v>
      </c>
      <c r="N68" s="14">
        <f t="shared" si="3"/>
        <v>580</v>
      </c>
      <c r="O68" s="26"/>
      <c r="P68" s="26"/>
      <c r="Q68" s="26"/>
      <c r="R68" s="26"/>
    </row>
    <row r="69" spans="1:18">
      <c r="A69" s="28" t="s">
        <v>876</v>
      </c>
      <c r="B69" s="28" t="s">
        <v>767</v>
      </c>
      <c r="C69" s="26" t="s">
        <v>523</v>
      </c>
      <c r="D69" s="26" t="s">
        <v>524</v>
      </c>
      <c r="E69" s="27" t="s">
        <v>788</v>
      </c>
      <c r="F69" s="26">
        <f t="shared" si="2"/>
        <v>20</v>
      </c>
      <c r="G69" s="32"/>
      <c r="H69" s="32"/>
      <c r="I69" s="32"/>
      <c r="J69" s="32">
        <v>1</v>
      </c>
      <c r="K69" s="32"/>
      <c r="L69" s="32"/>
      <c r="M69" s="34">
        <v>29</v>
      </c>
      <c r="N69" s="14">
        <f t="shared" si="3"/>
        <v>580</v>
      </c>
      <c r="O69" s="26"/>
      <c r="P69" s="26"/>
      <c r="Q69" s="26"/>
      <c r="R69" s="26"/>
    </row>
    <row r="70" spans="1:18">
      <c r="A70" s="28" t="s">
        <v>876</v>
      </c>
      <c r="B70" s="28" t="s">
        <v>767</v>
      </c>
      <c r="C70" s="26" t="s">
        <v>521</v>
      </c>
      <c r="D70" s="26" t="s">
        <v>522</v>
      </c>
      <c r="E70" s="27" t="s">
        <v>787</v>
      </c>
      <c r="F70" s="26">
        <f t="shared" si="2"/>
        <v>20</v>
      </c>
      <c r="G70" s="32"/>
      <c r="H70" s="32"/>
      <c r="I70" s="32"/>
      <c r="J70" s="32">
        <v>1</v>
      </c>
      <c r="K70" s="32"/>
      <c r="L70" s="32"/>
      <c r="M70" s="34">
        <v>29</v>
      </c>
      <c r="N70" s="14">
        <f t="shared" si="3"/>
        <v>580</v>
      </c>
      <c r="O70" s="26"/>
      <c r="P70" s="26"/>
      <c r="Q70" s="26"/>
      <c r="R70" s="26"/>
    </row>
    <row r="71" spans="1:18">
      <c r="A71" s="28" t="s">
        <v>876</v>
      </c>
      <c r="B71" s="28" t="s">
        <v>767</v>
      </c>
      <c r="C71" s="26" t="s">
        <v>525</v>
      </c>
      <c r="D71" s="26" t="s">
        <v>526</v>
      </c>
      <c r="E71" s="27" t="s">
        <v>786</v>
      </c>
      <c r="F71" s="26">
        <f t="shared" si="2"/>
        <v>20</v>
      </c>
      <c r="G71" s="32"/>
      <c r="H71" s="32"/>
      <c r="I71" s="32"/>
      <c r="J71" s="32">
        <v>1</v>
      </c>
      <c r="K71" s="32"/>
      <c r="L71" s="32"/>
      <c r="M71" s="34">
        <v>29</v>
      </c>
      <c r="N71" s="14">
        <f t="shared" si="3"/>
        <v>580</v>
      </c>
      <c r="O71" s="26"/>
      <c r="P71" s="26"/>
      <c r="Q71" s="26"/>
      <c r="R71" s="26"/>
    </row>
    <row r="72" spans="1:18">
      <c r="A72" s="28" t="s">
        <v>876</v>
      </c>
      <c r="B72" s="28" t="s">
        <v>767</v>
      </c>
      <c r="C72" s="26"/>
      <c r="D72" s="26" t="s">
        <v>813</v>
      </c>
      <c r="E72" s="27" t="s">
        <v>760</v>
      </c>
      <c r="F72" s="26">
        <f t="shared" si="2"/>
        <v>5</v>
      </c>
      <c r="G72" s="29"/>
      <c r="H72" s="29"/>
      <c r="I72" s="29"/>
      <c r="J72" s="29"/>
      <c r="K72" s="29"/>
      <c r="L72" s="29">
        <v>5</v>
      </c>
      <c r="M72" s="34">
        <v>42</v>
      </c>
      <c r="N72" s="14">
        <f t="shared" si="3"/>
        <v>210</v>
      </c>
      <c r="O72" s="26"/>
      <c r="P72" s="26"/>
      <c r="Q72" s="26"/>
      <c r="R72" s="26"/>
    </row>
    <row r="73" spans="1:18">
      <c r="A73" s="28" t="s">
        <v>876</v>
      </c>
      <c r="B73" s="28" t="s">
        <v>767</v>
      </c>
      <c r="C73" s="26"/>
      <c r="D73" s="26" t="s">
        <v>814</v>
      </c>
      <c r="E73" s="27" t="s">
        <v>760</v>
      </c>
      <c r="F73" s="26">
        <f t="shared" si="2"/>
        <v>5</v>
      </c>
      <c r="G73" s="29"/>
      <c r="H73" s="29"/>
      <c r="I73" s="29"/>
      <c r="J73" s="29"/>
      <c r="K73" s="29"/>
      <c r="L73" s="29">
        <v>5</v>
      </c>
      <c r="M73" s="34">
        <v>42</v>
      </c>
      <c r="N73" s="14">
        <f t="shared" si="3"/>
        <v>210</v>
      </c>
      <c r="O73" s="26"/>
      <c r="P73" s="26"/>
      <c r="Q73" s="26"/>
      <c r="R73" s="26"/>
    </row>
    <row r="74" spans="1:18">
      <c r="A74" s="28" t="s">
        <v>876</v>
      </c>
      <c r="B74" s="28" t="s">
        <v>767</v>
      </c>
      <c r="C74" s="26"/>
      <c r="D74" s="26" t="s">
        <v>815</v>
      </c>
      <c r="E74" s="27" t="s">
        <v>760</v>
      </c>
      <c r="F74" s="26">
        <f t="shared" si="2"/>
        <v>5</v>
      </c>
      <c r="G74" s="29"/>
      <c r="H74" s="29"/>
      <c r="I74" s="29"/>
      <c r="J74" s="29"/>
      <c r="K74" s="29"/>
      <c r="L74" s="29">
        <v>5</v>
      </c>
      <c r="M74" s="34">
        <v>42</v>
      </c>
      <c r="N74" s="14">
        <f t="shared" si="3"/>
        <v>210</v>
      </c>
      <c r="O74" s="26"/>
      <c r="P74" s="26"/>
      <c r="Q74" s="26"/>
      <c r="R74" s="26"/>
    </row>
    <row r="75" spans="1:18">
      <c r="A75" s="28" t="s">
        <v>876</v>
      </c>
      <c r="B75" s="26" t="s">
        <v>767</v>
      </c>
      <c r="C75" s="26"/>
      <c r="D75" s="26" t="s">
        <v>816</v>
      </c>
      <c r="E75" s="27" t="s">
        <v>760</v>
      </c>
      <c r="F75" s="26">
        <f t="shared" si="2"/>
        <v>0</v>
      </c>
      <c r="G75" s="29"/>
      <c r="H75" s="29"/>
      <c r="I75" s="29"/>
      <c r="J75" s="29"/>
      <c r="K75" s="29"/>
      <c r="L75" s="29"/>
      <c r="M75" s="34">
        <v>42</v>
      </c>
      <c r="N75" s="14">
        <f t="shared" si="3"/>
        <v>0</v>
      </c>
      <c r="O75" s="26"/>
      <c r="P75" s="26"/>
      <c r="Q75" s="26"/>
      <c r="R75" s="26"/>
    </row>
    <row r="76" spans="1:18">
      <c r="A76" s="28" t="s">
        <v>876</v>
      </c>
      <c r="B76" s="26" t="s">
        <v>767</v>
      </c>
      <c r="C76" s="26" t="s">
        <v>770</v>
      </c>
      <c r="D76" s="26" t="s">
        <v>774</v>
      </c>
      <c r="E76" s="27" t="s">
        <v>979</v>
      </c>
      <c r="F76" s="26">
        <f t="shared" si="2"/>
        <v>0</v>
      </c>
      <c r="G76" s="29"/>
      <c r="H76" s="29"/>
      <c r="I76" s="29"/>
      <c r="J76" s="29"/>
      <c r="K76" s="29"/>
      <c r="L76" s="29"/>
      <c r="M76" s="34">
        <v>24</v>
      </c>
      <c r="N76" s="14">
        <f t="shared" si="3"/>
        <v>0</v>
      </c>
      <c r="O76" s="26"/>
      <c r="P76" s="26"/>
      <c r="Q76" s="26"/>
      <c r="R76" s="26"/>
    </row>
    <row r="77" spans="1:18">
      <c r="A77" s="28" t="s">
        <v>876</v>
      </c>
      <c r="B77" s="26" t="s">
        <v>833</v>
      </c>
      <c r="C77" s="26"/>
      <c r="D77" s="26" t="s">
        <v>1110</v>
      </c>
      <c r="E77" s="27" t="s">
        <v>760</v>
      </c>
      <c r="F77" s="26">
        <f t="shared" si="2"/>
        <v>16</v>
      </c>
      <c r="G77" s="29"/>
      <c r="H77" s="29"/>
      <c r="I77" s="29"/>
      <c r="J77" s="29"/>
      <c r="K77" s="29">
        <v>1.6</v>
      </c>
      <c r="L77" s="29"/>
      <c r="M77" s="34">
        <v>70</v>
      </c>
      <c r="N77" s="14">
        <f t="shared" si="3"/>
        <v>1120</v>
      </c>
      <c r="O77" s="26"/>
      <c r="P77" s="26"/>
      <c r="Q77" s="26"/>
      <c r="R77" s="26"/>
    </row>
    <row r="78" spans="1:18">
      <c r="A78" s="28" t="s">
        <v>876</v>
      </c>
      <c r="B78" s="28" t="s">
        <v>833</v>
      </c>
      <c r="C78" s="26"/>
      <c r="D78" s="26" t="s">
        <v>977</v>
      </c>
      <c r="E78" s="27" t="s">
        <v>760</v>
      </c>
      <c r="F78" s="26">
        <f t="shared" si="2"/>
        <v>10</v>
      </c>
      <c r="G78" s="32"/>
      <c r="H78" s="32"/>
      <c r="I78" s="32"/>
      <c r="J78" s="32"/>
      <c r="K78" s="32">
        <v>1</v>
      </c>
      <c r="L78" s="32"/>
      <c r="M78" s="34">
        <v>80</v>
      </c>
      <c r="N78" s="14">
        <f t="shared" si="3"/>
        <v>800</v>
      </c>
      <c r="O78" s="26"/>
      <c r="P78" s="26"/>
      <c r="Q78" s="26"/>
      <c r="R78" s="26"/>
    </row>
    <row r="79" spans="1:18">
      <c r="A79" s="28" t="s">
        <v>876</v>
      </c>
      <c r="B79" s="28" t="s">
        <v>833</v>
      </c>
      <c r="C79" s="26"/>
      <c r="D79" s="26" t="s">
        <v>976</v>
      </c>
      <c r="E79" s="27" t="s">
        <v>760</v>
      </c>
      <c r="F79" s="26">
        <f t="shared" si="2"/>
        <v>10</v>
      </c>
      <c r="G79" s="32"/>
      <c r="H79" s="32"/>
      <c r="I79" s="32"/>
      <c r="J79" s="32"/>
      <c r="K79" s="32">
        <v>1</v>
      </c>
      <c r="L79" s="32"/>
      <c r="M79" s="34">
        <v>80</v>
      </c>
      <c r="N79" s="14">
        <f t="shared" si="3"/>
        <v>800</v>
      </c>
      <c r="O79" s="26"/>
      <c r="P79" s="26"/>
      <c r="Q79" s="26"/>
      <c r="R79" s="26"/>
    </row>
    <row r="80" spans="1:18">
      <c r="A80" s="28" t="s">
        <v>876</v>
      </c>
      <c r="B80" s="28" t="s">
        <v>833</v>
      </c>
      <c r="C80" s="26"/>
      <c r="D80" s="26" t="s">
        <v>817</v>
      </c>
      <c r="E80" s="27" t="s">
        <v>760</v>
      </c>
      <c r="F80" s="26">
        <f t="shared" si="2"/>
        <v>10</v>
      </c>
      <c r="G80" s="29"/>
      <c r="H80" s="29"/>
      <c r="I80" s="29"/>
      <c r="J80" s="29"/>
      <c r="K80" s="29">
        <v>1</v>
      </c>
      <c r="L80" s="29"/>
      <c r="M80" s="34">
        <v>70</v>
      </c>
      <c r="N80" s="14">
        <f t="shared" si="3"/>
        <v>700</v>
      </c>
      <c r="O80" s="26"/>
      <c r="P80" s="26"/>
      <c r="Q80" s="26"/>
      <c r="R80" s="26"/>
    </row>
    <row r="81" spans="1:18">
      <c r="A81" s="28" t="s">
        <v>876</v>
      </c>
      <c r="B81" s="26" t="s">
        <v>833</v>
      </c>
      <c r="C81" s="26"/>
      <c r="D81" s="26" t="s">
        <v>1109</v>
      </c>
      <c r="E81" s="27" t="s">
        <v>760</v>
      </c>
      <c r="F81" s="26">
        <f t="shared" si="2"/>
        <v>10</v>
      </c>
      <c r="G81" s="29"/>
      <c r="H81" s="29"/>
      <c r="I81" s="29"/>
      <c r="J81" s="29"/>
      <c r="K81" s="29">
        <v>1</v>
      </c>
      <c r="L81" s="29"/>
      <c r="M81" s="34">
        <v>70</v>
      </c>
      <c r="N81" s="14">
        <f t="shared" si="3"/>
        <v>700</v>
      </c>
      <c r="O81" s="26"/>
      <c r="P81" s="26"/>
      <c r="Q81" s="26"/>
      <c r="R81" s="26"/>
    </row>
    <row r="82" spans="1:18">
      <c r="A82" s="28" t="s">
        <v>876</v>
      </c>
      <c r="B82" s="26" t="s">
        <v>833</v>
      </c>
      <c r="C82" s="26"/>
      <c r="D82" s="26" t="s">
        <v>784</v>
      </c>
      <c r="E82" s="27" t="s">
        <v>760</v>
      </c>
      <c r="F82" s="26">
        <f t="shared" si="2"/>
        <v>10</v>
      </c>
      <c r="G82" s="29"/>
      <c r="H82" s="29"/>
      <c r="I82" s="29"/>
      <c r="J82" s="29"/>
      <c r="K82" s="29">
        <v>1</v>
      </c>
      <c r="L82" s="29"/>
      <c r="M82" s="34">
        <v>70</v>
      </c>
      <c r="N82" s="14">
        <f t="shared" si="3"/>
        <v>700</v>
      </c>
      <c r="O82" s="26"/>
      <c r="P82" s="26"/>
      <c r="Q82" s="26"/>
      <c r="R82" s="26"/>
    </row>
    <row r="83" spans="1:18">
      <c r="A83" s="28" t="s">
        <v>876</v>
      </c>
      <c r="B83" s="28" t="s">
        <v>833</v>
      </c>
      <c r="C83" s="26" t="s">
        <v>468</v>
      </c>
      <c r="D83" s="26" t="s">
        <v>451</v>
      </c>
      <c r="E83" s="27" t="s">
        <v>797</v>
      </c>
      <c r="F83" s="26">
        <f t="shared" si="2"/>
        <v>20</v>
      </c>
      <c r="G83" s="32"/>
      <c r="H83" s="32"/>
      <c r="I83" s="32"/>
      <c r="J83" s="32">
        <v>1</v>
      </c>
      <c r="K83" s="32"/>
      <c r="L83" s="32"/>
      <c r="M83" s="34">
        <v>34</v>
      </c>
      <c r="N83" s="14">
        <f t="shared" si="3"/>
        <v>680</v>
      </c>
      <c r="O83" s="26"/>
      <c r="P83" s="26"/>
      <c r="Q83" s="26"/>
      <c r="R83" s="26"/>
    </row>
    <row r="84" spans="1:18">
      <c r="A84" s="28" t="s">
        <v>876</v>
      </c>
      <c r="B84" s="28" t="s">
        <v>833</v>
      </c>
      <c r="C84" s="26" t="s">
        <v>469</v>
      </c>
      <c r="D84" s="26" t="s">
        <v>452</v>
      </c>
      <c r="E84" s="27" t="s">
        <v>796</v>
      </c>
      <c r="F84" s="26">
        <f t="shared" si="2"/>
        <v>20</v>
      </c>
      <c r="G84" s="32"/>
      <c r="H84" s="32"/>
      <c r="I84" s="32"/>
      <c r="J84" s="32">
        <v>1</v>
      </c>
      <c r="K84" s="32"/>
      <c r="L84" s="32"/>
      <c r="M84" s="34">
        <v>34</v>
      </c>
      <c r="N84" s="14">
        <f t="shared" si="3"/>
        <v>680</v>
      </c>
      <c r="O84" s="26"/>
      <c r="P84" s="26"/>
      <c r="Q84" s="26"/>
      <c r="R84" s="26"/>
    </row>
    <row r="85" spans="1:18">
      <c r="A85" s="28" t="s">
        <v>876</v>
      </c>
      <c r="B85" s="28" t="s">
        <v>833</v>
      </c>
      <c r="C85" s="26" t="s">
        <v>450</v>
      </c>
      <c r="D85" s="26" t="s">
        <v>819</v>
      </c>
      <c r="E85" s="27" t="s">
        <v>795</v>
      </c>
      <c r="F85" s="26">
        <f t="shared" si="2"/>
        <v>20</v>
      </c>
      <c r="G85" s="32"/>
      <c r="H85" s="32"/>
      <c r="I85" s="32"/>
      <c r="J85" s="32">
        <v>1</v>
      </c>
      <c r="K85" s="32"/>
      <c r="L85" s="32"/>
      <c r="M85" s="34">
        <v>34</v>
      </c>
      <c r="N85" s="14">
        <f t="shared" si="3"/>
        <v>680</v>
      </c>
      <c r="O85" s="26"/>
      <c r="P85" s="26"/>
      <c r="Q85" s="26"/>
      <c r="R85" s="26"/>
    </row>
    <row r="86" spans="1:18">
      <c r="A86" s="28" t="s">
        <v>876</v>
      </c>
      <c r="B86" s="28" t="s">
        <v>833</v>
      </c>
      <c r="C86" s="26" t="s">
        <v>473</v>
      </c>
      <c r="D86" s="26" t="s">
        <v>464</v>
      </c>
      <c r="E86" s="27" t="s">
        <v>793</v>
      </c>
      <c r="F86" s="26">
        <f t="shared" si="2"/>
        <v>20</v>
      </c>
      <c r="G86" s="32"/>
      <c r="H86" s="32"/>
      <c r="I86" s="32"/>
      <c r="J86" s="32">
        <v>1</v>
      </c>
      <c r="K86" s="32"/>
      <c r="L86" s="32"/>
      <c r="M86" s="34">
        <v>34</v>
      </c>
      <c r="N86" s="14">
        <f t="shared" si="3"/>
        <v>680</v>
      </c>
      <c r="O86" s="26"/>
      <c r="P86" s="26"/>
      <c r="Q86" s="26"/>
      <c r="R86" s="26"/>
    </row>
    <row r="87" spans="1:18">
      <c r="A87" s="28" t="s">
        <v>876</v>
      </c>
      <c r="B87" s="28" t="s">
        <v>833</v>
      </c>
      <c r="C87" s="26" t="s">
        <v>462</v>
      </c>
      <c r="D87" s="26" t="s">
        <v>466</v>
      </c>
      <c r="E87" s="27" t="s">
        <v>794</v>
      </c>
      <c r="F87" s="26">
        <f t="shared" si="2"/>
        <v>20</v>
      </c>
      <c r="G87" s="32"/>
      <c r="H87" s="32"/>
      <c r="I87" s="32"/>
      <c r="J87" s="32">
        <v>1</v>
      </c>
      <c r="K87" s="32"/>
      <c r="L87" s="32"/>
      <c r="M87" s="34">
        <v>34</v>
      </c>
      <c r="N87" s="14">
        <f t="shared" si="3"/>
        <v>680</v>
      </c>
      <c r="O87" s="26"/>
      <c r="P87" s="26"/>
      <c r="Q87" s="26"/>
      <c r="R87" s="26"/>
    </row>
    <row r="88" spans="1:18">
      <c r="A88" t="s">
        <v>876</v>
      </c>
      <c r="B88" t="s">
        <v>833</v>
      </c>
      <c r="D88" t="s">
        <v>1235</v>
      </c>
      <c r="E88" s="44" t="s">
        <v>760</v>
      </c>
      <c r="F88" s="26">
        <f t="shared" si="2"/>
        <v>0</v>
      </c>
      <c r="M88" s="13">
        <v>220</v>
      </c>
      <c r="N88" s="14">
        <f t="shared" si="3"/>
        <v>0</v>
      </c>
    </row>
    <row r="89" spans="1:18">
      <c r="A89" s="28" t="s">
        <v>876</v>
      </c>
      <c r="B89" s="28" t="s">
        <v>833</v>
      </c>
      <c r="C89" s="26" t="s">
        <v>585</v>
      </c>
      <c r="D89" s="26" t="s">
        <v>589</v>
      </c>
      <c r="E89" s="27" t="s">
        <v>803</v>
      </c>
      <c r="F89" s="26">
        <f t="shared" si="2"/>
        <v>5</v>
      </c>
      <c r="G89" s="32"/>
      <c r="H89" s="32"/>
      <c r="I89" s="32"/>
      <c r="J89" s="32"/>
      <c r="K89" s="32">
        <v>0.5</v>
      </c>
      <c r="L89" s="32"/>
      <c r="M89" s="34">
        <v>65</v>
      </c>
      <c r="N89" s="14">
        <f t="shared" si="3"/>
        <v>325</v>
      </c>
      <c r="O89" s="26"/>
      <c r="P89" s="26"/>
      <c r="Q89" s="26"/>
      <c r="R89" s="26"/>
    </row>
    <row r="90" spans="1:18">
      <c r="A90" s="28" t="s">
        <v>876</v>
      </c>
      <c r="B90" s="28" t="s">
        <v>833</v>
      </c>
      <c r="C90" s="26" t="s">
        <v>588</v>
      </c>
      <c r="D90" s="26" t="s">
        <v>592</v>
      </c>
      <c r="E90" s="27" t="s">
        <v>802</v>
      </c>
      <c r="F90" s="26">
        <f t="shared" si="2"/>
        <v>5</v>
      </c>
      <c r="G90" s="32"/>
      <c r="H90" s="32"/>
      <c r="I90" s="32"/>
      <c r="J90" s="32"/>
      <c r="K90" s="32">
        <v>0.5</v>
      </c>
      <c r="L90" s="32"/>
      <c r="M90" s="34">
        <v>65</v>
      </c>
      <c r="N90" s="14">
        <f t="shared" si="3"/>
        <v>325</v>
      </c>
      <c r="O90" s="26"/>
      <c r="P90" s="26"/>
      <c r="Q90" s="26"/>
      <c r="R90" s="26"/>
    </row>
    <row r="91" spans="1:18">
      <c r="A91" s="28" t="s">
        <v>876</v>
      </c>
      <c r="B91" s="28" t="s">
        <v>833</v>
      </c>
      <c r="C91" s="26" t="s">
        <v>577</v>
      </c>
      <c r="D91" s="26" t="s">
        <v>584</v>
      </c>
      <c r="E91" s="27" t="s">
        <v>798</v>
      </c>
      <c r="F91" s="26">
        <f t="shared" si="2"/>
        <v>5</v>
      </c>
      <c r="G91" s="32"/>
      <c r="H91" s="32"/>
      <c r="I91" s="32"/>
      <c r="J91" s="32"/>
      <c r="K91" s="32">
        <v>0.5</v>
      </c>
      <c r="L91" s="32"/>
      <c r="M91" s="34">
        <v>65</v>
      </c>
      <c r="N91" s="14">
        <f t="shared" si="3"/>
        <v>325</v>
      </c>
      <c r="O91" s="26"/>
      <c r="P91" s="26"/>
      <c r="Q91" s="26"/>
      <c r="R91" s="26"/>
    </row>
    <row r="92" spans="1:18">
      <c r="A92" s="28" t="s">
        <v>876</v>
      </c>
      <c r="B92" s="28" t="s">
        <v>833</v>
      </c>
      <c r="C92" s="26" t="s">
        <v>578</v>
      </c>
      <c r="D92" s="26" t="s">
        <v>583</v>
      </c>
      <c r="E92" s="27" t="s">
        <v>799</v>
      </c>
      <c r="F92" s="26">
        <f t="shared" si="2"/>
        <v>5</v>
      </c>
      <c r="G92" s="32"/>
      <c r="H92" s="32"/>
      <c r="I92" s="32"/>
      <c r="J92" s="32"/>
      <c r="K92" s="32">
        <v>0.5</v>
      </c>
      <c r="L92" s="32"/>
      <c r="M92" s="34">
        <v>65</v>
      </c>
      <c r="N92" s="14">
        <f t="shared" si="3"/>
        <v>325</v>
      </c>
      <c r="O92" s="26"/>
      <c r="P92" s="26"/>
      <c r="Q92" s="26"/>
      <c r="R92" s="26"/>
    </row>
    <row r="93" spans="1:18">
      <c r="A93" s="28" t="s">
        <v>876</v>
      </c>
      <c r="B93" s="28" t="s">
        <v>833</v>
      </c>
      <c r="C93" s="26" t="s">
        <v>579</v>
      </c>
      <c r="D93" s="26" t="s">
        <v>582</v>
      </c>
      <c r="E93" s="27" t="s">
        <v>800</v>
      </c>
      <c r="F93" s="26">
        <f t="shared" si="2"/>
        <v>5</v>
      </c>
      <c r="G93" s="32"/>
      <c r="H93" s="32"/>
      <c r="I93" s="32"/>
      <c r="J93" s="32"/>
      <c r="K93" s="32">
        <v>0.5</v>
      </c>
      <c r="L93" s="32"/>
      <c r="M93" s="34">
        <v>65</v>
      </c>
      <c r="N93" s="14">
        <f t="shared" si="3"/>
        <v>325</v>
      </c>
      <c r="O93" s="26"/>
      <c r="P93" s="26"/>
      <c r="Q93" s="26"/>
      <c r="R93" s="26"/>
    </row>
    <row r="94" spans="1:18">
      <c r="A94" s="28" t="s">
        <v>876</v>
      </c>
      <c r="B94" s="28" t="s">
        <v>833</v>
      </c>
      <c r="C94" s="26" t="s">
        <v>580</v>
      </c>
      <c r="D94" s="26" t="s">
        <v>581</v>
      </c>
      <c r="E94" s="27" t="s">
        <v>801</v>
      </c>
      <c r="F94" s="26">
        <f t="shared" si="2"/>
        <v>5</v>
      </c>
      <c r="G94" s="32"/>
      <c r="H94" s="32"/>
      <c r="I94" s="32"/>
      <c r="J94" s="29"/>
      <c r="K94" s="32">
        <v>0.5</v>
      </c>
      <c r="L94" s="32"/>
      <c r="M94" s="34">
        <v>65</v>
      </c>
      <c r="N94" s="14">
        <f t="shared" si="3"/>
        <v>325</v>
      </c>
      <c r="O94" s="26"/>
      <c r="P94" s="26"/>
      <c r="Q94" s="26"/>
      <c r="R94" s="26"/>
    </row>
    <row r="95" spans="1:18">
      <c r="A95" t="s">
        <v>876</v>
      </c>
      <c r="B95" t="s">
        <v>833</v>
      </c>
      <c r="D95" t="s">
        <v>1231</v>
      </c>
      <c r="E95" s="44" t="s">
        <v>760</v>
      </c>
      <c r="F95" s="26">
        <f t="shared" si="2"/>
        <v>5</v>
      </c>
      <c r="K95" s="45">
        <v>0.5</v>
      </c>
      <c r="M95" s="13">
        <v>36</v>
      </c>
      <c r="N95" s="14">
        <f t="shared" si="3"/>
        <v>180</v>
      </c>
    </row>
    <row r="96" spans="1:18">
      <c r="A96" t="s">
        <v>876</v>
      </c>
      <c r="B96" t="s">
        <v>833</v>
      </c>
      <c r="D96" t="s">
        <v>1232</v>
      </c>
      <c r="E96" s="44" t="s">
        <v>760</v>
      </c>
      <c r="F96" s="26">
        <f t="shared" si="2"/>
        <v>5</v>
      </c>
      <c r="K96" s="45">
        <v>0.5</v>
      </c>
      <c r="M96" s="13">
        <v>36</v>
      </c>
      <c r="N96" s="14">
        <f t="shared" si="3"/>
        <v>180</v>
      </c>
    </row>
    <row r="97" spans="1:18">
      <c r="A97" t="s">
        <v>876</v>
      </c>
      <c r="B97" t="s">
        <v>833</v>
      </c>
      <c r="D97" t="s">
        <v>1233</v>
      </c>
      <c r="E97" s="44" t="s">
        <v>760</v>
      </c>
      <c r="F97" s="26">
        <f t="shared" si="2"/>
        <v>5</v>
      </c>
      <c r="K97" s="45">
        <v>0.5</v>
      </c>
      <c r="M97" s="13">
        <v>36</v>
      </c>
      <c r="N97" s="14">
        <f t="shared" si="3"/>
        <v>180</v>
      </c>
    </row>
    <row r="98" spans="1:18">
      <c r="A98" t="s">
        <v>876</v>
      </c>
      <c r="B98" t="s">
        <v>833</v>
      </c>
      <c r="D98" t="s">
        <v>1234</v>
      </c>
      <c r="E98" s="44" t="s">
        <v>760</v>
      </c>
      <c r="F98" s="26">
        <f t="shared" si="2"/>
        <v>5</v>
      </c>
      <c r="K98" s="45">
        <v>0.5</v>
      </c>
      <c r="M98" s="13">
        <v>36</v>
      </c>
      <c r="N98" s="14">
        <f t="shared" si="3"/>
        <v>180</v>
      </c>
    </row>
    <row r="99" spans="1:18">
      <c r="A99" s="28" t="s">
        <v>876</v>
      </c>
      <c r="B99" s="28" t="s">
        <v>833</v>
      </c>
      <c r="C99" s="26" t="s">
        <v>478</v>
      </c>
      <c r="D99" s="26" t="s">
        <v>484</v>
      </c>
      <c r="E99" s="27" t="s">
        <v>1104</v>
      </c>
      <c r="F99" s="26">
        <f t="shared" si="2"/>
        <v>5</v>
      </c>
      <c r="G99" s="32"/>
      <c r="H99" s="32"/>
      <c r="I99" s="32"/>
      <c r="J99" s="32"/>
      <c r="K99" s="32">
        <v>0.5</v>
      </c>
      <c r="L99" s="32"/>
      <c r="M99" s="34">
        <v>18</v>
      </c>
      <c r="N99" s="14">
        <f t="shared" si="3"/>
        <v>90</v>
      </c>
      <c r="O99" s="26"/>
      <c r="P99" s="26"/>
      <c r="Q99" s="26"/>
      <c r="R99" s="26"/>
    </row>
    <row r="100" spans="1:18">
      <c r="A100" s="28" t="s">
        <v>876</v>
      </c>
      <c r="B100" s="28" t="s">
        <v>833</v>
      </c>
      <c r="C100" s="26" t="s">
        <v>481</v>
      </c>
      <c r="D100" s="26" t="s">
        <v>1094</v>
      </c>
      <c r="E100" s="27" t="s">
        <v>781</v>
      </c>
      <c r="F100" s="26">
        <f t="shared" si="2"/>
        <v>5</v>
      </c>
      <c r="G100" s="32"/>
      <c r="H100" s="32"/>
      <c r="I100" s="32"/>
      <c r="J100" s="32"/>
      <c r="K100" s="32">
        <v>0.5</v>
      </c>
      <c r="L100" s="32"/>
      <c r="M100" s="34">
        <v>18</v>
      </c>
      <c r="N100" s="14">
        <f t="shared" si="3"/>
        <v>90</v>
      </c>
      <c r="O100" s="26"/>
      <c r="P100" s="26"/>
      <c r="Q100" s="26"/>
      <c r="R100" s="26"/>
    </row>
    <row r="101" spans="1:18">
      <c r="A101" s="28" t="s">
        <v>876</v>
      </c>
      <c r="B101" s="28" t="s">
        <v>833</v>
      </c>
      <c r="C101" s="26" t="s">
        <v>487</v>
      </c>
      <c r="D101" s="26" t="s">
        <v>1095</v>
      </c>
      <c r="E101" s="27" t="s">
        <v>779</v>
      </c>
      <c r="F101" s="26">
        <f t="shared" si="2"/>
        <v>5</v>
      </c>
      <c r="G101" s="32"/>
      <c r="H101" s="32"/>
      <c r="I101" s="32"/>
      <c r="J101" s="32"/>
      <c r="K101" s="32">
        <v>0.5</v>
      </c>
      <c r="L101" s="32"/>
      <c r="M101" s="34">
        <v>18</v>
      </c>
      <c r="N101" s="14">
        <f t="shared" si="3"/>
        <v>90</v>
      </c>
      <c r="O101" s="26"/>
      <c r="P101" s="26"/>
      <c r="Q101" s="26"/>
      <c r="R101" s="26"/>
    </row>
    <row r="102" spans="1:18">
      <c r="A102" s="28" t="s">
        <v>876</v>
      </c>
      <c r="B102" s="28" t="s">
        <v>833</v>
      </c>
      <c r="C102" s="26" t="s">
        <v>490</v>
      </c>
      <c r="D102" s="26" t="s">
        <v>1096</v>
      </c>
      <c r="E102" s="27" t="s">
        <v>780</v>
      </c>
      <c r="F102" s="26">
        <f t="shared" si="2"/>
        <v>5</v>
      </c>
      <c r="G102" s="32"/>
      <c r="H102" s="32"/>
      <c r="I102" s="32"/>
      <c r="J102" s="32"/>
      <c r="K102" s="32">
        <v>0.5</v>
      </c>
      <c r="L102" s="32"/>
      <c r="M102" s="34">
        <v>18</v>
      </c>
      <c r="N102" s="14">
        <f t="shared" si="3"/>
        <v>90</v>
      </c>
      <c r="O102" s="26"/>
      <c r="P102" s="26"/>
      <c r="Q102" s="26"/>
      <c r="R102" s="26"/>
    </row>
    <row r="103" spans="1:18">
      <c r="A103" s="28" t="s">
        <v>876</v>
      </c>
      <c r="B103" s="28" t="s">
        <v>833</v>
      </c>
      <c r="C103" s="26"/>
      <c r="D103" s="26" t="s">
        <v>825</v>
      </c>
      <c r="E103" s="27" t="s">
        <v>760</v>
      </c>
      <c r="F103" s="26">
        <f t="shared" si="2"/>
        <v>2</v>
      </c>
      <c r="G103" s="29"/>
      <c r="H103" s="29"/>
      <c r="I103" s="29"/>
      <c r="J103" s="29"/>
      <c r="K103" s="29"/>
      <c r="L103" s="29">
        <v>2</v>
      </c>
      <c r="M103" s="34"/>
      <c r="N103" s="14">
        <f t="shared" si="3"/>
        <v>0</v>
      </c>
      <c r="O103" s="26"/>
      <c r="P103" s="26"/>
      <c r="Q103" s="26"/>
      <c r="R103" s="26"/>
    </row>
    <row r="104" spans="1:18">
      <c r="A104" s="28" t="s">
        <v>876</v>
      </c>
      <c r="B104" s="28" t="s">
        <v>833</v>
      </c>
      <c r="C104" s="26" t="s">
        <v>586</v>
      </c>
      <c r="D104" s="26" t="s">
        <v>590</v>
      </c>
      <c r="E104" s="27"/>
      <c r="F104" s="26">
        <f t="shared" si="2"/>
        <v>0</v>
      </c>
      <c r="G104" s="32"/>
      <c r="H104" s="32"/>
      <c r="I104" s="32"/>
      <c r="J104" s="32"/>
      <c r="K104" s="32"/>
      <c r="L104" s="32"/>
      <c r="M104" s="34">
        <v>65</v>
      </c>
      <c r="N104" s="14">
        <f t="shared" si="3"/>
        <v>0</v>
      </c>
      <c r="O104" s="26"/>
      <c r="P104" s="26"/>
      <c r="Q104" s="26"/>
      <c r="R104" s="26"/>
    </row>
    <row r="105" spans="1:18">
      <c r="A105" s="28" t="s">
        <v>876</v>
      </c>
      <c r="B105" s="28" t="s">
        <v>833</v>
      </c>
      <c r="C105" s="26" t="s">
        <v>587</v>
      </c>
      <c r="D105" s="26" t="s">
        <v>591</v>
      </c>
      <c r="E105" s="27"/>
      <c r="F105" s="26">
        <f t="shared" si="2"/>
        <v>0</v>
      </c>
      <c r="G105" s="32"/>
      <c r="H105" s="32"/>
      <c r="I105" s="32"/>
      <c r="J105" s="32"/>
      <c r="K105" s="32"/>
      <c r="L105" s="32"/>
      <c r="M105" s="34">
        <v>65</v>
      </c>
      <c r="N105" s="14">
        <f t="shared" si="3"/>
        <v>0</v>
      </c>
      <c r="O105" s="26"/>
      <c r="P105" s="26"/>
      <c r="Q105" s="26"/>
      <c r="R105" s="26"/>
    </row>
    <row r="106" spans="1:18">
      <c r="A106" s="28" t="s">
        <v>876</v>
      </c>
      <c r="B106" s="28" t="s">
        <v>833</v>
      </c>
      <c r="C106" s="26" t="s">
        <v>477</v>
      </c>
      <c r="D106" s="26" t="s">
        <v>483</v>
      </c>
      <c r="E106" s="27"/>
      <c r="F106" s="26">
        <f t="shared" si="2"/>
        <v>0</v>
      </c>
      <c r="G106" s="32"/>
      <c r="H106" s="32"/>
      <c r="I106" s="32"/>
      <c r="J106" s="32"/>
      <c r="K106" s="32"/>
      <c r="L106" s="32"/>
      <c r="M106" s="34">
        <v>14</v>
      </c>
      <c r="N106" s="14">
        <f t="shared" si="3"/>
        <v>0</v>
      </c>
      <c r="O106" s="26"/>
      <c r="P106" s="26"/>
      <c r="Q106" s="26"/>
      <c r="R106" s="26"/>
    </row>
    <row r="107" spans="1:18">
      <c r="A107" s="28" t="s">
        <v>876</v>
      </c>
      <c r="B107" s="28" t="s">
        <v>833</v>
      </c>
      <c r="C107" s="26" t="s">
        <v>480</v>
      </c>
      <c r="D107" s="26" t="s">
        <v>1091</v>
      </c>
      <c r="E107" s="27"/>
      <c r="F107" s="26">
        <f t="shared" si="2"/>
        <v>0</v>
      </c>
      <c r="G107" s="32"/>
      <c r="H107" s="32"/>
      <c r="I107" s="32"/>
      <c r="J107" s="32"/>
      <c r="K107" s="32"/>
      <c r="L107" s="32"/>
      <c r="M107" s="34">
        <v>14</v>
      </c>
      <c r="N107" s="14">
        <f t="shared" si="3"/>
        <v>0</v>
      </c>
      <c r="O107" s="26"/>
      <c r="P107" s="26"/>
      <c r="Q107" s="26"/>
      <c r="R107" s="26"/>
    </row>
    <row r="108" spans="1:18">
      <c r="A108" s="28" t="s">
        <v>876</v>
      </c>
      <c r="B108" s="28" t="s">
        <v>833</v>
      </c>
      <c r="C108" s="26" t="s">
        <v>486</v>
      </c>
      <c r="D108" s="26" t="s">
        <v>1092</v>
      </c>
      <c r="E108" s="27"/>
      <c r="F108" s="26">
        <f t="shared" si="2"/>
        <v>0</v>
      </c>
      <c r="G108" s="32"/>
      <c r="H108" s="32"/>
      <c r="I108" s="32"/>
      <c r="J108" s="32"/>
      <c r="K108" s="32"/>
      <c r="L108" s="32"/>
      <c r="M108" s="34">
        <v>14</v>
      </c>
      <c r="N108" s="14">
        <f t="shared" si="3"/>
        <v>0</v>
      </c>
      <c r="O108" s="26"/>
      <c r="P108" s="26"/>
      <c r="Q108" s="26"/>
      <c r="R108" s="26"/>
    </row>
    <row r="109" spans="1:18">
      <c r="A109" s="28" t="s">
        <v>876</v>
      </c>
      <c r="B109" s="28" t="s">
        <v>833</v>
      </c>
      <c r="C109" s="26" t="s">
        <v>489</v>
      </c>
      <c r="D109" s="26" t="s">
        <v>1093</v>
      </c>
      <c r="E109" s="27"/>
      <c r="F109" s="26">
        <f t="shared" si="2"/>
        <v>0</v>
      </c>
      <c r="G109" s="32"/>
      <c r="H109" s="32"/>
      <c r="I109" s="32"/>
      <c r="J109" s="32"/>
      <c r="K109" s="32"/>
      <c r="L109" s="32"/>
      <c r="M109" s="34">
        <v>14</v>
      </c>
      <c r="N109" s="14">
        <f t="shared" si="3"/>
        <v>0</v>
      </c>
      <c r="O109" s="26"/>
      <c r="P109" s="26"/>
      <c r="Q109" s="26"/>
      <c r="R109" s="26"/>
    </row>
    <row r="110" spans="1:18">
      <c r="A110" s="28" t="s">
        <v>876</v>
      </c>
      <c r="B110" s="28" t="s">
        <v>833</v>
      </c>
      <c r="C110" s="26" t="s">
        <v>467</v>
      </c>
      <c r="D110" s="26" t="s">
        <v>449</v>
      </c>
      <c r="E110" s="27"/>
      <c r="F110" s="26">
        <f t="shared" si="2"/>
        <v>0</v>
      </c>
      <c r="G110" s="32"/>
      <c r="H110" s="32"/>
      <c r="I110" s="32"/>
      <c r="J110" s="32"/>
      <c r="K110" s="32"/>
      <c r="L110" s="32"/>
      <c r="M110" s="34">
        <v>34</v>
      </c>
      <c r="N110" s="14">
        <f t="shared" si="3"/>
        <v>0</v>
      </c>
      <c r="O110" s="26"/>
      <c r="P110" s="26"/>
      <c r="Q110" s="26"/>
      <c r="R110" s="26"/>
    </row>
    <row r="111" spans="1:18">
      <c r="A111" s="28" t="s">
        <v>876</v>
      </c>
      <c r="B111" s="28" t="s">
        <v>833</v>
      </c>
      <c r="C111" s="26" t="s">
        <v>470</v>
      </c>
      <c r="D111" s="26" t="s">
        <v>458</v>
      </c>
      <c r="E111" s="27"/>
      <c r="F111" s="26">
        <f t="shared" si="2"/>
        <v>0</v>
      </c>
      <c r="G111" s="32"/>
      <c r="H111" s="32"/>
      <c r="I111" s="32"/>
      <c r="J111" s="32"/>
      <c r="K111" s="32"/>
      <c r="L111" s="32"/>
      <c r="M111" s="34">
        <v>34</v>
      </c>
      <c r="N111" s="14">
        <f t="shared" si="3"/>
        <v>0</v>
      </c>
      <c r="O111" s="26"/>
      <c r="P111" s="26"/>
      <c r="Q111" s="26"/>
      <c r="R111" s="26"/>
    </row>
    <row r="112" spans="1:18">
      <c r="A112" s="28" t="s">
        <v>876</v>
      </c>
      <c r="B112" s="28" t="s">
        <v>833</v>
      </c>
      <c r="C112" s="26" t="s">
        <v>472</v>
      </c>
      <c r="D112" s="26" t="s">
        <v>459</v>
      </c>
      <c r="E112" s="27"/>
      <c r="F112" s="26">
        <f t="shared" si="2"/>
        <v>0</v>
      </c>
      <c r="G112" s="32"/>
      <c r="H112" s="32"/>
      <c r="I112" s="32"/>
      <c r="J112" s="32"/>
      <c r="K112" s="32"/>
      <c r="L112" s="32"/>
      <c r="M112" s="34">
        <v>34</v>
      </c>
      <c r="N112" s="14">
        <f t="shared" si="3"/>
        <v>0</v>
      </c>
      <c r="O112" s="26"/>
      <c r="P112" s="26"/>
      <c r="Q112" s="26"/>
      <c r="R112" s="26"/>
    </row>
    <row r="113" spans="1:18">
      <c r="A113" s="28" t="s">
        <v>876</v>
      </c>
      <c r="B113" s="28" t="s">
        <v>833</v>
      </c>
      <c r="C113" s="26" t="s">
        <v>474</v>
      </c>
      <c r="D113" s="26" t="s">
        <v>460</v>
      </c>
      <c r="E113" s="27"/>
      <c r="F113" s="26">
        <f t="shared" si="2"/>
        <v>0</v>
      </c>
      <c r="G113" s="32"/>
      <c r="H113" s="32"/>
      <c r="I113" s="32"/>
      <c r="J113" s="32"/>
      <c r="K113" s="32"/>
      <c r="L113" s="32"/>
      <c r="M113" s="34">
        <v>34</v>
      </c>
      <c r="N113" s="14">
        <f t="shared" si="3"/>
        <v>0</v>
      </c>
      <c r="O113" s="26"/>
      <c r="P113" s="26"/>
      <c r="Q113" s="26"/>
      <c r="R113" s="26"/>
    </row>
    <row r="114" spans="1:18">
      <c r="A114" s="28" t="s">
        <v>876</v>
      </c>
      <c r="B114" s="28" t="s">
        <v>833</v>
      </c>
      <c r="C114" s="26" t="s">
        <v>456</v>
      </c>
      <c r="D114" s="26" t="s">
        <v>461</v>
      </c>
      <c r="E114" s="27"/>
      <c r="F114" s="26">
        <f t="shared" si="2"/>
        <v>0</v>
      </c>
      <c r="G114" s="32"/>
      <c r="H114" s="32"/>
      <c r="I114" s="32"/>
      <c r="J114" s="32"/>
      <c r="K114" s="32"/>
      <c r="L114" s="32"/>
      <c r="M114" s="34">
        <v>34</v>
      </c>
      <c r="N114" s="14">
        <f t="shared" si="3"/>
        <v>0</v>
      </c>
      <c r="O114" s="26"/>
      <c r="P114" s="26"/>
      <c r="Q114" s="26"/>
      <c r="R114" s="26"/>
    </row>
    <row r="115" spans="1:18">
      <c r="A115" s="28" t="s">
        <v>876</v>
      </c>
      <c r="B115" s="28" t="s">
        <v>833</v>
      </c>
      <c r="C115" s="26" t="s">
        <v>476</v>
      </c>
      <c r="D115" s="26" t="s">
        <v>482</v>
      </c>
      <c r="E115" s="27"/>
      <c r="F115" s="26">
        <f t="shared" si="2"/>
        <v>0</v>
      </c>
      <c r="G115" s="32"/>
      <c r="H115" s="32"/>
      <c r="I115" s="32"/>
      <c r="J115" s="32"/>
      <c r="K115" s="32"/>
      <c r="L115" s="32"/>
      <c r="M115" s="34">
        <v>14</v>
      </c>
      <c r="N115" s="14">
        <f t="shared" si="3"/>
        <v>0</v>
      </c>
      <c r="O115" s="26"/>
      <c r="P115" s="26"/>
      <c r="Q115" s="26"/>
      <c r="R115" s="26"/>
    </row>
    <row r="116" spans="1:18">
      <c r="A116" s="28" t="s">
        <v>876</v>
      </c>
      <c r="B116" s="28" t="s">
        <v>833</v>
      </c>
      <c r="C116" s="26" t="s">
        <v>479</v>
      </c>
      <c r="D116" s="26" t="s">
        <v>1097</v>
      </c>
      <c r="E116" s="27"/>
      <c r="F116" s="26">
        <f t="shared" si="2"/>
        <v>0</v>
      </c>
      <c r="G116" s="32"/>
      <c r="H116" s="32"/>
      <c r="I116" s="32"/>
      <c r="J116" s="32"/>
      <c r="K116" s="32"/>
      <c r="L116" s="32"/>
      <c r="M116" s="34">
        <v>14</v>
      </c>
      <c r="N116" s="14">
        <f t="shared" si="3"/>
        <v>0</v>
      </c>
      <c r="O116" s="26"/>
      <c r="P116" s="26"/>
      <c r="Q116" s="26"/>
      <c r="R116" s="26"/>
    </row>
    <row r="117" spans="1:18">
      <c r="A117" s="28" t="s">
        <v>876</v>
      </c>
      <c r="B117" s="28" t="s">
        <v>833</v>
      </c>
      <c r="C117" s="26" t="s">
        <v>485</v>
      </c>
      <c r="D117" s="26" t="s">
        <v>1098</v>
      </c>
      <c r="E117" s="27"/>
      <c r="F117" s="26">
        <f t="shared" si="2"/>
        <v>0</v>
      </c>
      <c r="G117" s="32"/>
      <c r="H117" s="32"/>
      <c r="I117" s="32"/>
      <c r="J117" s="32"/>
      <c r="K117" s="32"/>
      <c r="L117" s="32"/>
      <c r="M117" s="34">
        <v>14</v>
      </c>
      <c r="N117" s="14">
        <f t="shared" si="3"/>
        <v>0</v>
      </c>
      <c r="O117" s="26"/>
      <c r="P117" s="26"/>
      <c r="Q117" s="26"/>
      <c r="R117" s="26"/>
    </row>
    <row r="118" spans="1:18">
      <c r="A118" s="28" t="s">
        <v>876</v>
      </c>
      <c r="B118" s="28" t="s">
        <v>833</v>
      </c>
      <c r="C118" s="26" t="s">
        <v>488</v>
      </c>
      <c r="D118" s="26" t="s">
        <v>1099</v>
      </c>
      <c r="E118" s="27"/>
      <c r="F118" s="26">
        <f t="shared" si="2"/>
        <v>0</v>
      </c>
      <c r="G118" s="32"/>
      <c r="H118" s="32"/>
      <c r="I118" s="32"/>
      <c r="J118" s="32"/>
      <c r="K118" s="32"/>
      <c r="L118" s="32"/>
      <c r="M118" s="34">
        <v>14</v>
      </c>
      <c r="N118" s="14">
        <f t="shared" si="3"/>
        <v>0</v>
      </c>
      <c r="O118" s="26"/>
      <c r="P118" s="26"/>
      <c r="Q118" s="26"/>
      <c r="R118" s="26"/>
    </row>
    <row r="119" spans="1:18">
      <c r="A119" s="28" t="s">
        <v>876</v>
      </c>
      <c r="B119" s="28" t="s">
        <v>833</v>
      </c>
      <c r="C119" s="26" t="s">
        <v>471</v>
      </c>
      <c r="D119" s="26" t="s">
        <v>1102</v>
      </c>
      <c r="E119" s="27" t="s">
        <v>760</v>
      </c>
      <c r="F119" s="26">
        <f t="shared" si="2"/>
        <v>0</v>
      </c>
      <c r="G119" s="32"/>
      <c r="H119" s="32"/>
      <c r="I119" s="32"/>
      <c r="J119" s="32"/>
      <c r="K119" s="32"/>
      <c r="L119" s="32"/>
      <c r="M119" s="34">
        <v>26</v>
      </c>
      <c r="N119" s="14">
        <f t="shared" si="3"/>
        <v>0</v>
      </c>
      <c r="O119" s="26"/>
      <c r="P119" s="26"/>
      <c r="Q119" s="26"/>
      <c r="R119" s="26"/>
    </row>
    <row r="120" spans="1:18">
      <c r="A120" s="28" t="s">
        <v>876</v>
      </c>
      <c r="B120" s="28" t="s">
        <v>833</v>
      </c>
      <c r="C120" s="26" t="s">
        <v>471</v>
      </c>
      <c r="D120" s="26" t="s">
        <v>1100</v>
      </c>
      <c r="E120" s="27" t="s">
        <v>760</v>
      </c>
      <c r="F120" s="26">
        <f t="shared" si="2"/>
        <v>0</v>
      </c>
      <c r="G120" s="32"/>
      <c r="H120" s="32"/>
      <c r="I120" s="32"/>
      <c r="J120" s="32"/>
      <c r="K120" s="32"/>
      <c r="L120" s="32"/>
      <c r="M120" s="34">
        <v>26</v>
      </c>
      <c r="N120" s="14">
        <f t="shared" si="3"/>
        <v>0</v>
      </c>
      <c r="O120" s="26"/>
      <c r="P120" s="26"/>
      <c r="Q120" s="26"/>
      <c r="R120" s="26"/>
    </row>
    <row r="121" spans="1:18">
      <c r="A121" s="28" t="s">
        <v>876</v>
      </c>
      <c r="B121" s="28" t="s">
        <v>833</v>
      </c>
      <c r="C121" s="26" t="s">
        <v>471</v>
      </c>
      <c r="D121" s="26" t="s">
        <v>1101</v>
      </c>
      <c r="E121" s="27" t="s">
        <v>760</v>
      </c>
      <c r="F121" s="26">
        <f t="shared" si="2"/>
        <v>0</v>
      </c>
      <c r="G121" s="32"/>
      <c r="H121" s="32"/>
      <c r="I121" s="32"/>
      <c r="J121" s="32"/>
      <c r="K121" s="32"/>
      <c r="L121" s="32"/>
      <c r="M121" s="34">
        <v>26</v>
      </c>
      <c r="N121" s="14">
        <f t="shared" si="3"/>
        <v>0</v>
      </c>
      <c r="O121" s="26"/>
      <c r="P121" s="26"/>
      <c r="Q121" s="26"/>
      <c r="R121" s="26"/>
    </row>
    <row r="122" spans="1:18">
      <c r="A122" s="28" t="s">
        <v>876</v>
      </c>
      <c r="B122" s="28" t="s">
        <v>833</v>
      </c>
      <c r="C122" s="26" t="s">
        <v>471</v>
      </c>
      <c r="D122" s="26" t="s">
        <v>1103</v>
      </c>
      <c r="E122" s="27" t="s">
        <v>760</v>
      </c>
      <c r="F122" s="26">
        <f t="shared" si="2"/>
        <v>0</v>
      </c>
      <c r="G122" s="32"/>
      <c r="H122" s="32"/>
      <c r="I122" s="32"/>
      <c r="J122" s="32"/>
      <c r="K122" s="32"/>
      <c r="L122" s="32"/>
      <c r="M122" s="34">
        <v>26</v>
      </c>
      <c r="N122" s="14">
        <f t="shared" si="3"/>
        <v>0</v>
      </c>
      <c r="O122" s="26"/>
      <c r="P122" s="26"/>
      <c r="Q122" s="26"/>
      <c r="R122" s="26"/>
    </row>
    <row r="123" spans="1:18">
      <c r="A123" s="28" t="s">
        <v>876</v>
      </c>
      <c r="B123" s="28" t="s">
        <v>833</v>
      </c>
      <c r="C123" s="26" t="s">
        <v>471</v>
      </c>
      <c r="D123" s="26" t="s">
        <v>463</v>
      </c>
      <c r="E123" s="27"/>
      <c r="F123" s="26">
        <f t="shared" si="2"/>
        <v>0</v>
      </c>
      <c r="G123" s="32"/>
      <c r="H123" s="32"/>
      <c r="I123" s="32"/>
      <c r="J123" s="32"/>
      <c r="K123" s="32"/>
      <c r="L123" s="32"/>
      <c r="M123" s="34">
        <v>34</v>
      </c>
      <c r="N123" s="14">
        <f t="shared" si="3"/>
        <v>0</v>
      </c>
      <c r="O123" s="26"/>
      <c r="P123" s="26"/>
      <c r="Q123" s="26"/>
      <c r="R123" s="26"/>
    </row>
    <row r="124" spans="1:18">
      <c r="A124" s="28" t="s">
        <v>876</v>
      </c>
      <c r="B124" s="28" t="s">
        <v>833</v>
      </c>
      <c r="C124" s="26" t="s">
        <v>475</v>
      </c>
      <c r="D124" s="26" t="s">
        <v>465</v>
      </c>
      <c r="E124" s="27"/>
      <c r="F124" s="26">
        <f t="shared" si="2"/>
        <v>0</v>
      </c>
      <c r="G124" s="32"/>
      <c r="H124" s="32"/>
      <c r="I124" s="32"/>
      <c r="J124" s="32"/>
      <c r="K124" s="32"/>
      <c r="L124" s="32"/>
      <c r="M124" s="34">
        <v>34</v>
      </c>
      <c r="N124" s="14">
        <f t="shared" si="3"/>
        <v>0</v>
      </c>
      <c r="O124" s="26"/>
      <c r="P124" s="26"/>
      <c r="Q124" s="26"/>
      <c r="R124" s="26"/>
    </row>
    <row r="125" spans="1:18">
      <c r="A125" s="28" t="s">
        <v>876</v>
      </c>
      <c r="B125" s="28" t="s">
        <v>833</v>
      </c>
      <c r="C125" s="26" t="s">
        <v>471</v>
      </c>
      <c r="D125" s="26" t="s">
        <v>1278</v>
      </c>
      <c r="E125" s="27" t="s">
        <v>760</v>
      </c>
      <c r="F125" s="26">
        <f t="shared" si="2"/>
        <v>10</v>
      </c>
      <c r="G125" s="32"/>
      <c r="H125" s="32"/>
      <c r="I125" s="32"/>
      <c r="J125" s="32"/>
      <c r="K125" s="32">
        <v>1</v>
      </c>
      <c r="L125" s="32"/>
      <c r="M125" s="34"/>
      <c r="N125" s="14">
        <f t="shared" si="3"/>
        <v>0</v>
      </c>
      <c r="O125" s="26"/>
      <c r="P125" s="26"/>
      <c r="Q125" s="26"/>
      <c r="R125" s="26"/>
    </row>
    <row r="126" spans="1:18">
      <c r="A126" s="28" t="s">
        <v>876</v>
      </c>
      <c r="B126" s="28" t="s">
        <v>833</v>
      </c>
      <c r="C126" s="26" t="s">
        <v>471</v>
      </c>
      <c r="D126" s="26" t="s">
        <v>1279</v>
      </c>
      <c r="E126" s="27" t="s">
        <v>760</v>
      </c>
      <c r="F126" s="26">
        <f t="shared" si="2"/>
        <v>10</v>
      </c>
      <c r="G126" s="32"/>
      <c r="H126" s="32"/>
      <c r="I126" s="32"/>
      <c r="J126" s="32"/>
      <c r="K126" s="32">
        <v>1</v>
      </c>
      <c r="L126" s="32"/>
      <c r="M126" s="34"/>
      <c r="N126" s="14">
        <f t="shared" si="3"/>
        <v>0</v>
      </c>
      <c r="O126" s="26"/>
      <c r="P126" s="26"/>
      <c r="Q126" s="26"/>
      <c r="R126" s="26"/>
    </row>
    <row r="127" spans="1:18">
      <c r="A127" s="28" t="s">
        <v>876</v>
      </c>
      <c r="B127" s="28" t="s">
        <v>833</v>
      </c>
      <c r="C127" s="26" t="s">
        <v>471</v>
      </c>
      <c r="D127" s="26" t="s">
        <v>1280</v>
      </c>
      <c r="E127" s="27" t="s">
        <v>760</v>
      </c>
      <c r="F127" s="26">
        <f t="shared" si="2"/>
        <v>10</v>
      </c>
      <c r="G127" s="32"/>
      <c r="H127" s="32"/>
      <c r="I127" s="32"/>
      <c r="J127" s="32"/>
      <c r="K127" s="32">
        <v>1</v>
      </c>
      <c r="L127" s="32"/>
      <c r="M127" s="34"/>
      <c r="N127" s="14">
        <f t="shared" si="3"/>
        <v>0</v>
      </c>
      <c r="O127" s="26"/>
      <c r="P127" s="26"/>
      <c r="Q127" s="26"/>
      <c r="R127" s="26"/>
    </row>
    <row r="128" spans="1:18">
      <c r="A128" s="28" t="s">
        <v>876</v>
      </c>
      <c r="B128" s="28" t="s">
        <v>833</v>
      </c>
      <c r="C128" s="26" t="s">
        <v>471</v>
      </c>
      <c r="D128" s="26" t="s">
        <v>1281</v>
      </c>
      <c r="E128" s="27" t="s">
        <v>760</v>
      </c>
      <c r="F128" s="26">
        <f t="shared" si="2"/>
        <v>10</v>
      </c>
      <c r="G128" s="32"/>
      <c r="H128" s="32"/>
      <c r="I128" s="32"/>
      <c r="J128" s="32"/>
      <c r="K128" s="32">
        <v>1</v>
      </c>
      <c r="L128" s="32"/>
      <c r="M128" s="34"/>
      <c r="N128" s="14">
        <f t="shared" si="3"/>
        <v>0</v>
      </c>
      <c r="O128" s="26"/>
      <c r="P128" s="26"/>
      <c r="Q128" s="26"/>
      <c r="R128" s="26"/>
    </row>
    <row r="129" spans="1:18">
      <c r="A129" s="28" t="s">
        <v>876</v>
      </c>
      <c r="B129" t="s">
        <v>833</v>
      </c>
      <c r="D129" t="s">
        <v>1321</v>
      </c>
      <c r="E129" s="44" t="s">
        <v>1320</v>
      </c>
      <c r="F129" s="26">
        <f t="shared" si="2"/>
        <v>1</v>
      </c>
      <c r="L129" s="45">
        <v>1</v>
      </c>
      <c r="N129" s="14">
        <f t="shared" si="3"/>
        <v>0</v>
      </c>
    </row>
    <row r="130" spans="1:18">
      <c r="A130" s="28" t="s">
        <v>876</v>
      </c>
      <c r="B130" s="28" t="s">
        <v>1073</v>
      </c>
      <c r="C130" s="26"/>
      <c r="D130" s="26" t="s">
        <v>329</v>
      </c>
      <c r="E130" s="27" t="s">
        <v>760</v>
      </c>
      <c r="F130" s="26">
        <f t="shared" ref="F130:F161" si="4">+$G$1*G130+$H$1*H130+$I$1*I130+$J$1*J130+$K$1*K130+$L$1*L130</f>
        <v>20</v>
      </c>
      <c r="G130" s="32"/>
      <c r="H130" s="32"/>
      <c r="I130" s="32"/>
      <c r="J130" s="32">
        <v>1</v>
      </c>
      <c r="K130" s="32"/>
      <c r="L130" s="32"/>
      <c r="M130" s="34">
        <v>140</v>
      </c>
      <c r="N130" s="14">
        <f t="shared" ref="N130:N161" si="5">+F130*M130</f>
        <v>2800</v>
      </c>
      <c r="O130" s="26"/>
      <c r="P130" s="26"/>
      <c r="Q130" s="26"/>
      <c r="R130" s="26"/>
    </row>
    <row r="131" spans="1:18">
      <c r="A131" s="28" t="s">
        <v>876</v>
      </c>
      <c r="B131" s="28" t="s">
        <v>1073</v>
      </c>
      <c r="C131" s="26"/>
      <c r="D131" s="26" t="s">
        <v>1120</v>
      </c>
      <c r="E131" s="27" t="s">
        <v>1107</v>
      </c>
      <c r="F131" s="26">
        <f t="shared" si="4"/>
        <v>105</v>
      </c>
      <c r="G131" s="32"/>
      <c r="H131" s="32">
        <v>1</v>
      </c>
      <c r="I131" s="32"/>
      <c r="J131" s="32"/>
      <c r="K131" s="32">
        <v>0.5</v>
      </c>
      <c r="L131" s="32"/>
      <c r="M131" s="34">
        <v>20</v>
      </c>
      <c r="N131" s="14">
        <f t="shared" si="5"/>
        <v>2100</v>
      </c>
      <c r="O131" s="26"/>
      <c r="P131" s="26"/>
      <c r="Q131" s="26"/>
      <c r="R131" s="26"/>
    </row>
    <row r="132" spans="1:18">
      <c r="A132" s="28" t="s">
        <v>876</v>
      </c>
      <c r="B132" s="28" t="s">
        <v>1073</v>
      </c>
      <c r="C132" s="26"/>
      <c r="D132" s="26" t="s">
        <v>332</v>
      </c>
      <c r="E132" s="27" t="s">
        <v>1108</v>
      </c>
      <c r="F132" s="26">
        <f t="shared" si="4"/>
        <v>100</v>
      </c>
      <c r="G132" s="32"/>
      <c r="H132" s="32">
        <v>1</v>
      </c>
      <c r="I132" s="32"/>
      <c r="J132" s="32"/>
      <c r="K132" s="32"/>
      <c r="L132" s="32"/>
      <c r="M132" s="34">
        <v>20</v>
      </c>
      <c r="N132" s="14">
        <f t="shared" si="5"/>
        <v>2000</v>
      </c>
      <c r="O132" s="26"/>
      <c r="P132" s="26"/>
      <c r="Q132" s="26"/>
      <c r="R132" s="26"/>
    </row>
    <row r="133" spans="1:18">
      <c r="A133" s="28" t="s">
        <v>876</v>
      </c>
      <c r="B133" s="26" t="s">
        <v>1073</v>
      </c>
      <c r="C133" s="26"/>
      <c r="D133" s="26" t="s">
        <v>1074</v>
      </c>
      <c r="E133" s="27" t="s">
        <v>760</v>
      </c>
      <c r="F133" s="26">
        <f t="shared" si="4"/>
        <v>50</v>
      </c>
      <c r="G133" s="29"/>
      <c r="H133" s="29"/>
      <c r="I133" s="29">
        <v>1</v>
      </c>
      <c r="J133" s="29"/>
      <c r="K133" s="29"/>
      <c r="L133" s="29"/>
      <c r="M133" s="34">
        <v>14</v>
      </c>
      <c r="N133" s="14">
        <f t="shared" si="5"/>
        <v>700</v>
      </c>
      <c r="O133" s="26"/>
      <c r="P133" s="26"/>
      <c r="Q133" s="26"/>
      <c r="R133" s="26"/>
    </row>
    <row r="134" spans="1:18">
      <c r="A134" s="28" t="s">
        <v>876</v>
      </c>
      <c r="B134" s="28" t="s">
        <v>1073</v>
      </c>
      <c r="C134" s="26"/>
      <c r="D134" s="26" t="s">
        <v>970</v>
      </c>
      <c r="E134" s="27" t="s">
        <v>812</v>
      </c>
      <c r="F134" s="26">
        <f t="shared" si="4"/>
        <v>2</v>
      </c>
      <c r="G134" s="29"/>
      <c r="H134" s="29"/>
      <c r="I134" s="29"/>
      <c r="J134" s="29"/>
      <c r="K134" s="29"/>
      <c r="L134" s="29">
        <v>2</v>
      </c>
      <c r="M134" s="34">
        <v>170</v>
      </c>
      <c r="N134" s="14">
        <f t="shared" si="5"/>
        <v>340</v>
      </c>
      <c r="O134" s="26"/>
      <c r="P134" s="26"/>
      <c r="Q134" s="26"/>
      <c r="R134" s="26"/>
    </row>
    <row r="135" spans="1:18">
      <c r="A135" s="28" t="s">
        <v>876</v>
      </c>
      <c r="B135" s="28" t="s">
        <v>1073</v>
      </c>
      <c r="C135" s="26"/>
      <c r="D135" s="26" t="s">
        <v>1119</v>
      </c>
      <c r="E135" s="27" t="s">
        <v>1106</v>
      </c>
      <c r="F135" s="26">
        <f t="shared" si="4"/>
        <v>5</v>
      </c>
      <c r="G135" s="32"/>
      <c r="H135" s="32"/>
      <c r="I135" s="32"/>
      <c r="J135" s="32"/>
      <c r="K135" s="32">
        <v>0.5</v>
      </c>
      <c r="L135" s="32"/>
      <c r="M135" s="34">
        <v>29</v>
      </c>
      <c r="N135" s="14">
        <f t="shared" si="5"/>
        <v>145</v>
      </c>
      <c r="O135" s="26"/>
      <c r="P135" s="26"/>
      <c r="Q135" s="26"/>
      <c r="R135" s="26"/>
    </row>
    <row r="136" spans="1:18">
      <c r="A136" s="28" t="s">
        <v>876</v>
      </c>
      <c r="B136" s="28" t="s">
        <v>1073</v>
      </c>
      <c r="C136" s="26"/>
      <c r="D136" s="26" t="s">
        <v>1117</v>
      </c>
      <c r="E136" s="27" t="s">
        <v>1105</v>
      </c>
      <c r="F136" s="26">
        <f t="shared" si="4"/>
        <v>5</v>
      </c>
      <c r="G136" s="32"/>
      <c r="H136" s="32"/>
      <c r="I136" s="32"/>
      <c r="J136" s="32"/>
      <c r="K136" s="32">
        <v>0.5</v>
      </c>
      <c r="L136" s="32"/>
      <c r="M136" s="34">
        <v>20</v>
      </c>
      <c r="N136" s="14">
        <f t="shared" si="5"/>
        <v>100</v>
      </c>
      <c r="O136" s="26"/>
      <c r="P136" s="26"/>
      <c r="Q136" s="26"/>
      <c r="R136" s="26"/>
    </row>
    <row r="137" spans="1:18">
      <c r="A137" s="28" t="s">
        <v>876</v>
      </c>
      <c r="B137" s="28" t="s">
        <v>1073</v>
      </c>
      <c r="C137" s="26"/>
      <c r="D137" s="26" t="s">
        <v>1118</v>
      </c>
      <c r="E137" s="27" t="s">
        <v>869</v>
      </c>
      <c r="F137" s="26">
        <f t="shared" si="4"/>
        <v>5</v>
      </c>
      <c r="G137" s="32"/>
      <c r="H137" s="32"/>
      <c r="I137" s="32"/>
      <c r="J137" s="32"/>
      <c r="K137" s="32">
        <v>0.5</v>
      </c>
      <c r="L137" s="32"/>
      <c r="M137" s="34">
        <v>20</v>
      </c>
      <c r="N137" s="14">
        <f t="shared" si="5"/>
        <v>100</v>
      </c>
      <c r="O137" s="26"/>
      <c r="P137" s="26"/>
      <c r="Q137" s="26"/>
      <c r="R137" s="26"/>
    </row>
    <row r="138" spans="1:18">
      <c r="A138" s="28" t="s">
        <v>876</v>
      </c>
      <c r="B138" s="28" t="s">
        <v>1073</v>
      </c>
      <c r="C138" s="26"/>
      <c r="D138" s="26" t="s">
        <v>974</v>
      </c>
      <c r="E138" s="27" t="s">
        <v>975</v>
      </c>
      <c r="F138" s="26">
        <f t="shared" si="4"/>
        <v>0</v>
      </c>
      <c r="G138" s="32"/>
      <c r="H138" s="32"/>
      <c r="I138" s="32"/>
      <c r="J138" s="32"/>
      <c r="K138" s="32"/>
      <c r="L138" s="32"/>
      <c r="M138" s="34">
        <v>126</v>
      </c>
      <c r="N138" s="14">
        <f t="shared" si="5"/>
        <v>0</v>
      </c>
      <c r="O138" s="26"/>
      <c r="P138" s="26"/>
      <c r="Q138" s="26"/>
      <c r="R138" s="26"/>
    </row>
    <row r="139" spans="1:18">
      <c r="A139" s="28" t="s">
        <v>876</v>
      </c>
      <c r="B139" s="28" t="s">
        <v>1073</v>
      </c>
      <c r="D139" s="26" t="s">
        <v>1121</v>
      </c>
      <c r="E139" s="44" t="s">
        <v>1122</v>
      </c>
      <c r="F139" s="26">
        <f t="shared" si="4"/>
        <v>20</v>
      </c>
      <c r="K139" s="45">
        <v>2</v>
      </c>
      <c r="M139" s="13">
        <v>0</v>
      </c>
      <c r="N139" s="14">
        <f t="shared" si="5"/>
        <v>0</v>
      </c>
    </row>
    <row r="140" spans="1:18">
      <c r="A140" t="s">
        <v>876</v>
      </c>
      <c r="B140" t="s">
        <v>764</v>
      </c>
      <c r="D140" t="s">
        <v>1441</v>
      </c>
      <c r="E140" s="44" t="s">
        <v>1442</v>
      </c>
      <c r="F140" s="26">
        <f t="shared" si="4"/>
        <v>2</v>
      </c>
      <c r="L140" s="45">
        <v>2</v>
      </c>
      <c r="M140" s="13">
        <v>225</v>
      </c>
      <c r="N140" s="14">
        <f t="shared" si="5"/>
        <v>450</v>
      </c>
    </row>
    <row r="141" spans="1:18">
      <c r="A141" t="s">
        <v>876</v>
      </c>
      <c r="B141" t="s">
        <v>764</v>
      </c>
      <c r="D141" t="s">
        <v>1443</v>
      </c>
      <c r="E141" s="44" t="s">
        <v>1444</v>
      </c>
      <c r="F141" s="26">
        <f t="shared" si="4"/>
        <v>2</v>
      </c>
      <c r="L141" s="45">
        <v>2</v>
      </c>
      <c r="M141" s="13">
        <v>225</v>
      </c>
      <c r="N141" s="14">
        <f t="shared" si="5"/>
        <v>450</v>
      </c>
    </row>
    <row r="142" spans="1:18">
      <c r="A142" t="s">
        <v>876</v>
      </c>
      <c r="B142" t="s">
        <v>832</v>
      </c>
      <c r="D142" t="s">
        <v>1445</v>
      </c>
      <c r="E142" s="44" t="s">
        <v>1446</v>
      </c>
      <c r="F142" s="26">
        <f t="shared" si="4"/>
        <v>50</v>
      </c>
      <c r="I142" s="45">
        <v>1</v>
      </c>
      <c r="M142" s="13">
        <v>102</v>
      </c>
      <c r="N142" s="14">
        <f t="shared" si="5"/>
        <v>5100</v>
      </c>
    </row>
    <row r="143" spans="1:18">
      <c r="A143" t="s">
        <v>876</v>
      </c>
      <c r="B143" t="s">
        <v>1112</v>
      </c>
      <c r="D143" t="s">
        <v>1440</v>
      </c>
      <c r="E143" s="44" t="s">
        <v>1448</v>
      </c>
      <c r="F143" s="26">
        <f t="shared" si="4"/>
        <v>5</v>
      </c>
      <c r="K143" s="45">
        <v>0.5</v>
      </c>
      <c r="M143" s="13">
        <v>200</v>
      </c>
      <c r="N143" s="14">
        <f t="shared" si="5"/>
        <v>1000</v>
      </c>
    </row>
    <row r="144" spans="1:18">
      <c r="A144" t="s">
        <v>876</v>
      </c>
      <c r="B144" t="s">
        <v>832</v>
      </c>
      <c r="D144" t="s">
        <v>1449</v>
      </c>
      <c r="E144" s="44" t="s">
        <v>1450</v>
      </c>
      <c r="F144" s="26">
        <f t="shared" si="4"/>
        <v>100</v>
      </c>
      <c r="H144" s="45">
        <v>1</v>
      </c>
      <c r="M144" s="13">
        <v>60</v>
      </c>
      <c r="N144" s="14">
        <f t="shared" si="5"/>
        <v>6000</v>
      </c>
    </row>
    <row r="145" spans="1:14">
      <c r="A145" t="s">
        <v>876</v>
      </c>
      <c r="B145" t="s">
        <v>832</v>
      </c>
      <c r="D145" t="s">
        <v>1451</v>
      </c>
      <c r="E145" s="44" t="s">
        <v>1452</v>
      </c>
      <c r="F145" s="26">
        <f t="shared" si="4"/>
        <v>10</v>
      </c>
      <c r="K145" s="45">
        <v>1</v>
      </c>
      <c r="M145" s="13">
        <v>60</v>
      </c>
      <c r="N145" s="14">
        <f t="shared" si="5"/>
        <v>600</v>
      </c>
    </row>
    <row r="146" spans="1:14">
      <c r="A146" t="s">
        <v>876</v>
      </c>
      <c r="B146" t="s">
        <v>764</v>
      </c>
      <c r="D146" t="s">
        <v>1462</v>
      </c>
      <c r="E146" s="44" t="s">
        <v>1463</v>
      </c>
      <c r="F146" s="26">
        <f t="shared" si="4"/>
        <v>20</v>
      </c>
      <c r="K146" s="45">
        <v>2</v>
      </c>
      <c r="M146" s="13">
        <v>100</v>
      </c>
      <c r="N146" s="14">
        <f t="shared" si="5"/>
        <v>2000</v>
      </c>
    </row>
    <row r="147" spans="1:14">
      <c r="A147" t="s">
        <v>876</v>
      </c>
      <c r="B147" t="s">
        <v>764</v>
      </c>
      <c r="D147" t="s">
        <v>1464</v>
      </c>
      <c r="E147" s="44" t="s">
        <v>1465</v>
      </c>
      <c r="F147" s="26">
        <f t="shared" si="4"/>
        <v>20</v>
      </c>
      <c r="K147" s="45">
        <v>2</v>
      </c>
      <c r="M147" s="13">
        <v>90</v>
      </c>
      <c r="N147" s="14">
        <f t="shared" si="5"/>
        <v>1800</v>
      </c>
    </row>
    <row r="148" spans="1:14">
      <c r="A148" t="s">
        <v>1424</v>
      </c>
      <c r="B148" t="s">
        <v>621</v>
      </c>
      <c r="D148" t="s">
        <v>1475</v>
      </c>
      <c r="E148" s="44" t="s">
        <v>760</v>
      </c>
      <c r="F148" s="26">
        <f t="shared" si="4"/>
        <v>5</v>
      </c>
      <c r="L148" s="45">
        <v>5</v>
      </c>
      <c r="M148" s="13">
        <v>55</v>
      </c>
      <c r="N148" s="14">
        <f t="shared" si="5"/>
        <v>275</v>
      </c>
    </row>
    <row r="149" spans="1:14">
      <c r="A149" t="s">
        <v>1424</v>
      </c>
      <c r="B149" t="s">
        <v>621</v>
      </c>
      <c r="D149" t="s">
        <v>1476</v>
      </c>
      <c r="E149" s="44" t="s">
        <v>760</v>
      </c>
      <c r="F149" s="26">
        <f t="shared" si="4"/>
        <v>5</v>
      </c>
      <c r="L149" s="45">
        <v>5</v>
      </c>
      <c r="M149" s="13">
        <v>52</v>
      </c>
      <c r="N149" s="14">
        <f t="shared" si="5"/>
        <v>260</v>
      </c>
    </row>
    <row r="150" spans="1:14">
      <c r="A150" t="s">
        <v>1424</v>
      </c>
      <c r="B150" t="s">
        <v>621</v>
      </c>
      <c r="D150" t="s">
        <v>1477</v>
      </c>
      <c r="E150" s="44" t="s">
        <v>760</v>
      </c>
      <c r="F150" s="26">
        <f t="shared" si="4"/>
        <v>5</v>
      </c>
      <c r="L150" s="45">
        <v>5</v>
      </c>
      <c r="M150" s="13">
        <v>55</v>
      </c>
      <c r="N150" s="14">
        <f t="shared" si="5"/>
        <v>275</v>
      </c>
    </row>
    <row r="151" spans="1:14">
      <c r="A151" t="s">
        <v>1424</v>
      </c>
      <c r="B151" t="s">
        <v>621</v>
      </c>
      <c r="D151" t="s">
        <v>1478</v>
      </c>
      <c r="E151" s="44" t="s">
        <v>760</v>
      </c>
      <c r="F151" s="26">
        <f t="shared" si="4"/>
        <v>5</v>
      </c>
      <c r="L151" s="45">
        <v>5</v>
      </c>
      <c r="M151" s="13">
        <v>52</v>
      </c>
      <c r="N151" s="14">
        <f t="shared" si="5"/>
        <v>260</v>
      </c>
    </row>
    <row r="152" spans="1:14">
      <c r="F152" s="26">
        <f t="shared" si="4"/>
        <v>0</v>
      </c>
      <c r="N152" s="14">
        <f t="shared" si="5"/>
        <v>0</v>
      </c>
    </row>
    <row r="153" spans="1:14">
      <c r="F153" s="26">
        <f t="shared" si="4"/>
        <v>0</v>
      </c>
      <c r="N153" s="14">
        <f t="shared" si="5"/>
        <v>0</v>
      </c>
    </row>
    <row r="154" spans="1:14">
      <c r="F154" s="26">
        <f t="shared" si="4"/>
        <v>0</v>
      </c>
      <c r="N154" s="14">
        <f t="shared" si="5"/>
        <v>0</v>
      </c>
    </row>
    <row r="155" spans="1:14">
      <c r="F155" s="26">
        <f t="shared" si="4"/>
        <v>0</v>
      </c>
      <c r="N155" s="14">
        <f t="shared" si="5"/>
        <v>0</v>
      </c>
    </row>
    <row r="156" spans="1:14">
      <c r="F156" s="26">
        <f t="shared" si="4"/>
        <v>0</v>
      </c>
      <c r="N156" s="14">
        <f t="shared" si="5"/>
        <v>0</v>
      </c>
    </row>
    <row r="157" spans="1:14">
      <c r="F157" s="26">
        <f t="shared" si="4"/>
        <v>0</v>
      </c>
      <c r="N157" s="14">
        <f t="shared" si="5"/>
        <v>0</v>
      </c>
    </row>
    <row r="158" spans="1:14">
      <c r="F158" s="26">
        <f t="shared" si="4"/>
        <v>0</v>
      </c>
      <c r="N158" s="14">
        <f t="shared" si="5"/>
        <v>0</v>
      </c>
    </row>
    <row r="159" spans="1:14">
      <c r="F159" s="26">
        <f t="shared" si="4"/>
        <v>0</v>
      </c>
      <c r="N159" s="14">
        <f t="shared" si="5"/>
        <v>0</v>
      </c>
    </row>
    <row r="160" spans="1:14">
      <c r="F160" s="26">
        <f t="shared" si="4"/>
        <v>0</v>
      </c>
      <c r="N160" s="14">
        <f t="shared" si="5"/>
        <v>0</v>
      </c>
    </row>
    <row r="161" spans="6:14">
      <c r="F161" s="26">
        <f t="shared" si="4"/>
        <v>0</v>
      </c>
      <c r="N161" s="14">
        <f t="shared" si="5"/>
        <v>0</v>
      </c>
    </row>
  </sheetData>
  <sheetProtection algorithmName="SHA-512" hashValue="ssPv/TjjrotzMuqAgqqLxcPmayTQwvpgxXFvH1bwUG6ClOvpSqHkG2bFB+x85QG2aPyffkT9SPIVVAwAIh/UcQ==" saltValue="0s6Pz1GQF2m3Ih5XVAYYeQ==" spinCount="100000" sheet="1" objects="1" scenarios="1" autoFilter="0"/>
  <autoFilter ref="A1:T139" xr:uid="{2493E716-ACD2-46A7-82CB-E01DFEABC119}">
    <sortState xmlns:xlrd2="http://schemas.microsoft.com/office/spreadsheetml/2017/richdata2" ref="A2:T139">
      <sortCondition descending="1" ref="A2:A139"/>
      <sortCondition ref="B2:B139"/>
    </sortState>
  </autoFilter>
  <sortState xmlns:xlrd2="http://schemas.microsoft.com/office/spreadsheetml/2017/richdata2" ref="A6:T115">
    <sortCondition ref="B2:B115"/>
    <sortCondition ref="D2:D115"/>
  </sortState>
  <phoneticPr fontId="6" type="noConversion"/>
  <conditionalFormatting sqref="A1:R1048576">
    <cfRule type="expression" dxfId="49" priority="1">
      <formula>OR(CELL("col")=COLUMN(), CELL("row")=ROW())</formula>
    </cfRule>
    <cfRule type="expression" dxfId="48" priority="2">
      <formula>AND(ROW()&lt;&gt;1,MOD(ROW(), 2)=1, NOT(ISBLANK($A1)))</formula>
    </cfRule>
  </conditionalFormatting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DEC18B-9EBE-46C4-A844-10971DD63C10}">
          <x14:formula1>
            <xm:f>Data!$A$1:$A$23</xm:f>
          </x14:formula1>
          <xm:sqref>A2:A161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DA93-C7E7-4932-AFB4-AEABEBB0B036}">
  <sheetPr codeName="Sheet4">
    <tabColor rgb="FF7030A0"/>
  </sheetPr>
  <dimension ref="A1:X94"/>
  <sheetViews>
    <sheetView zoomScale="86" workbookViewId="0">
      <pane xSplit="5" ySplit="1" topLeftCell="J5" activePane="bottomRight" state="frozen"/>
      <selection pane="topRight" activeCell="F1" sqref="F1"/>
      <selection pane="bottomLeft" activeCell="A2" sqref="A2"/>
      <selection pane="bottomRight" sqref="A1:XFD1048576"/>
    </sheetView>
  </sheetViews>
  <sheetFormatPr defaultColWidth="9.140625" defaultRowHeight="15"/>
  <cols>
    <col min="1" max="1" width="10" bestFit="1" customWidth="1"/>
    <col min="2" max="2" width="10.7109375" bestFit="1" customWidth="1"/>
    <col min="3" max="3" width="18" bestFit="1" customWidth="1"/>
    <col min="4" max="4" width="40.42578125" bestFit="1" customWidth="1"/>
    <col min="5" max="5" width="20.7109375" bestFit="1" customWidth="1"/>
    <col min="6" max="6" width="9.7109375" bestFit="1" customWidth="1"/>
    <col min="7" max="11" width="9.7109375" customWidth="1"/>
    <col min="12" max="16" width="11.5703125" customWidth="1"/>
    <col min="17" max="17" width="12.5703125" style="48" bestFit="1" customWidth="1"/>
    <col min="18" max="18" width="11.5703125" style="13" bestFit="1" customWidth="1"/>
    <col min="19" max="19" width="14.140625" bestFit="1" customWidth="1"/>
    <col min="20" max="20" width="17.5703125" bestFit="1" customWidth="1"/>
    <col min="21" max="21" width="9.28515625" bestFit="1" customWidth="1"/>
    <col min="22" max="22" width="12.85546875" bestFit="1" customWidth="1"/>
    <col min="23" max="23" width="17.5703125" bestFit="1" customWidth="1"/>
    <col min="24" max="24" width="13.85546875" bestFit="1" customWidth="1"/>
  </cols>
  <sheetData>
    <row r="1" spans="1:24">
      <c r="A1" s="40" t="s">
        <v>664</v>
      </c>
      <c r="B1" s="40" t="s">
        <v>6</v>
      </c>
      <c r="C1" s="41" t="s">
        <v>0</v>
      </c>
      <c r="D1" s="41" t="s">
        <v>754</v>
      </c>
      <c r="E1" s="41" t="s">
        <v>755</v>
      </c>
      <c r="F1" s="3" t="s">
        <v>707</v>
      </c>
      <c r="G1" s="43">
        <v>50</v>
      </c>
      <c r="H1" s="43">
        <v>25</v>
      </c>
      <c r="I1" s="43">
        <v>10</v>
      </c>
      <c r="J1" s="43">
        <v>5</v>
      </c>
      <c r="K1" s="43">
        <v>2</v>
      </c>
      <c r="L1" s="43">
        <v>1</v>
      </c>
      <c r="M1" s="43">
        <v>0.5</v>
      </c>
      <c r="N1" s="43">
        <v>0.25</v>
      </c>
      <c r="O1" s="43">
        <v>0.1</v>
      </c>
      <c r="P1" s="43">
        <v>0.01</v>
      </c>
      <c r="Q1" s="15" t="s">
        <v>330</v>
      </c>
      <c r="R1" s="11" t="s">
        <v>287</v>
      </c>
      <c r="S1" s="9" t="s">
        <v>604</v>
      </c>
      <c r="T1" s="9" t="s">
        <v>606</v>
      </c>
      <c r="U1" s="9" t="s">
        <v>993</v>
      </c>
      <c r="V1" s="9" t="s">
        <v>605</v>
      </c>
      <c r="W1" t="s">
        <v>288</v>
      </c>
      <c r="X1" s="8">
        <f>SUM(R:R)</f>
        <v>54040.559750000008</v>
      </c>
    </row>
    <row r="2" spans="1:24">
      <c r="A2" s="26" t="s">
        <v>875</v>
      </c>
      <c r="B2" s="26" t="s">
        <v>616</v>
      </c>
      <c r="D2" s="26" t="s">
        <v>1166</v>
      </c>
      <c r="E2" s="27" t="s">
        <v>1163</v>
      </c>
      <c r="F2">
        <f>$G$1*G2+$H$1*H2+$I$1*I2+$J$1*J2+$K$1*K2+$L$1*L2+$M$1*M2+$N$1*N2+$O$1*O2+$P$1*P2</f>
        <v>54</v>
      </c>
      <c r="K2">
        <v>27</v>
      </c>
      <c r="Q2" s="48">
        <v>450</v>
      </c>
      <c r="R2" s="12">
        <f>+F2*Q2</f>
        <v>24300</v>
      </c>
    </row>
    <row r="3" spans="1:24">
      <c r="A3" t="s">
        <v>875</v>
      </c>
      <c r="B3" t="s">
        <v>616</v>
      </c>
      <c r="D3" t="s">
        <v>989</v>
      </c>
      <c r="E3" t="s">
        <v>1163</v>
      </c>
      <c r="F3">
        <f>$G$1*G3+$H$1*H3+$I$1*I3+$J$1*J3+$K$1*K3+$L$1*L3+$M$1*M3+$N$1*N3+$O$1*O3+$P$1*P3</f>
        <v>10</v>
      </c>
      <c r="K3">
        <v>5</v>
      </c>
      <c r="Q3" s="49">
        <v>450</v>
      </c>
      <c r="R3" s="12">
        <f t="shared" ref="R3:R66" si="0">+F3*Q3</f>
        <v>4500</v>
      </c>
    </row>
    <row r="4" spans="1:24">
      <c r="A4" t="s">
        <v>875</v>
      </c>
      <c r="B4" t="s">
        <v>616</v>
      </c>
      <c r="D4" t="s">
        <v>1179</v>
      </c>
      <c r="E4" t="s">
        <v>834</v>
      </c>
      <c r="F4">
        <f>$G$1*G4+$H$1*H4+$I$1*I4+$J$1*J4+$K$1*K4+$L$1*L4+$M$1*M4+$N$1*N4+$O$1*O4+$P$1*P4</f>
        <v>5</v>
      </c>
      <c r="L4">
        <v>5</v>
      </c>
      <c r="Q4" s="49">
        <v>688</v>
      </c>
      <c r="R4" s="12">
        <f t="shared" si="0"/>
        <v>3440</v>
      </c>
    </row>
    <row r="5" spans="1:24">
      <c r="A5" t="s">
        <v>875</v>
      </c>
      <c r="B5" t="s">
        <v>616</v>
      </c>
      <c r="D5" t="s">
        <v>874</v>
      </c>
      <c r="E5" t="s">
        <v>760</v>
      </c>
      <c r="F5">
        <f t="shared" ref="F5:F67" si="1">$G$1*G5+$H$1*H5+$I$1*I5+$J$1*J5+$K$1*K5+$L$1*L5+$M$1*M5+$N$1*N5+$O$1*O5+$P$1*P5</f>
        <v>100</v>
      </c>
      <c r="L5">
        <v>100</v>
      </c>
      <c r="Q5" s="49">
        <v>27</v>
      </c>
      <c r="R5" s="12">
        <f t="shared" si="0"/>
        <v>2700</v>
      </c>
    </row>
    <row r="6" spans="1:24">
      <c r="A6" t="s">
        <v>875</v>
      </c>
      <c r="B6" t="s">
        <v>616</v>
      </c>
      <c r="D6" t="s">
        <v>988</v>
      </c>
      <c r="E6" t="s">
        <v>1163</v>
      </c>
      <c r="F6">
        <f t="shared" si="1"/>
        <v>6</v>
      </c>
      <c r="K6">
        <v>3</v>
      </c>
      <c r="Q6" s="49">
        <v>450</v>
      </c>
      <c r="R6" s="12">
        <f t="shared" si="0"/>
        <v>2700</v>
      </c>
    </row>
    <row r="7" spans="1:24">
      <c r="A7" s="26" t="s">
        <v>875</v>
      </c>
      <c r="B7" s="26" t="s">
        <v>616</v>
      </c>
      <c r="D7" s="26" t="s">
        <v>1169</v>
      </c>
      <c r="E7" s="27" t="s">
        <v>1168</v>
      </c>
      <c r="F7">
        <f t="shared" si="1"/>
        <v>1</v>
      </c>
      <c r="L7">
        <v>1</v>
      </c>
      <c r="Q7" s="48">
        <v>400</v>
      </c>
      <c r="R7" s="12">
        <f t="shared" si="0"/>
        <v>400</v>
      </c>
    </row>
    <row r="8" spans="1:24">
      <c r="A8" s="26" t="s">
        <v>875</v>
      </c>
      <c r="B8" s="26" t="s">
        <v>616</v>
      </c>
      <c r="D8" s="26" t="s">
        <v>1170</v>
      </c>
      <c r="E8" s="27" t="s">
        <v>1171</v>
      </c>
      <c r="F8">
        <f t="shared" si="1"/>
        <v>0.1</v>
      </c>
      <c r="O8">
        <v>1</v>
      </c>
      <c r="Q8" s="48">
        <v>30</v>
      </c>
      <c r="R8" s="12">
        <f t="shared" si="0"/>
        <v>3</v>
      </c>
    </row>
    <row r="9" spans="1:24">
      <c r="A9" s="26" t="s">
        <v>875</v>
      </c>
      <c r="B9" s="26" t="s">
        <v>616</v>
      </c>
      <c r="D9" s="26" t="s">
        <v>1349</v>
      </c>
      <c r="E9" s="27" t="s">
        <v>1177</v>
      </c>
      <c r="F9">
        <f t="shared" si="1"/>
        <v>25</v>
      </c>
      <c r="H9">
        <v>1</v>
      </c>
      <c r="Q9" s="48">
        <v>25.4</v>
      </c>
      <c r="R9" s="12">
        <f t="shared" si="0"/>
        <v>635</v>
      </c>
    </row>
    <row r="10" spans="1:24">
      <c r="A10" t="s">
        <v>875</v>
      </c>
      <c r="B10" t="s">
        <v>616</v>
      </c>
      <c r="D10" t="s">
        <v>1178</v>
      </c>
      <c r="E10" t="s">
        <v>836</v>
      </c>
      <c r="F10">
        <f t="shared" si="1"/>
        <v>1</v>
      </c>
      <c r="L10">
        <v>1</v>
      </c>
      <c r="Q10" s="49"/>
      <c r="R10" s="12">
        <f t="shared" si="0"/>
        <v>0</v>
      </c>
    </row>
    <row r="11" spans="1:24">
      <c r="A11" t="s">
        <v>875</v>
      </c>
      <c r="B11" t="s">
        <v>616</v>
      </c>
      <c r="D11" t="s">
        <v>1201</v>
      </c>
      <c r="E11" t="s">
        <v>1200</v>
      </c>
      <c r="F11">
        <f t="shared" si="1"/>
        <v>1</v>
      </c>
      <c r="L11">
        <v>1</v>
      </c>
      <c r="R11" s="12">
        <f t="shared" si="0"/>
        <v>0</v>
      </c>
    </row>
    <row r="12" spans="1:24">
      <c r="A12" t="s">
        <v>875</v>
      </c>
      <c r="B12" t="s">
        <v>616</v>
      </c>
      <c r="D12" t="s">
        <v>1359</v>
      </c>
      <c r="E12" t="s">
        <v>1347</v>
      </c>
      <c r="F12">
        <f t="shared" si="1"/>
        <v>0</v>
      </c>
      <c r="R12" s="12">
        <f t="shared" si="0"/>
        <v>0</v>
      </c>
    </row>
    <row r="13" spans="1:24">
      <c r="A13" t="s">
        <v>875</v>
      </c>
      <c r="B13" t="s">
        <v>616</v>
      </c>
      <c r="D13" t="s">
        <v>1436</v>
      </c>
      <c r="E13" t="s">
        <v>1348</v>
      </c>
      <c r="F13">
        <f t="shared" si="1"/>
        <v>4.5</v>
      </c>
      <c r="M13">
        <v>9</v>
      </c>
      <c r="R13" s="12">
        <f t="shared" si="0"/>
        <v>0</v>
      </c>
    </row>
    <row r="14" spans="1:24">
      <c r="A14" s="26" t="s">
        <v>875</v>
      </c>
      <c r="B14" s="26" t="s">
        <v>616</v>
      </c>
      <c r="D14" s="26" t="s">
        <v>1351</v>
      </c>
      <c r="E14" s="27" t="s">
        <v>1177</v>
      </c>
      <c r="F14">
        <f t="shared" si="1"/>
        <v>35</v>
      </c>
      <c r="H14">
        <v>1</v>
      </c>
      <c r="J14">
        <v>2</v>
      </c>
      <c r="Q14" s="48">
        <v>25.4</v>
      </c>
      <c r="R14" s="12">
        <f t="shared" si="0"/>
        <v>889</v>
      </c>
    </row>
    <row r="15" spans="1:24">
      <c r="A15" s="26" t="s">
        <v>875</v>
      </c>
      <c r="B15" s="26" t="s">
        <v>616</v>
      </c>
      <c r="D15" t="s">
        <v>1353</v>
      </c>
      <c r="E15" t="s">
        <v>1354</v>
      </c>
      <c r="F15">
        <f t="shared" si="1"/>
        <v>100</v>
      </c>
      <c r="G15">
        <v>2</v>
      </c>
      <c r="R15" s="12">
        <f t="shared" si="0"/>
        <v>0</v>
      </c>
    </row>
    <row r="16" spans="1:24">
      <c r="A16" s="26" t="s">
        <v>875</v>
      </c>
      <c r="B16" s="26" t="s">
        <v>616</v>
      </c>
      <c r="D16" t="s">
        <v>1356</v>
      </c>
      <c r="E16" t="s">
        <v>1357</v>
      </c>
      <c r="F16">
        <f t="shared" si="1"/>
        <v>0.1</v>
      </c>
      <c r="O16">
        <v>1</v>
      </c>
      <c r="R16" s="12">
        <f t="shared" si="0"/>
        <v>0</v>
      </c>
    </row>
    <row r="17" spans="1:18">
      <c r="A17" s="26" t="s">
        <v>875</v>
      </c>
      <c r="B17" s="26" t="s">
        <v>616</v>
      </c>
      <c r="D17" t="s">
        <v>1358</v>
      </c>
      <c r="E17" t="s">
        <v>1197</v>
      </c>
      <c r="F17">
        <f t="shared" si="1"/>
        <v>5</v>
      </c>
      <c r="J17">
        <v>1</v>
      </c>
      <c r="R17" s="12">
        <f t="shared" si="0"/>
        <v>0</v>
      </c>
    </row>
    <row r="18" spans="1:18">
      <c r="A18" t="s">
        <v>875</v>
      </c>
      <c r="B18" t="s">
        <v>618</v>
      </c>
      <c r="D18" t="s">
        <v>954</v>
      </c>
      <c r="E18" s="7" t="s">
        <v>955</v>
      </c>
      <c r="F18">
        <f t="shared" si="1"/>
        <v>5</v>
      </c>
      <c r="M18">
        <v>10</v>
      </c>
      <c r="Q18" s="49">
        <v>600</v>
      </c>
      <c r="R18" s="12">
        <f t="shared" si="0"/>
        <v>3000</v>
      </c>
    </row>
    <row r="19" spans="1:18">
      <c r="A19" t="s">
        <v>875</v>
      </c>
      <c r="B19" t="s">
        <v>618</v>
      </c>
      <c r="D19" t="s">
        <v>890</v>
      </c>
      <c r="E19" t="s">
        <v>891</v>
      </c>
      <c r="F19">
        <f t="shared" si="1"/>
        <v>5.0000000000000001E-3</v>
      </c>
      <c r="P19">
        <v>0.5</v>
      </c>
      <c r="Q19" s="49">
        <v>150000</v>
      </c>
      <c r="R19" s="12">
        <f t="shared" si="0"/>
        <v>750</v>
      </c>
    </row>
    <row r="20" spans="1:18">
      <c r="A20" t="s">
        <v>875</v>
      </c>
      <c r="B20" t="s">
        <v>618</v>
      </c>
      <c r="D20" t="s">
        <v>904</v>
      </c>
      <c r="E20" t="s">
        <v>905</v>
      </c>
      <c r="F20">
        <f t="shared" si="1"/>
        <v>0.25</v>
      </c>
      <c r="N20">
        <v>1</v>
      </c>
      <c r="Q20" s="49">
        <v>2600</v>
      </c>
      <c r="R20" s="12">
        <f t="shared" si="0"/>
        <v>650</v>
      </c>
    </row>
    <row r="21" spans="1:18">
      <c r="A21" t="s">
        <v>875</v>
      </c>
      <c r="B21" t="s">
        <v>618</v>
      </c>
      <c r="D21" t="s">
        <v>981</v>
      </c>
      <c r="E21" t="s">
        <v>899</v>
      </c>
      <c r="F21">
        <f t="shared" si="1"/>
        <v>0.1</v>
      </c>
      <c r="O21">
        <v>1</v>
      </c>
      <c r="Q21" s="49">
        <v>5750</v>
      </c>
      <c r="R21" s="12">
        <f t="shared" si="0"/>
        <v>575</v>
      </c>
    </row>
    <row r="22" spans="1:18">
      <c r="A22" t="s">
        <v>875</v>
      </c>
      <c r="B22" t="s">
        <v>618</v>
      </c>
      <c r="D22" t="s">
        <v>1311</v>
      </c>
      <c r="E22" t="s">
        <v>1483</v>
      </c>
      <c r="F22">
        <f t="shared" si="1"/>
        <v>0.15</v>
      </c>
      <c r="P22">
        <v>15</v>
      </c>
      <c r="R22" s="12">
        <f t="shared" si="0"/>
        <v>0</v>
      </c>
    </row>
    <row r="23" spans="1:18">
      <c r="A23" t="s">
        <v>875</v>
      </c>
      <c r="B23" t="s">
        <v>618</v>
      </c>
      <c r="D23" t="s">
        <v>892</v>
      </c>
      <c r="E23" t="s">
        <v>893</v>
      </c>
      <c r="F23">
        <f t="shared" si="1"/>
        <v>0.17</v>
      </c>
      <c r="P23">
        <v>17</v>
      </c>
      <c r="Q23" s="49">
        <v>2470</v>
      </c>
      <c r="R23" s="12">
        <f t="shared" si="0"/>
        <v>419.90000000000003</v>
      </c>
    </row>
    <row r="24" spans="1:18">
      <c r="A24" t="s">
        <v>875</v>
      </c>
      <c r="B24" t="s">
        <v>618</v>
      </c>
      <c r="D24" t="s">
        <v>909</v>
      </c>
      <c r="E24">
        <v>10224</v>
      </c>
      <c r="F24">
        <f t="shared" si="1"/>
        <v>1</v>
      </c>
      <c r="L24">
        <v>1</v>
      </c>
      <c r="Q24" s="49">
        <v>388</v>
      </c>
      <c r="R24" s="12">
        <f t="shared" si="0"/>
        <v>388</v>
      </c>
    </row>
    <row r="25" spans="1:18">
      <c r="A25" t="s">
        <v>875</v>
      </c>
      <c r="B25" t="s">
        <v>618</v>
      </c>
      <c r="D25" t="s">
        <v>906</v>
      </c>
      <c r="E25" t="s">
        <v>907</v>
      </c>
      <c r="F25">
        <f t="shared" si="1"/>
        <v>5.0000000000000001E-3</v>
      </c>
      <c r="P25">
        <v>0.5</v>
      </c>
      <c r="Q25" s="49">
        <v>52000</v>
      </c>
      <c r="R25" s="12">
        <f>+F25*Q25</f>
        <v>260</v>
      </c>
    </row>
    <row r="26" spans="1:18">
      <c r="A26" t="s">
        <v>875</v>
      </c>
      <c r="B26" t="s">
        <v>618</v>
      </c>
      <c r="D26" t="s">
        <v>1268</v>
      </c>
      <c r="E26" t="s">
        <v>1269</v>
      </c>
      <c r="F26">
        <f t="shared" si="1"/>
        <v>5</v>
      </c>
      <c r="J26">
        <v>1</v>
      </c>
      <c r="R26" s="12">
        <f t="shared" si="0"/>
        <v>0</v>
      </c>
    </row>
    <row r="27" spans="1:18">
      <c r="A27" t="s">
        <v>875</v>
      </c>
      <c r="B27" t="s">
        <v>618</v>
      </c>
      <c r="D27" t="s">
        <v>1309</v>
      </c>
      <c r="E27" t="s">
        <v>1310</v>
      </c>
      <c r="F27">
        <f t="shared" si="1"/>
        <v>0</v>
      </c>
      <c r="R27" s="12">
        <f t="shared" si="0"/>
        <v>0</v>
      </c>
    </row>
    <row r="28" spans="1:18">
      <c r="A28" t="s">
        <v>875</v>
      </c>
      <c r="B28" t="s">
        <v>618</v>
      </c>
      <c r="D28" t="s">
        <v>895</v>
      </c>
      <c r="E28" t="s">
        <v>896</v>
      </c>
      <c r="F28">
        <f t="shared" si="1"/>
        <v>1</v>
      </c>
      <c r="L28">
        <v>1</v>
      </c>
      <c r="Q28" s="49">
        <v>95</v>
      </c>
      <c r="R28" s="12">
        <f t="shared" si="0"/>
        <v>95</v>
      </c>
    </row>
    <row r="29" spans="1:18" ht="14.25" customHeight="1">
      <c r="A29" t="s">
        <v>875</v>
      </c>
      <c r="B29" t="s">
        <v>618</v>
      </c>
      <c r="D29" t="s">
        <v>900</v>
      </c>
      <c r="E29" t="s">
        <v>901</v>
      </c>
      <c r="F29">
        <f t="shared" si="1"/>
        <v>8.5</v>
      </c>
      <c r="L29">
        <v>8.5</v>
      </c>
      <c r="Q29" s="50">
        <v>5.3</v>
      </c>
      <c r="R29" s="12">
        <f t="shared" si="0"/>
        <v>45.05</v>
      </c>
    </row>
    <row r="30" spans="1:18">
      <c r="A30" t="s">
        <v>875</v>
      </c>
      <c r="B30" t="s">
        <v>618</v>
      </c>
      <c r="C30" t="s">
        <v>557</v>
      </c>
      <c r="D30" t="s">
        <v>555</v>
      </c>
      <c r="E30" t="s">
        <v>894</v>
      </c>
      <c r="F30">
        <f t="shared" si="1"/>
        <v>0.25</v>
      </c>
      <c r="N30">
        <v>1</v>
      </c>
      <c r="Q30" s="49">
        <v>7.22</v>
      </c>
      <c r="R30" s="12">
        <f t="shared" si="0"/>
        <v>1.8049999999999999</v>
      </c>
    </row>
    <row r="31" spans="1:18">
      <c r="A31" t="s">
        <v>875</v>
      </c>
      <c r="B31" t="s">
        <v>618</v>
      </c>
      <c r="D31" t="s">
        <v>915</v>
      </c>
      <c r="E31" t="s">
        <v>916</v>
      </c>
      <c r="F31">
        <f t="shared" si="1"/>
        <v>0.13</v>
      </c>
      <c r="P31">
        <v>13</v>
      </c>
      <c r="Q31" s="49">
        <v>4500</v>
      </c>
      <c r="R31" s="12">
        <f t="shared" si="0"/>
        <v>585</v>
      </c>
    </row>
    <row r="32" spans="1:18">
      <c r="A32" t="s">
        <v>875</v>
      </c>
      <c r="B32" t="s">
        <v>618</v>
      </c>
      <c r="C32" t="s">
        <v>568</v>
      </c>
      <c r="D32" t="s">
        <v>567</v>
      </c>
      <c r="E32" t="s">
        <v>898</v>
      </c>
      <c r="F32">
        <f t="shared" si="1"/>
        <v>2</v>
      </c>
      <c r="L32">
        <v>2</v>
      </c>
      <c r="Q32" s="49">
        <v>0.5</v>
      </c>
      <c r="R32" s="12">
        <f t="shared" si="0"/>
        <v>1</v>
      </c>
    </row>
    <row r="33" spans="1:20">
      <c r="A33" t="s">
        <v>875</v>
      </c>
      <c r="B33" t="s">
        <v>618</v>
      </c>
      <c r="D33" t="s">
        <v>902</v>
      </c>
      <c r="E33" t="s">
        <v>903</v>
      </c>
      <c r="F33">
        <f t="shared" si="1"/>
        <v>0.03</v>
      </c>
      <c r="P33">
        <v>3</v>
      </c>
      <c r="Q33" s="49">
        <v>5000</v>
      </c>
      <c r="R33" s="12">
        <f t="shared" si="0"/>
        <v>150</v>
      </c>
    </row>
    <row r="34" spans="1:20">
      <c r="A34" t="s">
        <v>875</v>
      </c>
      <c r="B34" t="s">
        <v>618</v>
      </c>
      <c r="C34" t="s">
        <v>562</v>
      </c>
      <c r="D34" t="s">
        <v>561</v>
      </c>
      <c r="E34" t="s">
        <v>887</v>
      </c>
      <c r="F34">
        <f t="shared" si="1"/>
        <v>1</v>
      </c>
      <c r="L34">
        <v>1</v>
      </c>
      <c r="Q34" s="49">
        <v>0.27900000000000003</v>
      </c>
      <c r="R34" s="12">
        <f t="shared" si="0"/>
        <v>0.27900000000000003</v>
      </c>
    </row>
    <row r="35" spans="1:20">
      <c r="A35" t="s">
        <v>875</v>
      </c>
      <c r="B35" t="s">
        <v>618</v>
      </c>
      <c r="C35" t="s">
        <v>559</v>
      </c>
      <c r="D35" t="s">
        <v>560</v>
      </c>
      <c r="E35" t="s">
        <v>888</v>
      </c>
      <c r="F35">
        <f t="shared" si="1"/>
        <v>2.5000000000000001E-2</v>
      </c>
      <c r="P35">
        <v>2.5</v>
      </c>
      <c r="Q35" s="49">
        <v>10</v>
      </c>
      <c r="R35" s="12">
        <f t="shared" si="0"/>
        <v>0.25</v>
      </c>
    </row>
    <row r="36" spans="1:20">
      <c r="A36" t="s">
        <v>875</v>
      </c>
      <c r="B36" t="s">
        <v>618</v>
      </c>
      <c r="C36" t="s">
        <v>558</v>
      </c>
      <c r="D36" t="s">
        <v>556</v>
      </c>
      <c r="E36" t="s">
        <v>889</v>
      </c>
      <c r="F36">
        <f t="shared" si="1"/>
        <v>0.05</v>
      </c>
      <c r="P36">
        <v>5</v>
      </c>
      <c r="Q36" s="49">
        <v>3.5150000000000001</v>
      </c>
      <c r="R36" s="12">
        <f t="shared" si="0"/>
        <v>0.17575000000000002</v>
      </c>
    </row>
    <row r="37" spans="1:20">
      <c r="A37" t="s">
        <v>875</v>
      </c>
      <c r="B37" t="s">
        <v>618</v>
      </c>
      <c r="D37" t="s">
        <v>913</v>
      </c>
      <c r="E37" t="s">
        <v>914</v>
      </c>
      <c r="F37">
        <f t="shared" si="1"/>
        <v>0.30500000000000005</v>
      </c>
      <c r="O37">
        <v>3</v>
      </c>
      <c r="P37">
        <v>0.5</v>
      </c>
      <c r="Q37" s="49"/>
      <c r="R37" s="12">
        <f t="shared" si="0"/>
        <v>0</v>
      </c>
    </row>
    <row r="38" spans="1:20">
      <c r="A38" t="s">
        <v>875</v>
      </c>
      <c r="B38" t="s">
        <v>618</v>
      </c>
      <c r="D38" t="s">
        <v>911</v>
      </c>
      <c r="E38" t="s">
        <v>912</v>
      </c>
      <c r="F38">
        <f t="shared" si="1"/>
        <v>1.4999999999999999E-2</v>
      </c>
      <c r="P38">
        <v>1.5</v>
      </c>
      <c r="Q38" s="49"/>
      <c r="R38" s="12">
        <f t="shared" si="0"/>
        <v>0</v>
      </c>
    </row>
    <row r="39" spans="1:20">
      <c r="A39" t="s">
        <v>875</v>
      </c>
      <c r="B39" t="s">
        <v>618</v>
      </c>
      <c r="D39" t="s">
        <v>910</v>
      </c>
      <c r="E39">
        <v>41698</v>
      </c>
      <c r="F39">
        <f t="shared" si="1"/>
        <v>1E-3</v>
      </c>
      <c r="P39">
        <v>0.1</v>
      </c>
      <c r="Q39" s="49"/>
      <c r="R39" s="12">
        <f t="shared" si="0"/>
        <v>0</v>
      </c>
    </row>
    <row r="40" spans="1:20">
      <c r="A40" t="s">
        <v>875</v>
      </c>
      <c r="B40" t="s">
        <v>618</v>
      </c>
      <c r="D40" t="s">
        <v>917</v>
      </c>
      <c r="E40" t="s">
        <v>918</v>
      </c>
      <c r="F40">
        <f t="shared" si="1"/>
        <v>0.5</v>
      </c>
      <c r="L40">
        <v>0.5</v>
      </c>
      <c r="Q40" s="49"/>
      <c r="R40" s="12">
        <f t="shared" si="0"/>
        <v>0</v>
      </c>
    </row>
    <row r="41" spans="1:20">
      <c r="A41" t="s">
        <v>875</v>
      </c>
      <c r="B41" t="s">
        <v>618</v>
      </c>
      <c r="D41" t="s">
        <v>908</v>
      </c>
      <c r="E41">
        <v>73720</v>
      </c>
      <c r="F41">
        <f t="shared" si="1"/>
        <v>1</v>
      </c>
      <c r="L41">
        <v>1</v>
      </c>
      <c r="Q41" s="49"/>
      <c r="R41" s="12">
        <f t="shared" si="0"/>
        <v>0</v>
      </c>
    </row>
    <row r="42" spans="1:20">
      <c r="A42" t="s">
        <v>875</v>
      </c>
      <c r="B42" t="s">
        <v>618</v>
      </c>
      <c r="C42" t="s">
        <v>356</v>
      </c>
      <c r="D42" t="s">
        <v>357</v>
      </c>
      <c r="F42">
        <f t="shared" si="1"/>
        <v>0</v>
      </c>
      <c r="Q42" s="49">
        <v>1.5</v>
      </c>
      <c r="R42" s="12">
        <f t="shared" si="0"/>
        <v>0</v>
      </c>
      <c r="T42" t="s">
        <v>358</v>
      </c>
    </row>
    <row r="43" spans="1:20">
      <c r="A43" t="s">
        <v>875</v>
      </c>
      <c r="B43" t="s">
        <v>618</v>
      </c>
      <c r="D43" t="s">
        <v>968</v>
      </c>
      <c r="E43" t="s">
        <v>969</v>
      </c>
      <c r="F43">
        <f t="shared" si="1"/>
        <v>0.1</v>
      </c>
      <c r="O43">
        <v>1</v>
      </c>
      <c r="Q43" s="49">
        <v>18525</v>
      </c>
      <c r="R43" s="12">
        <f t="shared" si="0"/>
        <v>1852.5</v>
      </c>
    </row>
    <row r="44" spans="1:20">
      <c r="A44" t="s">
        <v>875</v>
      </c>
      <c r="B44" t="s">
        <v>618</v>
      </c>
      <c r="C44" t="s">
        <v>292</v>
      </c>
      <c r="D44" t="s">
        <v>291</v>
      </c>
      <c r="E44" t="s">
        <v>1447</v>
      </c>
      <c r="F44">
        <f t="shared" si="1"/>
        <v>2</v>
      </c>
      <c r="N44">
        <v>8</v>
      </c>
      <c r="Q44" s="49">
        <v>1927.5</v>
      </c>
      <c r="R44" s="12">
        <f t="shared" si="0"/>
        <v>3855</v>
      </c>
    </row>
    <row r="45" spans="1:20">
      <c r="A45" t="s">
        <v>875</v>
      </c>
      <c r="B45" t="s">
        <v>618</v>
      </c>
      <c r="D45" t="s">
        <v>1172</v>
      </c>
      <c r="E45" t="s">
        <v>1173</v>
      </c>
      <c r="F45">
        <f t="shared" si="1"/>
        <v>25</v>
      </c>
      <c r="L45">
        <v>25</v>
      </c>
      <c r="R45" s="12">
        <f t="shared" si="0"/>
        <v>0</v>
      </c>
    </row>
    <row r="46" spans="1:20">
      <c r="A46" t="s">
        <v>875</v>
      </c>
      <c r="B46" t="s">
        <v>618</v>
      </c>
      <c r="D46" t="s">
        <v>897</v>
      </c>
      <c r="E46" t="s">
        <v>1383</v>
      </c>
      <c r="F46">
        <f t="shared" si="1"/>
        <v>1.25</v>
      </c>
      <c r="L46">
        <v>1</v>
      </c>
      <c r="N46">
        <v>1</v>
      </c>
      <c r="Q46" s="49"/>
      <c r="R46" s="12">
        <f t="shared" si="0"/>
        <v>0</v>
      </c>
    </row>
    <row r="47" spans="1:20">
      <c r="A47" t="s">
        <v>875</v>
      </c>
      <c r="B47" t="s">
        <v>618</v>
      </c>
      <c r="D47" t="s">
        <v>961</v>
      </c>
      <c r="E47" t="s">
        <v>962</v>
      </c>
      <c r="F47">
        <f t="shared" si="1"/>
        <v>1</v>
      </c>
      <c r="L47">
        <v>1</v>
      </c>
      <c r="Q47" s="50">
        <v>24</v>
      </c>
      <c r="R47" s="12">
        <f t="shared" si="0"/>
        <v>24</v>
      </c>
    </row>
    <row r="48" spans="1:20" ht="30">
      <c r="A48" s="28" t="s">
        <v>875</v>
      </c>
      <c r="B48" s="28" t="s">
        <v>618</v>
      </c>
      <c r="D48" s="28" t="s">
        <v>1180</v>
      </c>
      <c r="E48" s="31" t="s">
        <v>1409</v>
      </c>
      <c r="F48">
        <f t="shared" si="1"/>
        <v>2</v>
      </c>
      <c r="L48">
        <v>2</v>
      </c>
      <c r="R48" s="12">
        <f t="shared" si="0"/>
        <v>0</v>
      </c>
    </row>
    <row r="49" spans="1:18">
      <c r="A49" t="s">
        <v>875</v>
      </c>
      <c r="B49" t="s">
        <v>618</v>
      </c>
      <c r="D49" t="s">
        <v>1251</v>
      </c>
      <c r="E49" t="s">
        <v>1252</v>
      </c>
      <c r="F49">
        <f t="shared" si="1"/>
        <v>1.5</v>
      </c>
      <c r="L49">
        <v>1</v>
      </c>
      <c r="N49">
        <v>2</v>
      </c>
      <c r="Q49" s="49"/>
      <c r="R49" s="12">
        <f t="shared" si="0"/>
        <v>0</v>
      </c>
    </row>
    <row r="50" spans="1:18">
      <c r="A50" t="s">
        <v>875</v>
      </c>
      <c r="B50" t="s">
        <v>618</v>
      </c>
      <c r="D50" t="s">
        <v>1402</v>
      </c>
      <c r="E50" t="s">
        <v>1335</v>
      </c>
      <c r="F50">
        <f t="shared" si="1"/>
        <v>2</v>
      </c>
      <c r="L50">
        <v>2</v>
      </c>
      <c r="Q50" s="49">
        <v>542.29999999999995</v>
      </c>
      <c r="R50" s="12">
        <f t="shared" si="0"/>
        <v>1084.5999999999999</v>
      </c>
    </row>
    <row r="51" spans="1:18">
      <c r="A51" t="s">
        <v>875</v>
      </c>
      <c r="B51" t="s">
        <v>618</v>
      </c>
      <c r="D51" t="s">
        <v>1363</v>
      </c>
      <c r="E51" t="s">
        <v>862</v>
      </c>
      <c r="F51">
        <f t="shared" si="1"/>
        <v>4</v>
      </c>
      <c r="L51">
        <v>4</v>
      </c>
      <c r="R51" s="12">
        <f t="shared" si="0"/>
        <v>0</v>
      </c>
    </row>
    <row r="52" spans="1:18">
      <c r="A52" t="s">
        <v>875</v>
      </c>
      <c r="B52" t="s">
        <v>618</v>
      </c>
      <c r="D52" t="s">
        <v>1364</v>
      </c>
      <c r="E52" t="s">
        <v>864</v>
      </c>
      <c r="F52">
        <f t="shared" si="1"/>
        <v>4</v>
      </c>
      <c r="L52">
        <v>4</v>
      </c>
      <c r="R52" s="12">
        <f t="shared" si="0"/>
        <v>0</v>
      </c>
    </row>
    <row r="53" spans="1:18">
      <c r="A53" t="s">
        <v>875</v>
      </c>
      <c r="B53" t="s">
        <v>618</v>
      </c>
      <c r="D53" t="s">
        <v>1365</v>
      </c>
      <c r="E53" t="s">
        <v>863</v>
      </c>
      <c r="F53">
        <f t="shared" si="1"/>
        <v>4</v>
      </c>
      <c r="L53">
        <v>4</v>
      </c>
      <c r="R53" s="12">
        <f t="shared" si="0"/>
        <v>0</v>
      </c>
    </row>
    <row r="54" spans="1:18">
      <c r="A54" t="s">
        <v>875</v>
      </c>
      <c r="B54" t="s">
        <v>618</v>
      </c>
      <c r="D54" t="s">
        <v>1366</v>
      </c>
      <c r="E54" t="s">
        <v>861</v>
      </c>
      <c r="F54">
        <f t="shared" si="1"/>
        <v>5</v>
      </c>
      <c r="L54">
        <v>5</v>
      </c>
      <c r="R54" s="12">
        <f t="shared" si="0"/>
        <v>0</v>
      </c>
    </row>
    <row r="55" spans="1:18">
      <c r="A55" t="s">
        <v>875</v>
      </c>
      <c r="B55" t="s">
        <v>618</v>
      </c>
      <c r="D55" t="s">
        <v>1370</v>
      </c>
      <c r="E55">
        <v>31820</v>
      </c>
      <c r="F55">
        <f t="shared" si="1"/>
        <v>0.01</v>
      </c>
      <c r="P55">
        <v>1</v>
      </c>
      <c r="Q55" s="48">
        <v>38400</v>
      </c>
      <c r="R55" s="12">
        <f t="shared" si="0"/>
        <v>384</v>
      </c>
    </row>
    <row r="56" spans="1:18">
      <c r="A56" t="s">
        <v>875</v>
      </c>
      <c r="B56" t="s">
        <v>618</v>
      </c>
      <c r="D56" t="s">
        <v>1374</v>
      </c>
      <c r="E56">
        <v>66980821</v>
      </c>
      <c r="F56">
        <f t="shared" si="1"/>
        <v>5</v>
      </c>
      <c r="J56">
        <v>1</v>
      </c>
      <c r="R56" s="12">
        <f t="shared" si="0"/>
        <v>0</v>
      </c>
    </row>
    <row r="57" spans="1:18">
      <c r="A57" t="s">
        <v>875</v>
      </c>
      <c r="B57" t="s">
        <v>618</v>
      </c>
      <c r="D57" t="s">
        <v>1437</v>
      </c>
      <c r="E57" t="s">
        <v>1209</v>
      </c>
      <c r="F57">
        <f t="shared" si="1"/>
        <v>5</v>
      </c>
      <c r="J57">
        <v>1</v>
      </c>
      <c r="R57" s="12">
        <f t="shared" si="0"/>
        <v>0</v>
      </c>
    </row>
    <row r="58" spans="1:18">
      <c r="A58" t="s">
        <v>875</v>
      </c>
      <c r="B58" t="s">
        <v>618</v>
      </c>
      <c r="D58" t="s">
        <v>1387</v>
      </c>
      <c r="E58" t="s">
        <v>1386</v>
      </c>
      <c r="F58">
        <f t="shared" si="1"/>
        <v>5</v>
      </c>
      <c r="J58">
        <v>1</v>
      </c>
      <c r="R58" s="12">
        <f t="shared" si="0"/>
        <v>0</v>
      </c>
    </row>
    <row r="59" spans="1:18">
      <c r="A59" t="s">
        <v>875</v>
      </c>
      <c r="B59" t="s">
        <v>618</v>
      </c>
      <c r="D59" t="s">
        <v>1388</v>
      </c>
      <c r="E59" t="s">
        <v>1389</v>
      </c>
      <c r="F59">
        <f t="shared" si="1"/>
        <v>5</v>
      </c>
      <c r="J59">
        <v>1</v>
      </c>
      <c r="R59" s="12">
        <f t="shared" si="0"/>
        <v>0</v>
      </c>
    </row>
    <row r="60" spans="1:18">
      <c r="A60" t="s">
        <v>875</v>
      </c>
      <c r="B60" t="s">
        <v>618</v>
      </c>
      <c r="D60" t="s">
        <v>1390</v>
      </c>
      <c r="E60" t="s">
        <v>1391</v>
      </c>
      <c r="F60">
        <f t="shared" si="1"/>
        <v>1</v>
      </c>
      <c r="L60">
        <v>1</v>
      </c>
      <c r="R60" s="12">
        <f t="shared" si="0"/>
        <v>0</v>
      </c>
    </row>
    <row r="61" spans="1:18">
      <c r="A61" t="s">
        <v>875</v>
      </c>
      <c r="B61" t="s">
        <v>618</v>
      </c>
      <c r="D61" t="s">
        <v>1392</v>
      </c>
      <c r="E61" t="s">
        <v>1393</v>
      </c>
      <c r="F61">
        <f t="shared" si="1"/>
        <v>1.1000000000000001</v>
      </c>
      <c r="L61">
        <v>1</v>
      </c>
      <c r="O61">
        <v>1</v>
      </c>
      <c r="R61" s="12">
        <f t="shared" si="0"/>
        <v>0</v>
      </c>
    </row>
    <row r="62" spans="1:18">
      <c r="A62" t="s">
        <v>875</v>
      </c>
      <c r="B62" t="s">
        <v>618</v>
      </c>
      <c r="D62" t="s">
        <v>1394</v>
      </c>
      <c r="E62" t="s">
        <v>1395</v>
      </c>
      <c r="F62">
        <f t="shared" si="1"/>
        <v>0.1</v>
      </c>
      <c r="O62">
        <v>1</v>
      </c>
      <c r="R62" s="12">
        <f t="shared" si="0"/>
        <v>0</v>
      </c>
    </row>
    <row r="63" spans="1:18">
      <c r="A63" t="s">
        <v>875</v>
      </c>
      <c r="B63" t="s">
        <v>618</v>
      </c>
      <c r="D63" t="s">
        <v>1396</v>
      </c>
      <c r="E63" t="s">
        <v>1397</v>
      </c>
      <c r="F63">
        <f t="shared" si="1"/>
        <v>10</v>
      </c>
      <c r="I63">
        <v>1</v>
      </c>
      <c r="R63" s="12">
        <f t="shared" si="0"/>
        <v>0</v>
      </c>
    </row>
    <row r="64" spans="1:18">
      <c r="A64" t="s">
        <v>875</v>
      </c>
      <c r="B64" t="s">
        <v>618</v>
      </c>
      <c r="D64" t="s">
        <v>1400</v>
      </c>
      <c r="E64" t="s">
        <v>1401</v>
      </c>
      <c r="F64">
        <f t="shared" si="1"/>
        <v>0.25</v>
      </c>
      <c r="N64">
        <v>1</v>
      </c>
      <c r="R64" s="12">
        <f t="shared" si="0"/>
        <v>0</v>
      </c>
    </row>
    <row r="65" spans="1:18">
      <c r="A65" t="s">
        <v>875</v>
      </c>
      <c r="B65" t="s">
        <v>618</v>
      </c>
      <c r="D65" t="s">
        <v>1404</v>
      </c>
      <c r="E65" t="s">
        <v>1405</v>
      </c>
      <c r="F65">
        <f t="shared" si="1"/>
        <v>1</v>
      </c>
      <c r="L65" s="51">
        <v>1</v>
      </c>
      <c r="R65" s="12">
        <f t="shared" si="0"/>
        <v>0</v>
      </c>
    </row>
    <row r="66" spans="1:18">
      <c r="A66" t="s">
        <v>875</v>
      </c>
      <c r="B66" t="s">
        <v>618</v>
      </c>
      <c r="D66" t="s">
        <v>1406</v>
      </c>
      <c r="E66" t="s">
        <v>1407</v>
      </c>
      <c r="F66">
        <f t="shared" si="1"/>
        <v>1</v>
      </c>
      <c r="L66" s="51">
        <v>1</v>
      </c>
      <c r="R66" s="12">
        <f t="shared" si="0"/>
        <v>0</v>
      </c>
    </row>
    <row r="67" spans="1:18">
      <c r="A67" t="s">
        <v>875</v>
      </c>
      <c r="B67" t="s">
        <v>621</v>
      </c>
      <c r="D67" t="s">
        <v>1204</v>
      </c>
      <c r="E67" t="s">
        <v>1209</v>
      </c>
      <c r="F67">
        <f t="shared" si="1"/>
        <v>0</v>
      </c>
      <c r="R67" s="12">
        <f t="shared" ref="R67:R94" si="2">+F67*Q67</f>
        <v>0</v>
      </c>
    </row>
    <row r="68" spans="1:18">
      <c r="A68" t="s">
        <v>875</v>
      </c>
      <c r="B68" t="s">
        <v>621</v>
      </c>
      <c r="D68" t="s">
        <v>1181</v>
      </c>
      <c r="E68" t="s">
        <v>886</v>
      </c>
      <c r="F68">
        <f t="shared" ref="F68:F94" si="3">$G$1*G68+$H$1*H68+$I$1*I68+$J$1*J68+$K$1*K68+$L$1*L68+$M$1*M68+$N$1*N68+$O$1*O68+$P$1*P68</f>
        <v>0</v>
      </c>
      <c r="Q68" s="49"/>
      <c r="R68" s="12">
        <f t="shared" si="2"/>
        <v>0</v>
      </c>
    </row>
    <row r="69" spans="1:18">
      <c r="A69" t="s">
        <v>1060</v>
      </c>
      <c r="D69" t="s">
        <v>1207</v>
      </c>
      <c r="E69" t="s">
        <v>1208</v>
      </c>
      <c r="F69">
        <f t="shared" si="3"/>
        <v>1</v>
      </c>
      <c r="L69">
        <v>1</v>
      </c>
      <c r="R69" s="12">
        <f t="shared" si="2"/>
        <v>0</v>
      </c>
    </row>
    <row r="70" spans="1:18">
      <c r="A70" t="s">
        <v>1060</v>
      </c>
      <c r="D70" t="s">
        <v>1205</v>
      </c>
      <c r="E70" t="s">
        <v>1206</v>
      </c>
      <c r="F70">
        <f t="shared" si="3"/>
        <v>1</v>
      </c>
      <c r="L70">
        <v>1</v>
      </c>
      <c r="R70" s="12">
        <f t="shared" si="2"/>
        <v>0</v>
      </c>
    </row>
    <row r="71" spans="1:18">
      <c r="A71" t="s">
        <v>1060</v>
      </c>
      <c r="D71" t="s">
        <v>390</v>
      </c>
      <c r="E71">
        <v>10466</v>
      </c>
      <c r="F71">
        <f t="shared" si="3"/>
        <v>0</v>
      </c>
      <c r="Q71" s="48">
        <v>0.34899999999999998</v>
      </c>
      <c r="R71" s="12">
        <f t="shared" si="2"/>
        <v>0</v>
      </c>
    </row>
    <row r="72" spans="1:18">
      <c r="A72" t="s">
        <v>1060</v>
      </c>
      <c r="D72" t="s">
        <v>391</v>
      </c>
      <c r="E72" t="s">
        <v>1065</v>
      </c>
      <c r="F72">
        <f t="shared" si="3"/>
        <v>0</v>
      </c>
      <c r="Q72" s="48">
        <v>0.28000000000000003</v>
      </c>
      <c r="R72" s="12">
        <f t="shared" si="2"/>
        <v>0</v>
      </c>
    </row>
    <row r="73" spans="1:18">
      <c r="A73" t="s">
        <v>875</v>
      </c>
      <c r="B73" t="s">
        <v>618</v>
      </c>
      <c r="D73" t="s">
        <v>1466</v>
      </c>
      <c r="E73">
        <v>2318</v>
      </c>
      <c r="F73">
        <f t="shared" si="3"/>
        <v>0.4</v>
      </c>
      <c r="O73">
        <v>4</v>
      </c>
      <c r="Q73" s="48">
        <v>880</v>
      </c>
      <c r="R73" s="12">
        <f t="shared" si="2"/>
        <v>352</v>
      </c>
    </row>
    <row r="74" spans="1:18">
      <c r="A74" t="s">
        <v>875</v>
      </c>
      <c r="B74" t="s">
        <v>618</v>
      </c>
      <c r="D74" t="s">
        <v>1481</v>
      </c>
      <c r="E74" t="s">
        <v>1484</v>
      </c>
      <c r="F74">
        <f t="shared" si="3"/>
        <v>5.0000000000000001E-3</v>
      </c>
      <c r="L74" s="51"/>
      <c r="P74">
        <v>0.5</v>
      </c>
      <c r="R74" s="12">
        <f t="shared" si="2"/>
        <v>0</v>
      </c>
    </row>
    <row r="75" spans="1:18">
      <c r="A75" t="s">
        <v>875</v>
      </c>
      <c r="B75" t="s">
        <v>618</v>
      </c>
      <c r="D75" t="s">
        <v>1482</v>
      </c>
      <c r="E75" t="s">
        <v>1485</v>
      </c>
      <c r="F75">
        <f t="shared" si="3"/>
        <v>0.5</v>
      </c>
      <c r="P75">
        <v>50</v>
      </c>
      <c r="R75" s="12">
        <f t="shared" si="2"/>
        <v>0</v>
      </c>
    </row>
    <row r="76" spans="1:18">
      <c r="F76">
        <f t="shared" si="3"/>
        <v>0</v>
      </c>
      <c r="R76" s="12">
        <f t="shared" si="2"/>
        <v>0</v>
      </c>
    </row>
    <row r="77" spans="1:18">
      <c r="F77">
        <f t="shared" si="3"/>
        <v>0</v>
      </c>
      <c r="R77" s="12">
        <f t="shared" si="2"/>
        <v>0</v>
      </c>
    </row>
    <row r="78" spans="1:18">
      <c r="F78">
        <f t="shared" si="3"/>
        <v>0</v>
      </c>
      <c r="R78" s="12">
        <f t="shared" si="2"/>
        <v>0</v>
      </c>
    </row>
    <row r="79" spans="1:18">
      <c r="F79">
        <f t="shared" si="3"/>
        <v>0</v>
      </c>
      <c r="R79" s="12">
        <f t="shared" si="2"/>
        <v>0</v>
      </c>
    </row>
    <row r="80" spans="1:18">
      <c r="F80">
        <f t="shared" si="3"/>
        <v>0</v>
      </c>
      <c r="R80" s="12">
        <f t="shared" si="2"/>
        <v>0</v>
      </c>
    </row>
    <row r="81" spans="6:18">
      <c r="F81">
        <f t="shared" si="3"/>
        <v>0</v>
      </c>
      <c r="R81" s="12">
        <f t="shared" si="2"/>
        <v>0</v>
      </c>
    </row>
    <row r="82" spans="6:18">
      <c r="F82">
        <f t="shared" si="3"/>
        <v>0</v>
      </c>
      <c r="R82" s="12">
        <f t="shared" si="2"/>
        <v>0</v>
      </c>
    </row>
    <row r="83" spans="6:18">
      <c r="F83">
        <f t="shared" si="3"/>
        <v>0</v>
      </c>
      <c r="R83" s="12">
        <f t="shared" si="2"/>
        <v>0</v>
      </c>
    </row>
    <row r="84" spans="6:18">
      <c r="F84">
        <f t="shared" si="3"/>
        <v>0</v>
      </c>
      <c r="R84" s="12">
        <f t="shared" si="2"/>
        <v>0</v>
      </c>
    </row>
    <row r="85" spans="6:18">
      <c r="F85">
        <f t="shared" si="3"/>
        <v>0</v>
      </c>
      <c r="R85" s="12">
        <f t="shared" si="2"/>
        <v>0</v>
      </c>
    </row>
    <row r="86" spans="6:18">
      <c r="F86">
        <f t="shared" si="3"/>
        <v>0</v>
      </c>
      <c r="R86" s="12">
        <f t="shared" si="2"/>
        <v>0</v>
      </c>
    </row>
    <row r="87" spans="6:18">
      <c r="F87">
        <f t="shared" si="3"/>
        <v>0</v>
      </c>
      <c r="R87" s="12">
        <f t="shared" si="2"/>
        <v>0</v>
      </c>
    </row>
    <row r="88" spans="6:18">
      <c r="F88">
        <f t="shared" si="3"/>
        <v>0</v>
      </c>
      <c r="R88" s="12">
        <f t="shared" si="2"/>
        <v>0</v>
      </c>
    </row>
    <row r="89" spans="6:18">
      <c r="F89">
        <f t="shared" si="3"/>
        <v>0</v>
      </c>
      <c r="R89" s="12">
        <f t="shared" si="2"/>
        <v>0</v>
      </c>
    </row>
    <row r="90" spans="6:18">
      <c r="F90">
        <f t="shared" si="3"/>
        <v>0</v>
      </c>
      <c r="R90" s="12">
        <f t="shared" si="2"/>
        <v>0</v>
      </c>
    </row>
    <row r="91" spans="6:18">
      <c r="F91">
        <f>$G$1*G91+$H$1*H91+$I$1*I91+$J$1*J91+$K$1*K91+$L$1*L91+$M$1*M91+$N$1*N91+$O$1*O91+$P$1*P91</f>
        <v>0</v>
      </c>
      <c r="R91" s="12">
        <f t="shared" si="2"/>
        <v>0</v>
      </c>
    </row>
    <row r="92" spans="6:18">
      <c r="F92">
        <f t="shared" si="3"/>
        <v>0</v>
      </c>
      <c r="R92" s="12">
        <f t="shared" si="2"/>
        <v>0</v>
      </c>
    </row>
    <row r="93" spans="6:18">
      <c r="F93">
        <f t="shared" si="3"/>
        <v>0</v>
      </c>
      <c r="R93" s="12">
        <f t="shared" si="2"/>
        <v>0</v>
      </c>
    </row>
    <row r="94" spans="6:18">
      <c r="F94">
        <f t="shared" si="3"/>
        <v>0</v>
      </c>
      <c r="R94" s="12">
        <f t="shared" si="2"/>
        <v>0</v>
      </c>
    </row>
  </sheetData>
  <sheetProtection algorithmName="SHA-512" hashValue="ABrrKTYmOf4YJRY/tr6zCL4ELcbxeOUjt3UJm67HQNXvoffWulFHB4dSbMaN/DnwKRA7FKC/RklVykZDMmJmBg==" saltValue="lBdkiUhDvd9U4tzBozpYvg==" spinCount="100000" sheet="1" objects="1" scenarios="1" autoFilter="0"/>
  <autoFilter ref="A1:X74" xr:uid="{3B9DDA93-C7E7-4932-AFB4-AEABEBB0B036}">
    <sortState xmlns:xlrd2="http://schemas.microsoft.com/office/spreadsheetml/2017/richdata2" ref="A2:X74">
      <sortCondition descending="1" ref="A2:A74"/>
      <sortCondition ref="B2:B74"/>
    </sortState>
  </autoFilter>
  <sortState xmlns:xlrd2="http://schemas.microsoft.com/office/spreadsheetml/2017/richdata2" ref="A2:X41">
    <sortCondition ref="A2:A41"/>
    <sortCondition ref="B2:B41"/>
    <sortCondition ref="D2:D41"/>
  </sortState>
  <conditionalFormatting sqref="A3:E36 C37:C42 A1:V2 A43:E73 A74:B75 A77:V1048576 F3:V73">
    <cfRule type="expression" dxfId="47" priority="42">
      <formula>AND(ROW()&lt;&gt;1,MOD(ROW(), 2)=1, NOT(ISBLANK($A1)))</formula>
    </cfRule>
  </conditionalFormatting>
  <conditionalFormatting sqref="A3:E36 C37:C42 A95:X1048576 F3:X94 A1:X2 A43:E73 A77:E94 C74:E76 A74:B75">
    <cfRule type="expression" dxfId="46" priority="41">
      <formula>OR(CELL("col")=COLUMN(), CELL("row")=ROW())</formula>
    </cfRule>
  </conditionalFormatting>
  <conditionalFormatting sqref="A37:B37">
    <cfRule type="expression" dxfId="45" priority="37">
      <formula>OR($B37="S5", $B37="D5")</formula>
    </cfRule>
  </conditionalFormatting>
  <conditionalFormatting sqref="A37:B37">
    <cfRule type="expression" dxfId="44" priority="38">
      <formula>AND(ROW()&lt;&gt;1,MOD(ROW(), 2)=1, NOT(ISBLANK($A37)))</formula>
    </cfRule>
    <cfRule type="expression" dxfId="43" priority="39">
      <formula>OR($B37="S1", $B37="D1")</formula>
    </cfRule>
    <cfRule type="expression" dxfId="42" priority="40">
      <formula>OR($B37="S3", $B37="D3")</formula>
    </cfRule>
  </conditionalFormatting>
  <conditionalFormatting sqref="A37:B37">
    <cfRule type="expression" dxfId="41" priority="36">
      <formula>OR(CELL("col")=COLUMN(), CELL("row")=ROW())</formula>
    </cfRule>
  </conditionalFormatting>
  <conditionalFormatting sqref="D37:E37">
    <cfRule type="expression" dxfId="40" priority="32">
      <formula>OR($B37="S5", $B37="D5")</formula>
    </cfRule>
  </conditionalFormatting>
  <conditionalFormatting sqref="D37:E37">
    <cfRule type="expression" dxfId="39" priority="33">
      <formula>AND(ROW()&lt;&gt;1,MOD(ROW(), 2)=1, NOT(ISBLANK($A37)))</formula>
    </cfRule>
    <cfRule type="expression" dxfId="38" priority="34">
      <formula>OR($B37="S1", $B37="D1")</formula>
    </cfRule>
    <cfRule type="expression" dxfId="37" priority="35">
      <formula>OR($B37="S3", $B37="D3")</formula>
    </cfRule>
  </conditionalFormatting>
  <conditionalFormatting sqref="D37:E37">
    <cfRule type="expression" dxfId="36" priority="31">
      <formula>OR(CELL("col")=COLUMN(), CELL("row")=ROW())</formula>
    </cfRule>
  </conditionalFormatting>
  <conditionalFormatting sqref="A38:B38">
    <cfRule type="expression" dxfId="35" priority="27">
      <formula>OR($B38="S5", $B38="D5")</formula>
    </cfRule>
  </conditionalFormatting>
  <conditionalFormatting sqref="A38:B38">
    <cfRule type="expression" dxfId="34" priority="28">
      <formula>AND(ROW()&lt;&gt;1,MOD(ROW(), 2)=1, NOT(ISBLANK($A38)))</formula>
    </cfRule>
    <cfRule type="expression" dxfId="33" priority="29">
      <formula>OR($B38="S1", $B38="D1")</formula>
    </cfRule>
    <cfRule type="expression" dxfId="32" priority="30">
      <formula>OR($B38="S3", $B38="D3")</formula>
    </cfRule>
  </conditionalFormatting>
  <conditionalFormatting sqref="A38:B38">
    <cfRule type="expression" dxfId="31" priority="26">
      <formula>OR(CELL("col")=COLUMN(), CELL("row")=ROW())</formula>
    </cfRule>
  </conditionalFormatting>
  <conditionalFormatting sqref="D38:E38">
    <cfRule type="expression" dxfId="30" priority="22">
      <formula>OR($B38="S5", $B38="D5")</formula>
    </cfRule>
  </conditionalFormatting>
  <conditionalFormatting sqref="D38:E38">
    <cfRule type="expression" dxfId="29" priority="23">
      <formula>AND(ROW()&lt;&gt;1,MOD(ROW(), 2)=1, NOT(ISBLANK($A38)))</formula>
    </cfRule>
    <cfRule type="expression" dxfId="28" priority="24">
      <formula>OR($B38="S1", $B38="D1")</formula>
    </cfRule>
    <cfRule type="expression" dxfId="27" priority="25">
      <formula>OR($B38="S3", $B38="D3")</formula>
    </cfRule>
  </conditionalFormatting>
  <conditionalFormatting sqref="D38:E38">
    <cfRule type="expression" dxfId="26" priority="21">
      <formula>OR(CELL("col")=COLUMN(), CELL("row")=ROW())</formula>
    </cfRule>
  </conditionalFormatting>
  <conditionalFormatting sqref="A39:B41">
    <cfRule type="expression" dxfId="25" priority="17">
      <formula>OR($B39="S5", $B39="D5")</formula>
    </cfRule>
  </conditionalFormatting>
  <conditionalFormatting sqref="A39:B41">
    <cfRule type="expression" dxfId="24" priority="18">
      <formula>AND(ROW()&lt;&gt;1,MOD(ROW(), 2)=1, NOT(ISBLANK($A39)))</formula>
    </cfRule>
    <cfRule type="expression" dxfId="23" priority="19">
      <formula>OR($B39="S1", $B39="D1")</formula>
    </cfRule>
    <cfRule type="expression" dxfId="22" priority="20">
      <formula>OR($B39="S3", $B39="D3")</formula>
    </cfRule>
  </conditionalFormatting>
  <conditionalFormatting sqref="A39:B41">
    <cfRule type="expression" dxfId="21" priority="16">
      <formula>OR(CELL("col")=COLUMN(), CELL("row")=ROW())</formula>
    </cfRule>
  </conditionalFormatting>
  <conditionalFormatting sqref="D39:E41">
    <cfRule type="expression" dxfId="20" priority="12">
      <formula>OR($B39="S5", $B39="D5")</formula>
    </cfRule>
  </conditionalFormatting>
  <conditionalFormatting sqref="D39:E41">
    <cfRule type="expression" dxfId="19" priority="13">
      <formula>AND(ROW()&lt;&gt;1,MOD(ROW(), 2)=1, NOT(ISBLANK($A39)))</formula>
    </cfRule>
    <cfRule type="expression" dxfId="18" priority="14">
      <formula>OR($B39="S1", $B39="D1")</formula>
    </cfRule>
    <cfRule type="expression" dxfId="17" priority="15">
      <formula>OR($B39="S3", $B39="D3")</formula>
    </cfRule>
  </conditionalFormatting>
  <conditionalFormatting sqref="D39:E41">
    <cfRule type="expression" dxfId="16" priority="11">
      <formula>OR(CELL("col")=COLUMN(), CELL("row")=ROW())</formula>
    </cfRule>
  </conditionalFormatting>
  <conditionalFormatting sqref="A42:B42">
    <cfRule type="expression" dxfId="15" priority="7">
      <formula>OR($B42="S5", $B42="D5")</formula>
    </cfRule>
  </conditionalFormatting>
  <conditionalFormatting sqref="A42:B42">
    <cfRule type="expression" dxfId="14" priority="8">
      <formula>AND(ROW()&lt;&gt;1,MOD(ROW(), 2)=1, NOT(ISBLANK($A42)))</formula>
    </cfRule>
    <cfRule type="expression" dxfId="13" priority="9">
      <formula>OR($B42="S1", $B42="D1")</formula>
    </cfRule>
    <cfRule type="expression" dxfId="12" priority="10">
      <formula>OR($B42="S3", $B42="D3")</formula>
    </cfRule>
  </conditionalFormatting>
  <conditionalFormatting sqref="A42:B42">
    <cfRule type="expression" dxfId="11" priority="6">
      <formula>OR(CELL("col")=COLUMN(), CELL("row")=ROW())</formula>
    </cfRule>
  </conditionalFormatting>
  <conditionalFormatting sqref="D42:E42">
    <cfRule type="expression" dxfId="10" priority="2">
      <formula>OR($B42="S5", $B42="D5")</formula>
    </cfRule>
  </conditionalFormatting>
  <conditionalFormatting sqref="D42:E42">
    <cfRule type="expression" dxfId="9" priority="3">
      <formula>AND(ROW()&lt;&gt;1,MOD(ROW(), 2)=1, NOT(ISBLANK($A42)))</formula>
    </cfRule>
    <cfRule type="expression" dxfId="8" priority="4">
      <formula>OR($B42="S1", $B42="D1")</formula>
    </cfRule>
    <cfRule type="expression" dxfId="7" priority="5">
      <formula>OR($B42="S3", $B42="D3")</formula>
    </cfRule>
  </conditionalFormatting>
  <conditionalFormatting sqref="D42:E42">
    <cfRule type="expression" dxfId="6" priority="1">
      <formula>OR(CELL("col")=COLUMN(), CELL("row")=ROW())</formula>
    </cfRule>
  </conditionalFormatting>
  <conditionalFormatting sqref="C75:V76">
    <cfRule type="expression" dxfId="5" priority="51">
      <formula>AND(ROW()&lt;&gt;1,MOD(ROW(), 2)=1, NOT(ISBLANK($A74)))</formula>
    </cfRule>
  </conditionalFormatting>
  <conditionalFormatting sqref="C74:V74">
    <cfRule type="expression" dxfId="4" priority="52">
      <formula>AND(ROW()&lt;&gt;1,MOD(ROW(), 2)=1, NOT(ISBLANK(#REF!)))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71A4A6-CFE7-48D2-B6DA-0905DAA44A15}">
          <x14:formula1>
            <xm:f>Data!$A$1:$A$23</xm:f>
          </x14:formula1>
          <xm:sqref>A77:A94 A2:A75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2C758-A667-4A81-A448-CAF4F7A61078}">
  <sheetPr codeName="Sheet5">
    <tabColor rgb="FFFF0000"/>
  </sheetPr>
  <dimension ref="A1:R25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K18" sqref="K18"/>
    </sheetView>
  </sheetViews>
  <sheetFormatPr defaultColWidth="9.140625" defaultRowHeight="15"/>
  <cols>
    <col min="1" max="1" width="9.5703125" customWidth="1"/>
    <col min="2" max="2" width="10.42578125" bestFit="1" customWidth="1"/>
    <col min="3" max="3" width="12.42578125" bestFit="1" customWidth="1"/>
    <col min="4" max="4" width="21.28515625" bestFit="1" customWidth="1"/>
    <col min="5" max="5" width="19.85546875" bestFit="1" customWidth="1"/>
    <col min="6" max="6" width="9.5703125" bestFit="1" customWidth="1"/>
    <col min="7" max="7" width="13.140625" bestFit="1" customWidth="1"/>
    <col min="8" max="8" width="12.140625" bestFit="1" customWidth="1"/>
    <col min="9" max="11" width="11.140625" bestFit="1" customWidth="1"/>
    <col min="12" max="12" width="12.85546875" style="13" bestFit="1" customWidth="1"/>
    <col min="13" max="13" width="11.5703125" style="13" bestFit="1" customWidth="1"/>
    <col min="14" max="14" width="6.140625" bestFit="1" customWidth="1"/>
    <col min="15" max="15" width="8.42578125" bestFit="1" customWidth="1"/>
    <col min="16" max="16" width="12.42578125" bestFit="1" customWidth="1"/>
    <col min="17" max="17" width="16.85546875" bestFit="1" customWidth="1"/>
    <col min="18" max="18" width="13.85546875" bestFit="1" customWidth="1"/>
  </cols>
  <sheetData>
    <row r="1" spans="1:18">
      <c r="A1" s="40" t="s">
        <v>664</v>
      </c>
      <c r="B1" s="40" t="s">
        <v>6</v>
      </c>
      <c r="C1" s="41" t="s">
        <v>0</v>
      </c>
      <c r="D1" s="41" t="s">
        <v>754</v>
      </c>
      <c r="E1" s="41" t="s">
        <v>755</v>
      </c>
      <c r="F1" s="3" t="s">
        <v>930</v>
      </c>
      <c r="G1" s="52">
        <v>200</v>
      </c>
      <c r="H1" s="52">
        <v>20</v>
      </c>
      <c r="I1" s="52">
        <v>4</v>
      </c>
      <c r="J1" s="52">
        <v>2.5</v>
      </c>
      <c r="K1" s="52">
        <v>0.01</v>
      </c>
      <c r="L1" s="11" t="s">
        <v>330</v>
      </c>
      <c r="M1" s="11" t="s">
        <v>287</v>
      </c>
      <c r="N1" s="9" t="s">
        <v>931</v>
      </c>
      <c r="O1" s="9" t="s">
        <v>932</v>
      </c>
      <c r="P1" s="9"/>
      <c r="Q1" t="s">
        <v>288</v>
      </c>
      <c r="R1" s="8">
        <f>SUM(M:M)</f>
        <v>52720.44</v>
      </c>
    </row>
    <row r="2" spans="1:18">
      <c r="A2" t="s">
        <v>933</v>
      </c>
      <c r="B2" t="s">
        <v>933</v>
      </c>
      <c r="D2" t="s">
        <v>967</v>
      </c>
      <c r="F2">
        <f>+$G$1*G2+$H$1*H2+$I$1*I2+$J$1*J2+$K$1*K2</f>
        <v>80</v>
      </c>
      <c r="I2">
        <v>20</v>
      </c>
      <c r="L2" s="12">
        <v>21</v>
      </c>
      <c r="M2" s="12">
        <f>+L2*F2</f>
        <v>1680</v>
      </c>
    </row>
    <row r="3" spans="1:18">
      <c r="A3" t="s">
        <v>933</v>
      </c>
      <c r="B3" t="s">
        <v>933</v>
      </c>
      <c r="D3" t="s">
        <v>928</v>
      </c>
      <c r="F3">
        <f t="shared" ref="F3:F25" si="0">+$G$1*G3+$H$1*H3+$I$1*I3+$J$1*J3+$K$1*K3</f>
        <v>40</v>
      </c>
      <c r="H3">
        <v>2</v>
      </c>
      <c r="L3" s="12">
        <v>8.84</v>
      </c>
      <c r="M3" s="12">
        <f t="shared" ref="M3:M25" si="1">+L3*F3</f>
        <v>353.6</v>
      </c>
    </row>
    <row r="4" spans="1:18">
      <c r="A4" t="s">
        <v>933</v>
      </c>
      <c r="B4" t="s">
        <v>933</v>
      </c>
      <c r="D4" t="s">
        <v>919</v>
      </c>
      <c r="F4">
        <f t="shared" si="0"/>
        <v>480</v>
      </c>
      <c r="I4">
        <v>120</v>
      </c>
      <c r="L4" s="12">
        <v>16.559999999999999</v>
      </c>
      <c r="M4" s="12">
        <f t="shared" si="1"/>
        <v>7948.7999999999993</v>
      </c>
    </row>
    <row r="5" spans="1:18">
      <c r="A5" t="s">
        <v>933</v>
      </c>
      <c r="B5" t="s">
        <v>933</v>
      </c>
      <c r="D5" t="s">
        <v>926</v>
      </c>
      <c r="F5">
        <f t="shared" si="0"/>
        <v>0</v>
      </c>
      <c r="L5" s="12">
        <v>34.65</v>
      </c>
      <c r="M5" s="12">
        <f t="shared" si="1"/>
        <v>0</v>
      </c>
    </row>
    <row r="6" spans="1:18">
      <c r="A6" t="s">
        <v>933</v>
      </c>
      <c r="B6" t="s">
        <v>933</v>
      </c>
      <c r="D6" t="s">
        <v>920</v>
      </c>
      <c r="F6">
        <f>+$G$1*G6+$H$1*H6+$I$1*I6+$J$1*J6+$K$1*K6</f>
        <v>120</v>
      </c>
      <c r="J6">
        <v>48</v>
      </c>
      <c r="L6" s="12">
        <v>95</v>
      </c>
      <c r="M6" s="12">
        <f>+L6*F6</f>
        <v>11400</v>
      </c>
    </row>
    <row r="7" spans="1:18">
      <c r="A7" t="s">
        <v>933</v>
      </c>
      <c r="B7" t="s">
        <v>933</v>
      </c>
      <c r="D7" t="s">
        <v>370</v>
      </c>
      <c r="F7">
        <f t="shared" si="0"/>
        <v>460</v>
      </c>
      <c r="I7">
        <v>115</v>
      </c>
      <c r="L7" s="12">
        <v>14.25</v>
      </c>
      <c r="M7" s="12">
        <f t="shared" si="1"/>
        <v>6555</v>
      </c>
    </row>
    <row r="8" spans="1:18">
      <c r="A8" t="s">
        <v>933</v>
      </c>
      <c r="B8" t="s">
        <v>933</v>
      </c>
      <c r="D8" t="s">
        <v>929</v>
      </c>
      <c r="F8">
        <f t="shared" si="0"/>
        <v>0</v>
      </c>
      <c r="L8" s="12"/>
      <c r="M8" s="12">
        <f t="shared" si="1"/>
        <v>0</v>
      </c>
    </row>
    <row r="9" spans="1:18">
      <c r="A9" t="s">
        <v>933</v>
      </c>
      <c r="B9" t="s">
        <v>933</v>
      </c>
      <c r="D9" t="s">
        <v>922</v>
      </c>
      <c r="F9">
        <f t="shared" si="0"/>
        <v>12</v>
      </c>
      <c r="I9">
        <v>3</v>
      </c>
      <c r="L9" s="12">
        <v>24.37</v>
      </c>
      <c r="M9" s="12">
        <f t="shared" si="1"/>
        <v>292.44</v>
      </c>
    </row>
    <row r="10" spans="1:18">
      <c r="A10" t="s">
        <v>933</v>
      </c>
      <c r="B10" t="s">
        <v>933</v>
      </c>
      <c r="D10" t="s">
        <v>924</v>
      </c>
      <c r="F10">
        <f t="shared" si="0"/>
        <v>20</v>
      </c>
      <c r="H10">
        <v>1</v>
      </c>
      <c r="L10" s="12">
        <v>5.95</v>
      </c>
      <c r="M10" s="12">
        <f t="shared" si="1"/>
        <v>119</v>
      </c>
    </row>
    <row r="11" spans="1:18">
      <c r="A11" t="s">
        <v>933</v>
      </c>
      <c r="B11" t="s">
        <v>933</v>
      </c>
      <c r="D11" t="s">
        <v>927</v>
      </c>
      <c r="F11">
        <f t="shared" si="0"/>
        <v>0</v>
      </c>
      <c r="L11" s="12">
        <v>25.79</v>
      </c>
      <c r="M11" s="12">
        <f t="shared" si="1"/>
        <v>0</v>
      </c>
    </row>
    <row r="12" spans="1:18">
      <c r="A12" t="s">
        <v>933</v>
      </c>
      <c r="B12" t="s">
        <v>933</v>
      </c>
      <c r="D12" t="s">
        <v>921</v>
      </c>
      <c r="F12">
        <f t="shared" si="0"/>
        <v>44</v>
      </c>
      <c r="I12">
        <v>11</v>
      </c>
      <c r="L12" s="12">
        <v>52.9</v>
      </c>
      <c r="M12" s="12">
        <f t="shared" si="1"/>
        <v>2327.6</v>
      </c>
    </row>
    <row r="13" spans="1:18">
      <c r="A13" t="s">
        <v>933</v>
      </c>
      <c r="B13" t="s">
        <v>933</v>
      </c>
      <c r="D13" t="s">
        <v>1063</v>
      </c>
      <c r="E13" t="s">
        <v>1064</v>
      </c>
      <c r="F13">
        <f t="shared" si="0"/>
        <v>84</v>
      </c>
      <c r="I13">
        <v>21</v>
      </c>
      <c r="L13" s="12">
        <v>61.25</v>
      </c>
      <c r="M13" s="12">
        <f t="shared" si="1"/>
        <v>5145</v>
      </c>
    </row>
    <row r="14" spans="1:18">
      <c r="A14" t="s">
        <v>933</v>
      </c>
      <c r="B14" t="s">
        <v>933</v>
      </c>
      <c r="D14" t="s">
        <v>1062</v>
      </c>
      <c r="E14" t="s">
        <v>1061</v>
      </c>
      <c r="F14">
        <f t="shared" si="0"/>
        <v>104</v>
      </c>
      <c r="I14">
        <v>26</v>
      </c>
      <c r="L14" s="12">
        <v>30.375</v>
      </c>
      <c r="M14" s="12">
        <f t="shared" si="1"/>
        <v>3159</v>
      </c>
    </row>
    <row r="15" spans="1:18">
      <c r="A15" t="s">
        <v>933</v>
      </c>
      <c r="B15" t="s">
        <v>933</v>
      </c>
      <c r="D15" t="s">
        <v>925</v>
      </c>
      <c r="F15">
        <f t="shared" si="0"/>
        <v>0</v>
      </c>
      <c r="L15" s="12"/>
      <c r="M15" s="12">
        <f t="shared" si="1"/>
        <v>0</v>
      </c>
    </row>
    <row r="16" spans="1:18">
      <c r="A16" t="s">
        <v>933</v>
      </c>
      <c r="B16" t="s">
        <v>933</v>
      </c>
      <c r="D16" t="s">
        <v>377</v>
      </c>
      <c r="F16">
        <f t="shared" si="0"/>
        <v>496</v>
      </c>
      <c r="I16">
        <v>124</v>
      </c>
      <c r="L16" s="12">
        <v>27.5</v>
      </c>
      <c r="M16" s="12">
        <f t="shared" si="1"/>
        <v>13640</v>
      </c>
    </row>
    <row r="17" spans="1:13">
      <c r="A17" t="s">
        <v>933</v>
      </c>
      <c r="B17" t="s">
        <v>933</v>
      </c>
      <c r="D17" t="s">
        <v>923</v>
      </c>
      <c r="F17">
        <f t="shared" si="0"/>
        <v>8</v>
      </c>
      <c r="I17">
        <v>2</v>
      </c>
      <c r="L17" s="12">
        <v>12.5</v>
      </c>
      <c r="M17" s="12">
        <f t="shared" si="1"/>
        <v>100</v>
      </c>
    </row>
    <row r="18" spans="1:13">
      <c r="F18">
        <f t="shared" si="0"/>
        <v>0</v>
      </c>
      <c r="L18" s="12"/>
      <c r="M18" s="12">
        <f t="shared" si="1"/>
        <v>0</v>
      </c>
    </row>
    <row r="19" spans="1:13">
      <c r="F19">
        <f t="shared" si="0"/>
        <v>0</v>
      </c>
      <c r="M19" s="12">
        <f t="shared" si="1"/>
        <v>0</v>
      </c>
    </row>
    <row r="20" spans="1:13">
      <c r="F20">
        <f t="shared" si="0"/>
        <v>0</v>
      </c>
      <c r="M20" s="12">
        <f t="shared" si="1"/>
        <v>0</v>
      </c>
    </row>
    <row r="21" spans="1:13">
      <c r="F21">
        <f t="shared" si="0"/>
        <v>0</v>
      </c>
      <c r="M21" s="12">
        <f t="shared" si="1"/>
        <v>0</v>
      </c>
    </row>
    <row r="22" spans="1:13">
      <c r="F22">
        <f t="shared" si="0"/>
        <v>0</v>
      </c>
      <c r="M22" s="12">
        <f t="shared" si="1"/>
        <v>0</v>
      </c>
    </row>
    <row r="23" spans="1:13">
      <c r="F23">
        <f t="shared" si="0"/>
        <v>0</v>
      </c>
      <c r="M23" s="12">
        <f t="shared" si="1"/>
        <v>0</v>
      </c>
    </row>
    <row r="24" spans="1:13">
      <c r="F24">
        <f t="shared" si="0"/>
        <v>0</v>
      </c>
      <c r="M24" s="12">
        <f t="shared" si="1"/>
        <v>0</v>
      </c>
    </row>
    <row r="25" spans="1:13">
      <c r="F25">
        <f t="shared" si="0"/>
        <v>0</v>
      </c>
      <c r="M25" s="12">
        <f t="shared" si="1"/>
        <v>0</v>
      </c>
    </row>
  </sheetData>
  <sheetProtection algorithmName="SHA-512" hashValue="fXPcALpbxSrDQ3HyK1bqGMoK3cbo1lc+qU+eIJLT5T1dWyB3glwFai7A0II3G1P0kY9GG66MISTKXBLEwPOnxQ==" saltValue="r7WUd1G7NwmNz5V2areX6A==" spinCount="100000" sheet="1" objects="1" scenarios="1" autoFilter="0"/>
  <autoFilter ref="A1:R25" xr:uid="{3B9DDA93-C7E7-4932-AFB4-AEABEBB0B036}">
    <sortState xmlns:xlrd2="http://schemas.microsoft.com/office/spreadsheetml/2017/richdata2" ref="A2:R17">
      <sortCondition ref="D1"/>
    </sortState>
  </autoFilter>
  <conditionalFormatting sqref="A1:P1048576">
    <cfRule type="expression" dxfId="3" priority="1">
      <formula>OR(CELL("col")=COLUMN(), CELL("row")=ROW())</formula>
    </cfRule>
    <cfRule type="expression" dxfId="2" priority="2">
      <formula>AND(ROW()&lt;&gt;1,MOD(ROW(), 2)=1, NOT(ISBLANK($A1)))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45074-8099-46AD-9012-33CFA2990871}">
  <sheetPr codeName="Sheet6"/>
  <dimension ref="A1:Q61"/>
  <sheetViews>
    <sheetView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E57" sqref="E57"/>
    </sheetView>
  </sheetViews>
  <sheetFormatPr defaultRowHeight="15"/>
  <cols>
    <col min="1" max="1" width="20.5703125" bestFit="1" customWidth="1"/>
    <col min="2" max="2" width="44" bestFit="1" customWidth="1"/>
    <col min="3" max="3" width="11.42578125" bestFit="1" customWidth="1"/>
    <col min="4" max="4" width="15.42578125" bestFit="1" customWidth="1"/>
    <col min="5" max="5" width="44.42578125" style="1" bestFit="1" customWidth="1"/>
    <col min="6" max="6" width="11.5703125" bestFit="1" customWidth="1"/>
    <col min="7" max="7" width="7.42578125" bestFit="1" customWidth="1"/>
    <col min="8" max="8" width="11.5703125" bestFit="1" customWidth="1"/>
    <col min="9" max="9" width="11.42578125" style="2" bestFit="1" customWidth="1"/>
    <col min="10" max="10" width="10.42578125" bestFit="1" customWidth="1"/>
    <col min="12" max="12" width="11.42578125" bestFit="1" customWidth="1"/>
    <col min="13" max="13" width="13.42578125" bestFit="1" customWidth="1"/>
    <col min="14" max="15" width="16.5703125" bestFit="1" customWidth="1"/>
    <col min="17" max="17" width="11.5703125" bestFit="1" customWidth="1"/>
  </cols>
  <sheetData>
    <row r="1" spans="1:17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3" t="s">
        <v>255</v>
      </c>
      <c r="H1" s="3" t="s">
        <v>330</v>
      </c>
      <c r="I1" s="5" t="s">
        <v>287</v>
      </c>
      <c r="J1" s="3" t="s">
        <v>6</v>
      </c>
      <c r="K1" s="3" t="s">
        <v>7</v>
      </c>
      <c r="L1" s="9" t="s">
        <v>607</v>
      </c>
      <c r="M1" s="9" t="s">
        <v>609</v>
      </c>
      <c r="N1" s="9" t="s">
        <v>608</v>
      </c>
      <c r="O1" s="9" t="s">
        <v>603</v>
      </c>
      <c r="P1" t="s">
        <v>287</v>
      </c>
      <c r="Q1" s="8">
        <f>+SUM(I:I)</f>
        <v>22455.439999999999</v>
      </c>
    </row>
    <row r="2" spans="1:17">
      <c r="A2" t="s">
        <v>338</v>
      </c>
      <c r="B2" t="s">
        <v>339</v>
      </c>
      <c r="G2" t="s">
        <v>340</v>
      </c>
      <c r="H2">
        <v>34.5</v>
      </c>
      <c r="I2" s="2">
        <f t="shared" ref="I2:I33" si="0">+F2*H2</f>
        <v>0</v>
      </c>
    </row>
    <row r="3" spans="1:17">
      <c r="A3" t="s">
        <v>539</v>
      </c>
      <c r="B3" t="s">
        <v>540</v>
      </c>
      <c r="G3" t="s">
        <v>256</v>
      </c>
      <c r="H3">
        <v>0.35439999999999999</v>
      </c>
      <c r="I3" s="2">
        <f t="shared" si="0"/>
        <v>0</v>
      </c>
    </row>
    <row r="4" spans="1:17">
      <c r="A4" t="s">
        <v>551</v>
      </c>
      <c r="B4" t="s">
        <v>552</v>
      </c>
      <c r="F4">
        <v>64</v>
      </c>
      <c r="G4" t="s">
        <v>340</v>
      </c>
      <c r="H4">
        <v>95</v>
      </c>
      <c r="I4" s="2">
        <f t="shared" si="0"/>
        <v>6080</v>
      </c>
    </row>
    <row r="5" spans="1:17">
      <c r="A5" t="s">
        <v>415</v>
      </c>
      <c r="B5" t="s">
        <v>416</v>
      </c>
      <c r="G5" t="s">
        <v>340</v>
      </c>
      <c r="H5">
        <v>14</v>
      </c>
      <c r="I5" s="2">
        <f t="shared" si="0"/>
        <v>0</v>
      </c>
      <c r="P5" t="s">
        <v>355</v>
      </c>
    </row>
    <row r="6" spans="1:17">
      <c r="A6" t="s">
        <v>537</v>
      </c>
      <c r="B6" t="s">
        <v>538</v>
      </c>
      <c r="G6" t="s">
        <v>401</v>
      </c>
      <c r="H6">
        <v>0.19800000000000001</v>
      </c>
      <c r="I6" s="2">
        <f t="shared" si="0"/>
        <v>0</v>
      </c>
      <c r="P6" t="s">
        <v>366</v>
      </c>
    </row>
    <row r="7" spans="1:17">
      <c r="A7" t="s">
        <v>445</v>
      </c>
      <c r="B7" t="s">
        <v>446</v>
      </c>
      <c r="G7" t="s">
        <v>340</v>
      </c>
      <c r="H7">
        <v>30</v>
      </c>
      <c r="I7" s="2">
        <f t="shared" si="0"/>
        <v>0</v>
      </c>
    </row>
    <row r="8" spans="1:17">
      <c r="A8" t="s">
        <v>420</v>
      </c>
      <c r="B8" t="s">
        <v>421</v>
      </c>
      <c r="G8" t="s">
        <v>340</v>
      </c>
      <c r="H8">
        <v>15</v>
      </c>
      <c r="I8" s="2">
        <f t="shared" si="0"/>
        <v>0</v>
      </c>
    </row>
    <row r="9" spans="1:17">
      <c r="A9" t="s">
        <v>399</v>
      </c>
      <c r="B9" t="s">
        <v>400</v>
      </c>
      <c r="G9" t="s">
        <v>401</v>
      </c>
      <c r="H9">
        <v>5.1999999999999998E-2</v>
      </c>
      <c r="I9" s="2">
        <f t="shared" si="0"/>
        <v>0</v>
      </c>
    </row>
    <row r="10" spans="1:17">
      <c r="A10" t="s">
        <v>541</v>
      </c>
      <c r="B10" t="s">
        <v>542</v>
      </c>
      <c r="G10" t="s">
        <v>401</v>
      </c>
      <c r="H10">
        <v>0.27200000000000002</v>
      </c>
      <c r="I10" s="2">
        <f t="shared" si="0"/>
        <v>0</v>
      </c>
    </row>
    <row r="11" spans="1:17">
      <c r="A11" t="s">
        <v>413</v>
      </c>
      <c r="B11" t="s">
        <v>414</v>
      </c>
      <c r="G11" t="s">
        <v>340</v>
      </c>
      <c r="H11">
        <v>11.38</v>
      </c>
      <c r="I11" s="2">
        <f t="shared" si="0"/>
        <v>0</v>
      </c>
    </row>
    <row r="12" spans="1:17">
      <c r="A12" t="s">
        <v>407</v>
      </c>
      <c r="B12" t="s">
        <v>408</v>
      </c>
      <c r="G12" t="s">
        <v>401</v>
      </c>
      <c r="H12">
        <v>0.36799999999999999</v>
      </c>
      <c r="I12" s="2">
        <f t="shared" si="0"/>
        <v>0</v>
      </c>
    </row>
    <row r="13" spans="1:17">
      <c r="A13" t="s">
        <v>396</v>
      </c>
      <c r="B13" t="s">
        <v>395</v>
      </c>
      <c r="G13" t="s">
        <v>256</v>
      </c>
      <c r="H13">
        <v>0.71399999999999997</v>
      </c>
      <c r="I13" s="2">
        <f t="shared" si="0"/>
        <v>0</v>
      </c>
    </row>
    <row r="14" spans="1:17">
      <c r="A14" t="s">
        <v>392</v>
      </c>
      <c r="B14" t="s">
        <v>390</v>
      </c>
      <c r="G14" t="s">
        <v>256</v>
      </c>
      <c r="H14">
        <v>0.71399999999999997</v>
      </c>
      <c r="I14" s="2">
        <f t="shared" si="0"/>
        <v>0</v>
      </c>
    </row>
    <row r="15" spans="1:17">
      <c r="A15" t="s">
        <v>393</v>
      </c>
      <c r="B15" t="s">
        <v>391</v>
      </c>
      <c r="G15" t="s">
        <v>256</v>
      </c>
      <c r="H15">
        <v>0.28000000000000003</v>
      </c>
      <c r="I15" s="2">
        <f t="shared" si="0"/>
        <v>0</v>
      </c>
    </row>
    <row r="16" spans="1:17">
      <c r="A16" t="s">
        <v>543</v>
      </c>
      <c r="B16" t="s">
        <v>544</v>
      </c>
      <c r="G16" t="s">
        <v>256</v>
      </c>
      <c r="H16">
        <v>1.4</v>
      </c>
      <c r="I16" s="2">
        <f t="shared" si="0"/>
        <v>0</v>
      </c>
    </row>
    <row r="17" spans="1:9">
      <c r="A17" t="s">
        <v>545</v>
      </c>
      <c r="B17" t="s">
        <v>546</v>
      </c>
      <c r="G17" t="s">
        <v>256</v>
      </c>
      <c r="H17">
        <v>0.64</v>
      </c>
      <c r="I17" s="2">
        <f t="shared" si="0"/>
        <v>0</v>
      </c>
    </row>
    <row r="18" spans="1:9">
      <c r="A18" t="s">
        <v>593</v>
      </c>
      <c r="B18" t="s">
        <v>594</v>
      </c>
      <c r="G18" t="s">
        <v>256</v>
      </c>
      <c r="H18">
        <v>0.5</v>
      </c>
      <c r="I18" s="2">
        <f t="shared" si="0"/>
        <v>0</v>
      </c>
    </row>
    <row r="19" spans="1:9">
      <c r="A19" t="s">
        <v>514</v>
      </c>
      <c r="B19" t="s">
        <v>515</v>
      </c>
      <c r="G19" t="s">
        <v>516</v>
      </c>
      <c r="H19">
        <v>1360</v>
      </c>
      <c r="I19" s="2">
        <f t="shared" si="0"/>
        <v>0</v>
      </c>
    </row>
    <row r="20" spans="1:9">
      <c r="A20" t="s">
        <v>437</v>
      </c>
      <c r="B20" t="s">
        <v>438</v>
      </c>
      <c r="G20" t="s">
        <v>256</v>
      </c>
      <c r="H20">
        <v>7.9000000000000001E-2</v>
      </c>
      <c r="I20" s="2">
        <f t="shared" si="0"/>
        <v>0</v>
      </c>
    </row>
    <row r="21" spans="1:9">
      <c r="A21" t="s">
        <v>417</v>
      </c>
      <c r="B21" t="s">
        <v>418</v>
      </c>
      <c r="G21" t="s">
        <v>256</v>
      </c>
      <c r="H21">
        <v>3.7999999999999999E-2</v>
      </c>
      <c r="I21" s="2">
        <f t="shared" si="0"/>
        <v>0</v>
      </c>
    </row>
    <row r="22" spans="1:9">
      <c r="A22" t="s">
        <v>394</v>
      </c>
      <c r="B22" t="s">
        <v>354</v>
      </c>
      <c r="G22" t="s">
        <v>256</v>
      </c>
      <c r="H22">
        <v>2.36</v>
      </c>
      <c r="I22" s="2">
        <f t="shared" si="0"/>
        <v>0</v>
      </c>
    </row>
    <row r="23" spans="1:9">
      <c r="A23" t="s">
        <v>397</v>
      </c>
      <c r="B23" t="s">
        <v>398</v>
      </c>
      <c r="G23" t="s">
        <v>256</v>
      </c>
      <c r="H23">
        <v>0.14000000000000001</v>
      </c>
      <c r="I23" s="2">
        <f t="shared" si="0"/>
        <v>0</v>
      </c>
    </row>
    <row r="24" spans="1:9">
      <c r="A24" t="s">
        <v>517</v>
      </c>
      <c r="B24" t="s">
        <v>518</v>
      </c>
      <c r="G24" t="s">
        <v>256</v>
      </c>
      <c r="H24">
        <v>2.7</v>
      </c>
      <c r="I24" s="2">
        <f t="shared" si="0"/>
        <v>0</v>
      </c>
    </row>
    <row r="25" spans="1:9">
      <c r="A25" t="s">
        <v>553</v>
      </c>
      <c r="B25" t="s">
        <v>554</v>
      </c>
      <c r="G25" t="s">
        <v>340</v>
      </c>
      <c r="H25">
        <v>5499</v>
      </c>
      <c r="I25" s="2">
        <f t="shared" si="0"/>
        <v>0</v>
      </c>
    </row>
    <row r="26" spans="1:9">
      <c r="A26" t="s">
        <v>447</v>
      </c>
      <c r="B26" t="s">
        <v>448</v>
      </c>
      <c r="G26" t="s">
        <v>340</v>
      </c>
      <c r="H26">
        <v>1024</v>
      </c>
      <c r="I26" s="2">
        <f t="shared" si="0"/>
        <v>0</v>
      </c>
    </row>
    <row r="27" spans="1:9">
      <c r="A27" t="s">
        <v>549</v>
      </c>
      <c r="B27" t="s">
        <v>550</v>
      </c>
      <c r="G27" t="s">
        <v>256</v>
      </c>
      <c r="H27">
        <v>0.12</v>
      </c>
      <c r="I27" s="2">
        <f t="shared" si="0"/>
        <v>0</v>
      </c>
    </row>
    <row r="28" spans="1:9">
      <c r="A28" t="s">
        <v>512</v>
      </c>
      <c r="B28" t="s">
        <v>513</v>
      </c>
      <c r="G28" t="s">
        <v>256</v>
      </c>
      <c r="H28">
        <v>5.13</v>
      </c>
      <c r="I28" s="2">
        <f t="shared" si="0"/>
        <v>0</v>
      </c>
    </row>
    <row r="29" spans="1:9">
      <c r="A29" t="s">
        <v>502</v>
      </c>
      <c r="B29" t="s">
        <v>503</v>
      </c>
      <c r="G29" t="s">
        <v>256</v>
      </c>
      <c r="H29">
        <v>2.5999999999999999E-2</v>
      </c>
      <c r="I29" s="2">
        <f t="shared" si="0"/>
        <v>0</v>
      </c>
    </row>
    <row r="30" spans="1:9">
      <c r="A30" t="s">
        <v>422</v>
      </c>
      <c r="B30" t="s">
        <v>423</v>
      </c>
      <c r="G30" t="s">
        <v>256</v>
      </c>
      <c r="H30">
        <v>0.08</v>
      </c>
      <c r="I30" s="2">
        <f t="shared" si="0"/>
        <v>0</v>
      </c>
    </row>
    <row r="31" spans="1:9">
      <c r="A31" t="s">
        <v>533</v>
      </c>
      <c r="B31" t="s">
        <v>534</v>
      </c>
      <c r="G31" t="s">
        <v>256</v>
      </c>
      <c r="H31">
        <v>3.6499999999999998E-2</v>
      </c>
      <c r="I31" s="2">
        <f t="shared" si="0"/>
        <v>0</v>
      </c>
    </row>
    <row r="32" spans="1:9">
      <c r="A32" t="s">
        <v>531</v>
      </c>
      <c r="B32" t="s">
        <v>532</v>
      </c>
      <c r="G32" t="s">
        <v>256</v>
      </c>
      <c r="H32">
        <v>0.28999999999999998</v>
      </c>
      <c r="I32" s="2">
        <f t="shared" si="0"/>
        <v>0</v>
      </c>
    </row>
    <row r="33" spans="1:9">
      <c r="A33" t="s">
        <v>547</v>
      </c>
      <c r="B33" t="s">
        <v>548</v>
      </c>
      <c r="G33" t="s">
        <v>256</v>
      </c>
      <c r="H33">
        <v>0.26</v>
      </c>
      <c r="I33" s="2">
        <f t="shared" si="0"/>
        <v>0</v>
      </c>
    </row>
    <row r="34" spans="1:9">
      <c r="A34" t="s">
        <v>529</v>
      </c>
      <c r="B34" t="s">
        <v>530</v>
      </c>
      <c r="G34" t="s">
        <v>256</v>
      </c>
      <c r="H34">
        <v>0.43580000000000002</v>
      </c>
      <c r="I34" s="2">
        <f t="shared" ref="I34:I61" si="1">+F34*H34</f>
        <v>0</v>
      </c>
    </row>
    <row r="35" spans="1:9">
      <c r="A35" t="s">
        <v>535</v>
      </c>
      <c r="B35" t="s">
        <v>536</v>
      </c>
      <c r="G35" t="s">
        <v>401</v>
      </c>
      <c r="H35">
        <v>1</v>
      </c>
      <c r="I35" s="2">
        <f t="shared" si="1"/>
        <v>0</v>
      </c>
    </row>
    <row r="36" spans="1:9">
      <c r="A36" t="s">
        <v>424</v>
      </c>
      <c r="B36" t="s">
        <v>365</v>
      </c>
      <c r="G36" t="s">
        <v>256</v>
      </c>
      <c r="H36">
        <v>30</v>
      </c>
      <c r="I36" s="2">
        <f t="shared" si="1"/>
        <v>0</v>
      </c>
    </row>
    <row r="37" spans="1:9">
      <c r="A37" t="s">
        <v>508</v>
      </c>
      <c r="B37" t="s">
        <v>509</v>
      </c>
      <c r="G37" t="s">
        <v>256</v>
      </c>
      <c r="H37">
        <v>6.225E-2</v>
      </c>
      <c r="I37" s="2">
        <f t="shared" si="1"/>
        <v>0</v>
      </c>
    </row>
    <row r="38" spans="1:9">
      <c r="A38" t="s">
        <v>506</v>
      </c>
      <c r="B38" t="s">
        <v>507</v>
      </c>
      <c r="G38" t="s">
        <v>256</v>
      </c>
      <c r="H38">
        <v>0.02</v>
      </c>
      <c r="I38" s="2">
        <f t="shared" si="1"/>
        <v>0</v>
      </c>
    </row>
    <row r="39" spans="1:9">
      <c r="A39" t="s">
        <v>429</v>
      </c>
      <c r="B39" t="s">
        <v>430</v>
      </c>
      <c r="G39" t="s">
        <v>340</v>
      </c>
      <c r="H39">
        <v>29.67</v>
      </c>
      <c r="I39" s="2">
        <f t="shared" si="1"/>
        <v>0</v>
      </c>
    </row>
    <row r="40" spans="1:9">
      <c r="A40" t="s">
        <v>411</v>
      </c>
      <c r="B40" t="s">
        <v>412</v>
      </c>
      <c r="F40">
        <v>28</v>
      </c>
      <c r="G40" t="s">
        <v>340</v>
      </c>
      <c r="H40">
        <v>58.75</v>
      </c>
      <c r="I40" s="2">
        <f t="shared" si="1"/>
        <v>1645</v>
      </c>
    </row>
    <row r="41" spans="1:9">
      <c r="A41" t="s">
        <v>403</v>
      </c>
      <c r="B41" t="s">
        <v>404</v>
      </c>
      <c r="G41" t="s">
        <v>401</v>
      </c>
      <c r="H41">
        <v>1.8499999999999999E-2</v>
      </c>
      <c r="I41" s="2">
        <f t="shared" si="1"/>
        <v>0</v>
      </c>
    </row>
    <row r="42" spans="1:9">
      <c r="A42" t="s">
        <v>427</v>
      </c>
      <c r="B42" t="s">
        <v>428</v>
      </c>
      <c r="G42" t="s">
        <v>340</v>
      </c>
      <c r="H42">
        <v>2.92</v>
      </c>
      <c r="I42" s="2">
        <f t="shared" si="1"/>
        <v>0</v>
      </c>
    </row>
    <row r="43" spans="1:9">
      <c r="A43" t="s">
        <v>337</v>
      </c>
      <c r="B43" t="s">
        <v>331</v>
      </c>
      <c r="F43">
        <v>196</v>
      </c>
      <c r="G43" t="s">
        <v>340</v>
      </c>
      <c r="H43">
        <v>18.29</v>
      </c>
      <c r="I43" s="2">
        <f t="shared" si="1"/>
        <v>3584.8399999999997</v>
      </c>
    </row>
    <row r="44" spans="1:9">
      <c r="A44" t="s">
        <v>369</v>
      </c>
      <c r="B44" t="s">
        <v>370</v>
      </c>
      <c r="F44">
        <v>320</v>
      </c>
      <c r="G44" t="s">
        <v>340</v>
      </c>
      <c r="H44">
        <v>15.34</v>
      </c>
      <c r="I44" s="2">
        <f t="shared" si="1"/>
        <v>4908.8</v>
      </c>
    </row>
    <row r="45" spans="1:9">
      <c r="A45" t="s">
        <v>443</v>
      </c>
      <c r="B45" t="s">
        <v>444</v>
      </c>
      <c r="G45" t="s">
        <v>340</v>
      </c>
      <c r="H45">
        <v>34.5</v>
      </c>
      <c r="I45" s="2">
        <f t="shared" si="1"/>
        <v>0</v>
      </c>
    </row>
    <row r="46" spans="1:9">
      <c r="A46" t="s">
        <v>510</v>
      </c>
      <c r="B46" t="s">
        <v>511</v>
      </c>
      <c r="G46" t="s">
        <v>340</v>
      </c>
      <c r="H46">
        <v>159.6</v>
      </c>
      <c r="I46" s="2">
        <f t="shared" si="1"/>
        <v>0</v>
      </c>
    </row>
    <row r="47" spans="1:9">
      <c r="A47" t="s">
        <v>431</v>
      </c>
      <c r="B47" t="s">
        <v>432</v>
      </c>
      <c r="G47" t="s">
        <v>340</v>
      </c>
      <c r="H47">
        <v>12.71</v>
      </c>
      <c r="I47" s="2">
        <f t="shared" si="1"/>
        <v>0</v>
      </c>
    </row>
    <row r="48" spans="1:9">
      <c r="A48" t="s">
        <v>435</v>
      </c>
      <c r="B48" t="s">
        <v>436</v>
      </c>
      <c r="G48" t="s">
        <v>340</v>
      </c>
      <c r="H48">
        <v>6.27</v>
      </c>
      <c r="I48" s="2">
        <f t="shared" si="1"/>
        <v>0</v>
      </c>
    </row>
    <row r="49" spans="1:9">
      <c r="A49" t="s">
        <v>405</v>
      </c>
      <c r="B49" t="s">
        <v>406</v>
      </c>
      <c r="G49" t="s">
        <v>256</v>
      </c>
      <c r="I49" s="2">
        <f t="shared" si="1"/>
        <v>0</v>
      </c>
    </row>
    <row r="50" spans="1:9">
      <c r="A50" t="s">
        <v>409</v>
      </c>
      <c r="B50" t="s">
        <v>410</v>
      </c>
      <c r="G50" t="s">
        <v>401</v>
      </c>
      <c r="H50">
        <v>2.4E-2</v>
      </c>
      <c r="I50" s="2">
        <f t="shared" si="1"/>
        <v>0</v>
      </c>
    </row>
    <row r="51" spans="1:9">
      <c r="A51" t="s">
        <v>433</v>
      </c>
      <c r="B51" t="s">
        <v>434</v>
      </c>
      <c r="G51" t="s">
        <v>340</v>
      </c>
      <c r="H51">
        <v>5.12</v>
      </c>
      <c r="I51" s="2">
        <f t="shared" si="1"/>
        <v>0</v>
      </c>
    </row>
    <row r="52" spans="1:9">
      <c r="A52" t="s">
        <v>402</v>
      </c>
      <c r="B52" t="s">
        <v>349</v>
      </c>
      <c r="G52" t="s">
        <v>256</v>
      </c>
      <c r="H52">
        <v>6.4</v>
      </c>
      <c r="I52" s="2">
        <f t="shared" si="1"/>
        <v>0</v>
      </c>
    </row>
    <row r="53" spans="1:9">
      <c r="A53" t="s">
        <v>527</v>
      </c>
      <c r="B53" t="s">
        <v>528</v>
      </c>
      <c r="G53" t="s">
        <v>340</v>
      </c>
      <c r="H53">
        <v>84.12</v>
      </c>
      <c r="I53" s="2">
        <f t="shared" si="1"/>
        <v>0</v>
      </c>
    </row>
    <row r="54" spans="1:9">
      <c r="A54" t="s">
        <v>378</v>
      </c>
      <c r="B54" t="s">
        <v>379</v>
      </c>
      <c r="F54">
        <v>96</v>
      </c>
      <c r="G54" t="s">
        <v>340</v>
      </c>
      <c r="I54" s="2">
        <f t="shared" si="1"/>
        <v>0</v>
      </c>
    </row>
    <row r="55" spans="1:9">
      <c r="A55" t="s">
        <v>419</v>
      </c>
      <c r="B55" t="s">
        <v>379</v>
      </c>
      <c r="G55" t="s">
        <v>340</v>
      </c>
      <c r="H55">
        <v>31.25</v>
      </c>
      <c r="I55" s="2">
        <f t="shared" si="1"/>
        <v>0</v>
      </c>
    </row>
    <row r="56" spans="1:9">
      <c r="A56" t="s">
        <v>441</v>
      </c>
      <c r="B56" t="s">
        <v>442</v>
      </c>
      <c r="G56" t="s">
        <v>401</v>
      </c>
      <c r="H56">
        <v>0.627</v>
      </c>
      <c r="I56" s="2">
        <f t="shared" si="1"/>
        <v>0</v>
      </c>
    </row>
    <row r="57" spans="1:9">
      <c r="A57" t="s">
        <v>376</v>
      </c>
      <c r="B57" t="s">
        <v>377</v>
      </c>
      <c r="F57">
        <v>208</v>
      </c>
      <c r="G57" t="s">
        <v>340</v>
      </c>
      <c r="H57">
        <v>28.69</v>
      </c>
      <c r="I57" s="2">
        <f t="shared" si="1"/>
        <v>5967.52</v>
      </c>
    </row>
    <row r="58" spans="1:9">
      <c r="A58" t="s">
        <v>439</v>
      </c>
      <c r="B58" t="s">
        <v>440</v>
      </c>
      <c r="G58" t="s">
        <v>256</v>
      </c>
      <c r="H58">
        <v>7.79</v>
      </c>
      <c r="I58" s="2">
        <f t="shared" si="1"/>
        <v>0</v>
      </c>
    </row>
    <row r="59" spans="1:9">
      <c r="A59" t="s">
        <v>425</v>
      </c>
      <c r="B59" t="s">
        <v>426</v>
      </c>
      <c r="F59">
        <v>8</v>
      </c>
      <c r="G59" t="s">
        <v>340</v>
      </c>
      <c r="H59">
        <v>33.659999999999997</v>
      </c>
      <c r="I59" s="2">
        <f t="shared" si="1"/>
        <v>269.27999999999997</v>
      </c>
    </row>
    <row r="60" spans="1:9">
      <c r="B60" t="s">
        <v>342</v>
      </c>
      <c r="C60" t="s">
        <v>343</v>
      </c>
      <c r="H60">
        <v>20</v>
      </c>
      <c r="I60" s="2">
        <f t="shared" si="1"/>
        <v>0</v>
      </c>
    </row>
    <row r="61" spans="1:9" ht="60">
      <c r="B61" s="7" t="s">
        <v>350</v>
      </c>
      <c r="I61" s="2">
        <f t="shared" si="1"/>
        <v>0</v>
      </c>
    </row>
  </sheetData>
  <autoFilter ref="A1:O1" xr:uid="{30245074-8099-46AD-9012-33CFA2990871}"/>
  <conditionalFormatting sqref="A1:I1 J1:M12 N1:O1048576 A2:H12 I2:I42 A13:M14 A15:H42 J15:M42 A43:M1048576">
    <cfRule type="expression" dxfId="1" priority="2">
      <formula>$K1="Verified"</formula>
    </cfRule>
  </conditionalFormatting>
  <conditionalFormatting sqref="H14">
    <cfRule type="expression" dxfId="0" priority="4">
      <formula>$K13="Verified"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48EA1-CA27-4977-8D14-DB4CB2F9C3D3}">
  <sheetPr codeName="Sheet7"/>
  <dimension ref="A1:B1"/>
  <sheetViews>
    <sheetView workbookViewId="0">
      <selection activeCell="B1" sqref="B1"/>
    </sheetView>
  </sheetViews>
  <sheetFormatPr defaultRowHeight="15"/>
  <cols>
    <col min="1" max="1" width="11" bestFit="1" customWidth="1"/>
    <col min="2" max="2" width="14.28515625" bestFit="1" customWidth="1"/>
  </cols>
  <sheetData>
    <row r="1" spans="1:2">
      <c r="A1" t="s">
        <v>984</v>
      </c>
      <c r="B1" s="8">
        <f>+Amidite!AP1+'CPG in FRG-01'!T1+'Chem, NHS, Customer in FRZ-07'!X1+Solvent!R1</f>
        <v>1082477.8902500002</v>
      </c>
    </row>
  </sheetData>
  <sheetProtection algorithmName="SHA-512" hashValue="OgrOhHFyauUjY+f0aE230WlsXzuBZ5422hvdbnW7BRO5W4aiLHyRbuaGBGCE2Pk7MXgD0lDY0sTQivjGClkaoQ==" saltValue="aWUYdLE1lh6u7tcBrFnpR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081784-eb1d-4399-bb11-6e20c62c25a6">
      <Terms xmlns="http://schemas.microsoft.com/office/infopath/2007/PartnerControls"/>
    </lcf76f155ced4ddcb4097134ff3c332f>
    <TaxCatchAll xmlns="9b65a21d-a0af-4271-ba34-c61e5c9924f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BBE9B2B7C15747BFCBE38DAE75C853" ma:contentTypeVersion="15" ma:contentTypeDescription="Create a new document." ma:contentTypeScope="" ma:versionID="ef60a8d8dc72134137ec46e1834a01ac">
  <xsd:schema xmlns:xsd="http://www.w3.org/2001/XMLSchema" xmlns:xs="http://www.w3.org/2001/XMLSchema" xmlns:p="http://schemas.microsoft.com/office/2006/metadata/properties" xmlns:ns2="61081784-eb1d-4399-bb11-6e20c62c25a6" xmlns:ns3="9b65a21d-a0af-4271-ba34-c61e5c9924fa" targetNamespace="http://schemas.microsoft.com/office/2006/metadata/properties" ma:root="true" ma:fieldsID="63264a9be7be55594568aa9b88f4808a" ns2:_="" ns3:_="">
    <xsd:import namespace="61081784-eb1d-4399-bb11-6e20c62c25a6"/>
    <xsd:import namespace="9b65a21d-a0af-4271-ba34-c61e5c9924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081784-eb1d-4399-bb11-6e20c62c2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f9e09aa-c67b-42f2-a94a-a1c0717b0cc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65a21d-a0af-4271-ba34-c61e5c9924f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9a10a7cf-359b-4443-b013-5fdc248c2ffe}" ma:internalName="TaxCatchAll" ma:showField="CatchAllData" ma:web="9b65a21d-a0af-4271-ba34-c61e5c9924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A12C40-43E5-4912-82BF-C770606E4C1D}">
  <ds:schemaRefs>
    <ds:schemaRef ds:uri="http://www.w3.org/XML/1998/namespace"/>
    <ds:schemaRef ds:uri="http://purl.org/dc/terms/"/>
    <ds:schemaRef ds:uri="9b65a21d-a0af-4271-ba34-c61e5c9924fa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61081784-eb1d-4399-bb11-6e20c62c25a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D03CA87-42E2-4B45-9846-F405BF5822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61FBFA-74F1-4DA9-9D27-A5E729FB5C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081784-eb1d-4399-bb11-6e20c62c25a6"/>
    <ds:schemaRef ds:uri="9b65a21d-a0af-4271-ba34-c61e5c9924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Amidite -old</vt:lpstr>
      <vt:lpstr>Data</vt:lpstr>
      <vt:lpstr>Amidite</vt:lpstr>
      <vt:lpstr>CPG in FRG-01</vt:lpstr>
      <vt:lpstr>Chem, NHS, Customer in FRZ-07</vt:lpstr>
      <vt:lpstr>Solvent</vt:lpstr>
      <vt:lpstr>Other</vt:lpstr>
      <vt:lpstr>Comments</vt:lpstr>
      <vt:lpstr>'Amidite -old'!_FilterDatabase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Xibo Li</dc:creator>
  <cp:lastModifiedBy>Nan Li</cp:lastModifiedBy>
  <cp:lastPrinted>2023-08-07T02:25:36Z</cp:lastPrinted>
  <dcterms:created xsi:type="dcterms:W3CDTF">2023-08-07T01:48:01Z</dcterms:created>
  <dcterms:modified xsi:type="dcterms:W3CDTF">2025-05-30T20:25:08Z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0x0101000A219044000A0A43A987F39657301222</vt:lpwstr>
  </property>
  <property fmtid="{D5CDD505-2E9C-101B-9397-08002B2CF9AE}" pid="3" name="MediaServiceImageTags">
    <vt:lpwstr/>
  </property>
</Properties>
</file>